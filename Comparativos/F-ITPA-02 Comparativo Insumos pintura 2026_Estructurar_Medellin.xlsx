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tructurarsas.sharepoint.com/sites/IngenieraComercialInmobiliaria/Documentos compartidos/Proyectos/6. Registros/Infraestructura/En ejecución/NUTRESA/NOEL/MANTENIMIENTO 2026/03.COMPRAS Y ALMACEN/01.COMPRAS/01.Insumos pintura/"/>
    </mc:Choice>
  </mc:AlternateContent>
  <xr:revisionPtr revIDLastSave="10" documentId="13_ncr:1_{3298798D-D1B1-42AC-B2B4-6C49DF41F8DD}" xr6:coauthVersionLast="47" xr6:coauthVersionMax="47" xr10:uidLastSave="{69D8158F-17F6-49CA-B6EB-F405BFA0B5A5}"/>
  <bookViews>
    <workbookView xWindow="-98" yWindow="-98" windowWidth="21795" windowHeight="12975" firstSheet="1" activeTab="1" xr2:uid="{00000000-000D-0000-FFFF-FFFF00000000}"/>
  </bookViews>
  <sheets>
    <sheet name="COMPARATIVO  CONTENEDORES" sheetId="8" state="hidden" r:id="rId1"/>
    <sheet name="COMPARATIVO insumo pintura" sheetId="10" r:id="rId2"/>
    <sheet name="COMPARATIVO ACERO" sheetId="11" state="hidden" r:id="rId3"/>
    <sheet name="COMPARATIVO  TACO MADERA" sheetId="13" state="hidden" r:id="rId4"/>
    <sheet name="COMPARATIVO  TELA SARAN" sheetId="14" state="hidden" r:id="rId5"/>
  </sheets>
  <definedNames>
    <definedName name="_xlnm.Print_Area" localSheetId="0">'COMPARATIVO  CONTENEDORES'!$A$1:$V$36</definedName>
    <definedName name="_xlnm.Print_Area" localSheetId="3">'COMPARATIVO  TACO MADERA'!$A$1:$V$36</definedName>
    <definedName name="_xlnm.Print_Area" localSheetId="4">'COMPARATIVO  TELA SARAN'!$A$1:$V$36</definedName>
    <definedName name="_xlnm.Print_Area" localSheetId="2">'COMPARATIVO ACERO'!$A$1:$X$38</definedName>
    <definedName name="_xlnm.Print_Area" localSheetId="1">'COMPARATIVO insumo pintura'!$A$1:$V$50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0" l="1"/>
  <c r="K25" i="10"/>
  <c r="L25" i="10"/>
  <c r="J26" i="10"/>
  <c r="K26" i="10"/>
  <c r="L26" i="10"/>
  <c r="V20" i="10"/>
  <c r="T19" i="10"/>
  <c r="U19" i="10"/>
  <c r="V19" i="10"/>
  <c r="T18" i="10"/>
  <c r="U18" i="10"/>
  <c r="V18" i="10" s="1"/>
  <c r="T9" i="10"/>
  <c r="U9" i="10"/>
  <c r="V9" i="10"/>
  <c r="T10" i="10"/>
  <c r="U10" i="10"/>
  <c r="V10" i="10"/>
  <c r="T11" i="10"/>
  <c r="U11" i="10" s="1"/>
  <c r="V11" i="10" s="1"/>
  <c r="T12" i="10"/>
  <c r="U12" i="10"/>
  <c r="V12" i="10"/>
  <c r="T13" i="10"/>
  <c r="U13" i="10"/>
  <c r="V13" i="10"/>
  <c r="T14" i="10"/>
  <c r="U14" i="10"/>
  <c r="V14" i="10"/>
  <c r="T15" i="10"/>
  <c r="U15" i="10"/>
  <c r="V15" i="10"/>
  <c r="T16" i="10"/>
  <c r="U16" i="10"/>
  <c r="V16" i="10"/>
  <c r="T17" i="10"/>
  <c r="U17" i="10"/>
  <c r="V17" i="10"/>
  <c r="T20" i="10"/>
  <c r="U20" i="10"/>
  <c r="T21" i="10"/>
  <c r="U21" i="10"/>
  <c r="V21" i="10"/>
  <c r="T22" i="10"/>
  <c r="U22" i="10"/>
  <c r="V22" i="10"/>
  <c r="T23" i="10"/>
  <c r="U23" i="10"/>
  <c r="V23" i="10"/>
  <c r="T24" i="10"/>
  <c r="U24" i="10"/>
  <c r="V24" i="10" s="1"/>
  <c r="T25" i="10"/>
  <c r="U25" i="10"/>
  <c r="V25" i="10"/>
  <c r="T26" i="10"/>
  <c r="U26" i="10"/>
  <c r="V26" i="10"/>
  <c r="Q28" i="10"/>
  <c r="O11" i="10"/>
  <c r="P11" i="10" s="1"/>
  <c r="Q11" i="10" s="1"/>
  <c r="O12" i="10"/>
  <c r="P12" i="10"/>
  <c r="Q12" i="10" s="1"/>
  <c r="O13" i="10"/>
  <c r="P13" i="10"/>
  <c r="Q13" i="10"/>
  <c r="O14" i="10"/>
  <c r="P14" i="10"/>
  <c r="Q14" i="10"/>
  <c r="O15" i="10"/>
  <c r="P15" i="10"/>
  <c r="Q15" i="10"/>
  <c r="O16" i="10"/>
  <c r="P16" i="10"/>
  <c r="Q16" i="10"/>
  <c r="O17" i="10"/>
  <c r="P17" i="10"/>
  <c r="Q17" i="10"/>
  <c r="O18" i="10"/>
  <c r="P18" i="10"/>
  <c r="Q18" i="10"/>
  <c r="O19" i="10"/>
  <c r="P19" i="10"/>
  <c r="Q19" i="10"/>
  <c r="O20" i="10"/>
  <c r="P20" i="10"/>
  <c r="Q20" i="10"/>
  <c r="O21" i="10"/>
  <c r="P21" i="10"/>
  <c r="Q21" i="10"/>
  <c r="O22" i="10"/>
  <c r="P22" i="10"/>
  <c r="Q22" i="10"/>
  <c r="O23" i="10"/>
  <c r="P23" i="10" s="1"/>
  <c r="Q23" i="10" s="1"/>
  <c r="O24" i="10"/>
  <c r="P24" i="10"/>
  <c r="Q24" i="10"/>
  <c r="O26" i="10"/>
  <c r="P26" i="10"/>
  <c r="Q26" i="10"/>
  <c r="O8" i="10"/>
  <c r="P8" i="10" s="1"/>
  <c r="Q8" i="10" s="1"/>
  <c r="O9" i="10"/>
  <c r="P9" i="10" s="1"/>
  <c r="Q9" i="10" s="1"/>
  <c r="O10" i="10"/>
  <c r="P10" i="10"/>
  <c r="Q10" i="10" s="1"/>
  <c r="J9" i="10"/>
  <c r="K9" i="10"/>
  <c r="L9" i="10"/>
  <c r="J10" i="10"/>
  <c r="K10" i="10"/>
  <c r="L10" i="10"/>
  <c r="J11" i="10"/>
  <c r="K11" i="10" s="1"/>
  <c r="L11" i="10" s="1"/>
  <c r="J12" i="10"/>
  <c r="K12" i="10"/>
  <c r="L12" i="10"/>
  <c r="J13" i="10"/>
  <c r="K13" i="10"/>
  <c r="L13" i="10"/>
  <c r="J14" i="10"/>
  <c r="K14" i="10"/>
  <c r="L14" i="10"/>
  <c r="J15" i="10"/>
  <c r="K15" i="10"/>
  <c r="L15" i="10" s="1"/>
  <c r="J16" i="10"/>
  <c r="K16" i="10"/>
  <c r="L16" i="10"/>
  <c r="J17" i="10"/>
  <c r="K17" i="10"/>
  <c r="L17" i="10"/>
  <c r="J18" i="10"/>
  <c r="K18" i="10"/>
  <c r="L18" i="10"/>
  <c r="J19" i="10"/>
  <c r="K19" i="10"/>
  <c r="L19" i="10" s="1"/>
  <c r="J20" i="10"/>
  <c r="K20" i="10"/>
  <c r="L20" i="10"/>
  <c r="J21" i="10"/>
  <c r="K21" i="10"/>
  <c r="L21" i="10" s="1"/>
  <c r="J22" i="10"/>
  <c r="K22" i="10"/>
  <c r="L22" i="10"/>
  <c r="J23" i="10"/>
  <c r="K23" i="10"/>
  <c r="L23" i="10"/>
  <c r="J24" i="10"/>
  <c r="K24" i="10"/>
  <c r="L24" i="10"/>
  <c r="J8" i="10"/>
  <c r="K8" i="10"/>
  <c r="L8" i="10" s="1"/>
  <c r="D5" i="10"/>
  <c r="T8" i="10"/>
  <c r="U8" i="10" s="1"/>
  <c r="L28" i="10" l="1"/>
  <c r="Q31" i="10"/>
  <c r="V8" i="10"/>
  <c r="G10" i="10" l="1"/>
  <c r="G8" i="10"/>
  <c r="D5" i="14"/>
  <c r="D5" i="13"/>
  <c r="D5" i="11"/>
  <c r="D5" i="8"/>
  <c r="V9" i="8" l="1"/>
  <c r="T7" i="8"/>
  <c r="G10" i="11"/>
  <c r="G9" i="11"/>
  <c r="G8" i="11"/>
  <c r="G7" i="11"/>
  <c r="F16" i="11" l="1"/>
  <c r="T7" i="10" l="1"/>
  <c r="T7" i="14"/>
  <c r="N7" i="8"/>
  <c r="P9" i="8"/>
  <c r="J9" i="8"/>
  <c r="N7" i="14"/>
  <c r="O7" i="14" s="1"/>
  <c r="P7" i="14" s="1"/>
  <c r="N7" i="13"/>
  <c r="AI11" i="14"/>
  <c r="AC11" i="14"/>
  <c r="Z11" i="14"/>
  <c r="AA11" i="14" s="1"/>
  <c r="AB11" i="14" s="1"/>
  <c r="W11" i="14"/>
  <c r="T11" i="14"/>
  <c r="U11" i="14" s="1"/>
  <c r="V11" i="14" s="1"/>
  <c r="Q11" i="14"/>
  <c r="N11" i="14"/>
  <c r="O11" i="14" s="1"/>
  <c r="P11" i="14" s="1"/>
  <c r="K11" i="14"/>
  <c r="H11" i="14"/>
  <c r="I11" i="14" s="1"/>
  <c r="J11" i="14" s="1"/>
  <c r="AI10" i="14"/>
  <c r="AC10" i="14"/>
  <c r="Z10" i="14"/>
  <c r="AA10" i="14" s="1"/>
  <c r="AB10" i="14" s="1"/>
  <c r="W10" i="14"/>
  <c r="T10" i="14"/>
  <c r="U10" i="14" s="1"/>
  <c r="V10" i="14" s="1"/>
  <c r="Q10" i="14"/>
  <c r="N10" i="14"/>
  <c r="O10" i="14" s="1"/>
  <c r="P10" i="14" s="1"/>
  <c r="K10" i="14"/>
  <c r="H10" i="14"/>
  <c r="I10" i="14" s="1"/>
  <c r="J10" i="14" s="1"/>
  <c r="AI9" i="14"/>
  <c r="AC9" i="14"/>
  <c r="Z9" i="14"/>
  <c r="AA9" i="14" s="1"/>
  <c r="AB9" i="14" s="1"/>
  <c r="W9" i="14"/>
  <c r="T9" i="14"/>
  <c r="U9" i="14" s="1"/>
  <c r="V9" i="14" s="1"/>
  <c r="Q9" i="14"/>
  <c r="N9" i="14"/>
  <c r="O9" i="14" s="1"/>
  <c r="P9" i="14" s="1"/>
  <c r="K9" i="14"/>
  <c r="J9" i="14"/>
  <c r="AI8" i="14"/>
  <c r="AF8" i="14"/>
  <c r="AG8" i="14" s="1"/>
  <c r="AH8" i="14" s="1"/>
  <c r="AC8" i="14"/>
  <c r="Z8" i="14"/>
  <c r="AA8" i="14" s="1"/>
  <c r="AB8" i="14" s="1"/>
  <c r="W8" i="14"/>
  <c r="T8" i="14"/>
  <c r="U8" i="14" s="1"/>
  <c r="V8" i="14" s="1"/>
  <c r="Q8" i="14"/>
  <c r="N8" i="14"/>
  <c r="O8" i="14" s="1"/>
  <c r="P8" i="14" s="1"/>
  <c r="K8" i="14"/>
  <c r="H8" i="14"/>
  <c r="I8" i="14" s="1"/>
  <c r="J8" i="14" s="1"/>
  <c r="AI7" i="14"/>
  <c r="AF7" i="14"/>
  <c r="AG7" i="14" s="1"/>
  <c r="AH7" i="14" s="1"/>
  <c r="AC7" i="14"/>
  <c r="Z7" i="14"/>
  <c r="AA7" i="14" s="1"/>
  <c r="AB7" i="14" s="1"/>
  <c r="W7" i="14"/>
  <c r="U7" i="14"/>
  <c r="V7" i="14" s="1"/>
  <c r="Q7" i="14"/>
  <c r="K7" i="14"/>
  <c r="H7" i="14"/>
  <c r="I7" i="14" s="1"/>
  <c r="J7" i="14" s="1"/>
  <c r="AI7" i="13"/>
  <c r="AF7" i="13"/>
  <c r="AG7" i="13" s="1"/>
  <c r="AH7" i="13" s="1"/>
  <c r="AH14" i="13" s="1"/>
  <c r="AC7" i="13"/>
  <c r="Z7" i="13"/>
  <c r="AA7" i="13" s="1"/>
  <c r="AB7" i="13" s="1"/>
  <c r="AB14" i="13" s="1"/>
  <c r="W7" i="13"/>
  <c r="U7" i="13"/>
  <c r="V7" i="13" s="1"/>
  <c r="Q7" i="13"/>
  <c r="O7" i="13"/>
  <c r="P7" i="13" s="1"/>
  <c r="K7" i="13"/>
  <c r="H7" i="13"/>
  <c r="I7" i="13" s="1"/>
  <c r="J7" i="13" s="1"/>
  <c r="P14" i="14" l="1"/>
  <c r="V14" i="14"/>
  <c r="J14" i="13"/>
  <c r="AH14" i="14"/>
  <c r="J14" i="14"/>
  <c r="V17" i="14"/>
  <c r="V18" i="14" s="1"/>
  <c r="J17" i="14"/>
  <c r="J18" i="14" s="1"/>
  <c r="AB14" i="14"/>
  <c r="V14" i="13"/>
  <c r="P14" i="13"/>
  <c r="P17" i="14" l="1"/>
  <c r="P18" i="14" s="1"/>
  <c r="J17" i="13"/>
  <c r="J18" i="13" s="1"/>
  <c r="P17" i="13"/>
  <c r="P18" i="13" s="1"/>
  <c r="AH17" i="14"/>
  <c r="AH18" i="14" s="1"/>
  <c r="AB17" i="14"/>
  <c r="AB18" i="14" s="1"/>
  <c r="AB17" i="13"/>
  <c r="AB18" i="13" s="1"/>
  <c r="AH17" i="13"/>
  <c r="AH18" i="13" s="1"/>
  <c r="V17" i="13"/>
  <c r="V18" i="13" s="1"/>
  <c r="P8" i="11" l="1"/>
  <c r="Q8" i="11" s="1"/>
  <c r="R8" i="11" s="1"/>
  <c r="P9" i="11"/>
  <c r="Q9" i="11"/>
  <c r="R9" i="11" s="1"/>
  <c r="U8" i="11"/>
  <c r="V8" i="11" s="1"/>
  <c r="W8" i="11" s="1"/>
  <c r="X8" i="11" s="1"/>
  <c r="U9" i="11"/>
  <c r="U7" i="11"/>
  <c r="V7" i="11" s="1"/>
  <c r="J8" i="11"/>
  <c r="K8" i="11" s="1"/>
  <c r="L8" i="11" s="1"/>
  <c r="J9" i="11"/>
  <c r="K9" i="11" s="1"/>
  <c r="L9" i="11" s="1"/>
  <c r="V9" i="11" l="1"/>
  <c r="W9" i="11" s="1"/>
  <c r="X9" i="11" s="1"/>
  <c r="AK13" i="11"/>
  <c r="AE13" i="11"/>
  <c r="AB13" i="11"/>
  <c r="AC13" i="11" s="1"/>
  <c r="AD13" i="11" s="1"/>
  <c r="Y13" i="11"/>
  <c r="V13" i="11"/>
  <c r="W13" i="11" s="1"/>
  <c r="X13" i="11" s="1"/>
  <c r="S13" i="11"/>
  <c r="P13" i="11"/>
  <c r="Q13" i="11" s="1"/>
  <c r="R13" i="11" s="1"/>
  <c r="M13" i="11"/>
  <c r="J13" i="11"/>
  <c r="K13" i="11" s="1"/>
  <c r="L13" i="11" s="1"/>
  <c r="AK12" i="11"/>
  <c r="AE12" i="11"/>
  <c r="AB12" i="11"/>
  <c r="AC12" i="11" s="1"/>
  <c r="AD12" i="11" s="1"/>
  <c r="Y12" i="11"/>
  <c r="V12" i="11"/>
  <c r="W12" i="11" s="1"/>
  <c r="X12" i="11" s="1"/>
  <c r="S12" i="11"/>
  <c r="P12" i="11"/>
  <c r="Q12" i="11" s="1"/>
  <c r="R12" i="11" s="1"/>
  <c r="M12" i="11"/>
  <c r="J12" i="11"/>
  <c r="K12" i="11" s="1"/>
  <c r="L12" i="11" s="1"/>
  <c r="AK7" i="11"/>
  <c r="AH7" i="11"/>
  <c r="AI7" i="11" s="1"/>
  <c r="AJ7" i="11" s="1"/>
  <c r="AE7" i="11"/>
  <c r="AB7" i="11"/>
  <c r="AC7" i="11" s="1"/>
  <c r="AD7" i="11" s="1"/>
  <c r="Y7" i="11"/>
  <c r="W7" i="11"/>
  <c r="X7" i="11" s="1"/>
  <c r="S7" i="11"/>
  <c r="P7" i="11"/>
  <c r="Q7" i="11" s="1"/>
  <c r="R7" i="11" s="1"/>
  <c r="M7" i="11"/>
  <c r="J7" i="11"/>
  <c r="K7" i="11" s="1"/>
  <c r="L7" i="11" s="1"/>
  <c r="AD16" i="11" l="1"/>
  <c r="L16" i="11"/>
  <c r="R16" i="11"/>
  <c r="AJ16" i="11"/>
  <c r="X16" i="11"/>
  <c r="O7" i="10"/>
  <c r="P7" i="10" s="1"/>
  <c r="Q7" i="10" s="1"/>
  <c r="U7" i="10"/>
  <c r="V7" i="10" s="1"/>
  <c r="J7" i="10"/>
  <c r="K7" i="10" s="1"/>
  <c r="L7" i="10" l="1"/>
  <c r="G7" i="10"/>
  <c r="F28" i="10" s="1"/>
  <c r="AD19" i="11"/>
  <c r="AD20" i="11" s="1"/>
  <c r="L19" i="11"/>
  <c r="L20" i="11" s="1"/>
  <c r="X19" i="11"/>
  <c r="X20" i="11" s="1"/>
  <c r="AJ19" i="11"/>
  <c r="AJ20" i="11" s="1"/>
  <c r="R19" i="11"/>
  <c r="R20" i="11" s="1"/>
  <c r="V28" i="10"/>
  <c r="AC11" i="8"/>
  <c r="Z11" i="8"/>
  <c r="AA11" i="8" s="1"/>
  <c r="AB11" i="8" s="1"/>
  <c r="W11" i="8"/>
  <c r="T11" i="8"/>
  <c r="U11" i="8" s="1"/>
  <c r="V11" i="8" s="1"/>
  <c r="Q11" i="8"/>
  <c r="N11" i="8"/>
  <c r="O11" i="8" s="1"/>
  <c r="P11" i="8" s="1"/>
  <c r="K11" i="8"/>
  <c r="H11" i="8"/>
  <c r="I11" i="8" s="1"/>
  <c r="J11" i="8" s="1"/>
  <c r="AC10" i="8"/>
  <c r="Z10" i="8"/>
  <c r="AA10" i="8" s="1"/>
  <c r="AB10" i="8" s="1"/>
  <c r="W10" i="8"/>
  <c r="T10" i="8"/>
  <c r="U10" i="8" s="1"/>
  <c r="V10" i="8" s="1"/>
  <c r="Q10" i="8"/>
  <c r="N10" i="8"/>
  <c r="O10" i="8" s="1"/>
  <c r="P10" i="8" s="1"/>
  <c r="K10" i="8"/>
  <c r="H10" i="8"/>
  <c r="I10" i="8" s="1"/>
  <c r="J10" i="8" s="1"/>
  <c r="AC9" i="8"/>
  <c r="Z9" i="8"/>
  <c r="AA9" i="8" s="1"/>
  <c r="AB9" i="8" s="1"/>
  <c r="W9" i="8"/>
  <c r="Q9" i="8"/>
  <c r="K9" i="8"/>
  <c r="AF8" i="8"/>
  <c r="AG8" i="8" s="1"/>
  <c r="AH8" i="8" s="1"/>
  <c r="AC8" i="8"/>
  <c r="Z8" i="8"/>
  <c r="AA8" i="8" s="1"/>
  <c r="AB8" i="8" s="1"/>
  <c r="W8" i="8"/>
  <c r="T8" i="8"/>
  <c r="U8" i="8" s="1"/>
  <c r="V8" i="8" s="1"/>
  <c r="Q8" i="8"/>
  <c r="N8" i="8"/>
  <c r="O8" i="8" s="1"/>
  <c r="P8" i="8" s="1"/>
  <c r="K8" i="8"/>
  <c r="H8" i="8"/>
  <c r="I8" i="8" s="1"/>
  <c r="J8" i="8" s="1"/>
  <c r="AF7" i="8"/>
  <c r="AG7" i="8" s="1"/>
  <c r="AH7" i="8" s="1"/>
  <c r="AC7" i="8"/>
  <c r="Z7" i="8"/>
  <c r="AA7" i="8" s="1"/>
  <c r="AB7" i="8" s="1"/>
  <c r="W7" i="8"/>
  <c r="U7" i="8"/>
  <c r="V7" i="8" s="1"/>
  <c r="Q7" i="8"/>
  <c r="O7" i="8"/>
  <c r="P7" i="8" s="1"/>
  <c r="K7" i="8"/>
  <c r="H7" i="8"/>
  <c r="I7" i="8" s="1"/>
  <c r="J7" i="8" s="1"/>
  <c r="L31" i="10" l="1"/>
  <c r="V31" i="10"/>
  <c r="L32" i="10"/>
  <c r="V32" i="10"/>
  <c r="AH14" i="8"/>
  <c r="P14" i="8"/>
  <c r="AB14" i="8"/>
  <c r="J14" i="8"/>
  <c r="V14" i="8"/>
  <c r="J17" i="8" l="1"/>
  <c r="J18" i="8" s="1"/>
  <c r="P17" i="8"/>
  <c r="P18" i="8" s="1"/>
  <c r="V17" i="8"/>
  <c r="V18" i="8" s="1"/>
  <c r="AH17" i="8"/>
  <c r="AH18" i="8" s="1"/>
  <c r="AB17" i="8"/>
  <c r="AB18" i="8" s="1"/>
  <c r="O25" i="10"/>
  <c r="P25" i="10"/>
  <c r="Q25" i="10"/>
  <c r="Q32" i="10"/>
</calcChain>
</file>

<file path=xl/sharedStrings.xml><?xml version="1.0" encoding="utf-8"?>
<sst xmlns="http://schemas.openxmlformats.org/spreadsheetml/2006/main" count="538" uniqueCount="128">
  <si>
    <t xml:space="preserve">                             COMPARATIVO CONTENEDORES</t>
  </si>
  <si>
    <t>Código: F-ITPA-02
Fecha: 23/12/2021
Versión: 01</t>
  </si>
  <si>
    <t xml:space="preserve"> NOMBRE:  O&amp;M OBRAS Y MONTAJES</t>
  </si>
  <si>
    <t xml:space="preserve"> NOMBRE:   E CONTAINER</t>
  </si>
  <si>
    <t xml:space="preserve"> NOMBRE:  ANTIOQUIA BOX</t>
  </si>
  <si>
    <t xml:space="preserve"> NOMBRE:  </t>
  </si>
  <si>
    <t>NIT:</t>
  </si>
  <si>
    <t>REPRESENTANTE LEGAL/ASESOR: ALEJANDRA RESTREPO</t>
  </si>
  <si>
    <t>REPRESENTANTE LEGAL/ASESOR: ALEJANDRO ROJAS</t>
  </si>
  <si>
    <t>REPRESENTANTE LEGAL/ASESOR: WILDERSON MEJIA</t>
  </si>
  <si>
    <t>REPRESENTANTE LEGAL:</t>
  </si>
  <si>
    <t>Nro</t>
  </si>
  <si>
    <t>ÍTEM</t>
  </si>
  <si>
    <t xml:space="preserve">FECHA APROBACIÓN </t>
  </si>
  <si>
    <t>DIRECCION:</t>
  </si>
  <si>
    <t xml:space="preserve">TELEFONO: </t>
  </si>
  <si>
    <t>TELEFONO:</t>
  </si>
  <si>
    <t>COSTO DIRECTO</t>
  </si>
  <si>
    <t xml:space="preserve">IVA </t>
  </si>
  <si>
    <t>VR UNITARIO TOTAL</t>
  </si>
  <si>
    <t>TOTAL</t>
  </si>
  <si>
    <t>IVA / UTIL</t>
  </si>
  <si>
    <t>IVA</t>
  </si>
  <si>
    <t>UN</t>
  </si>
  <si>
    <t>CANT. REAL</t>
  </si>
  <si>
    <t>Contenedor oficina</t>
  </si>
  <si>
    <t>mes</t>
  </si>
  <si>
    <t>Contenedor almacen</t>
  </si>
  <si>
    <t>Transporte</t>
  </si>
  <si>
    <t>viajes</t>
  </si>
  <si>
    <t>TOTALES</t>
  </si>
  <si>
    <t>DIFERENCIA CON LA MENOR PROPUESTA</t>
  </si>
  <si>
    <t>VARIACION</t>
  </si>
  <si>
    <t xml:space="preserve">Forma de pago: </t>
  </si>
  <si>
    <t>ANTICIPADO</t>
  </si>
  <si>
    <t>CREDITO</t>
  </si>
  <si>
    <t>Tiempo de entrega:</t>
  </si>
  <si>
    <t>Criterios de selección de proveedores</t>
  </si>
  <si>
    <t>Garantia:</t>
  </si>
  <si>
    <t>1. Precio</t>
  </si>
  <si>
    <t>2. Existencia legal de la empresa</t>
  </si>
  <si>
    <t>Descuentos sobre oferta inicial:</t>
  </si>
  <si>
    <t>3. Disponibilidad del producto</t>
  </si>
  <si>
    <t>4. Forma de pago</t>
  </si>
  <si>
    <t>Especificaciones generales:</t>
  </si>
  <si>
    <t>5. Calidad</t>
  </si>
  <si>
    <t>No incluye descargue, ni ubicación especial de los contenedores con montacargas.
-No tienen disponibilidad de estanteria
-Incluye aire acondicionado</t>
  </si>
  <si>
    <t>No incluye descargue, ni ubicación especial de los contenedores con montacargas.
-No se tiene disponibilidad de estanteria
-No incluye aire acondicionado</t>
  </si>
  <si>
    <t xml:space="preserve">-La oficina que ofrecen se puede adaptar para guardar material
-La oficina incluye aire acondicionado
-No incluye descargue, ni ubicación especial de los contenedores con montacargas
-El contenedor de almacen es una bodega que sirve para guardar material </t>
  </si>
  <si>
    <t>Se pide con este proveedor</t>
  </si>
  <si>
    <t>Se piden estos dos insumos</t>
  </si>
  <si>
    <t>6. Tiempo de entrega</t>
  </si>
  <si>
    <t>Otras condiciones:</t>
  </si>
  <si>
    <t>ninguna</t>
  </si>
  <si>
    <t xml:space="preserve">                             COMPARATIVO INSUMOS DE PINTURA 2026</t>
  </si>
  <si>
    <t xml:space="preserve"> NOMBRE: PINTURAS INDUSTRIALES</t>
  </si>
  <si>
    <t xml:space="preserve"> NOMBRE:  TECNO PINTURAS</t>
  </si>
  <si>
    <t xml:space="preserve"> NOMBRE: FERRETERIA Y DEPOSITO LA 39</t>
  </si>
  <si>
    <t>NIT: 890917961-9</t>
  </si>
  <si>
    <t>NIT:901051724-0</t>
  </si>
  <si>
    <t>NIT: 901419904-1</t>
  </si>
  <si>
    <t>REPRESENTANTE LEGAL/ASESOR: Alex</t>
  </si>
  <si>
    <t>REPRESENTANTE LEGAL/ASESOR: Viviana</t>
  </si>
  <si>
    <t>REPRESENTANTE LEGAL/ASESOR: LEYDI</t>
  </si>
  <si>
    <t>DIRECCION:Calle 9#43A -31</t>
  </si>
  <si>
    <t>TELEFONO: 3148943316</t>
  </si>
  <si>
    <t>DIRECCION: :CR 51 10B SUR 105</t>
  </si>
  <si>
    <t>TELEFONO: 3116049627</t>
  </si>
  <si>
    <t>DIRECCION: CR 39#35 Sur 34</t>
  </si>
  <si>
    <t>TELEFONO: 3013595926</t>
  </si>
  <si>
    <t>Vlr. Unitario</t>
  </si>
  <si>
    <t>Vlr. Total</t>
  </si>
  <si>
    <t>Estuco mastic exteriores</t>
  </si>
  <si>
    <t>caneca</t>
  </si>
  <si>
    <t>Estuco mastic interiores 2 en 1</t>
  </si>
  <si>
    <t>Acriltex blanco 2761</t>
  </si>
  <si>
    <t xml:space="preserve">Koraza blanca </t>
  </si>
  <si>
    <t>Xilol</t>
  </si>
  <si>
    <t>Galon</t>
  </si>
  <si>
    <t>Thinner Pintuco 21219</t>
  </si>
  <si>
    <t>Vineltex blanco 1501</t>
  </si>
  <si>
    <t>Pintutrafico blanco 653/13754</t>
  </si>
  <si>
    <t>Acrilica mantenimiento blanca 13883</t>
  </si>
  <si>
    <t>Koraza Gris niebla 2663</t>
  </si>
  <si>
    <t>Pintutrafico amarillo 13755</t>
  </si>
  <si>
    <t>Acrilica mantenimiento roja 13881</t>
  </si>
  <si>
    <t>Intervinil 2501</t>
  </si>
  <si>
    <t>Esmalte domestico 1100 blanco</t>
  </si>
  <si>
    <t>Remodedor 1020</t>
  </si>
  <si>
    <t>Pintulux Blanco 11</t>
  </si>
  <si>
    <t>Pintulux Gris plata 84</t>
  </si>
  <si>
    <t>Sellomax blanca base agua 18,93l</t>
  </si>
  <si>
    <t>Correct wasH primer 509A</t>
  </si>
  <si>
    <t>Catalizador wash primer incolor 509B</t>
  </si>
  <si>
    <t>CREDITO 30 DIAS</t>
  </si>
  <si>
    <t>CREDITO 30 DÍAS</t>
  </si>
  <si>
    <t>1 DÍA HABIL</t>
  </si>
  <si>
    <t>Garantía:</t>
  </si>
  <si>
    <t xml:space="preserve">                             COMPARATIVO ACERO</t>
  </si>
  <si>
    <t xml:space="preserve"> NOMBRE:  G Y J FERRETERIAS</t>
  </si>
  <si>
    <t xml:space="preserve"> NOMBRE:   STECKER</t>
  </si>
  <si>
    <t xml:space="preserve"> NOMBRE:  DIACO</t>
  </si>
  <si>
    <t xml:space="preserve">NIT: </t>
  </si>
  <si>
    <t>REPRESENTANTE LEGAL/ASESOR: NATALI ZAPATA</t>
  </si>
  <si>
    <t>REPRESENTANTE LEGAL/ASESOR: AMPARO ROLDAN</t>
  </si>
  <si>
    <t>REPRESENTANTE LEGAL/ASESOR: ADRIANA CARDONA</t>
  </si>
  <si>
    <t>PRECIO PRESUPUESTO</t>
  </si>
  <si>
    <t>TOTAL PRESUPUESTO</t>
  </si>
  <si>
    <t>ACERO FIGURADO 60000PSI</t>
  </si>
  <si>
    <t>KG</t>
  </si>
  <si>
    <t>MALLA ELECTROSOLDADA</t>
  </si>
  <si>
    <t>GRAFIL</t>
  </si>
  <si>
    <t xml:space="preserve">CREDITO </t>
  </si>
  <si>
    <t>Vigencia de precios 3 dias, en estos momentos el factor critico del acero es la disponibilidad de material, con GYJ tenemos un cupo reservado para ese suministro</t>
  </si>
  <si>
    <t>No tienen disponibilidad de material</t>
  </si>
  <si>
    <t xml:space="preserve">                             COMPARATIVO TACO MADERA</t>
  </si>
  <si>
    <t xml:space="preserve"> NOMBRE:  MADERAS LA UNION</t>
  </si>
  <si>
    <t xml:space="preserve"> NOMBRE:   MADEPINOS</t>
  </si>
  <si>
    <t xml:space="preserve">REPRESENTANTE LEGAL/ASESOR: </t>
  </si>
  <si>
    <t>REPRESENTANTE LEGAL/ASESOR:</t>
  </si>
  <si>
    <t>Taco en madera redondo</t>
  </si>
  <si>
    <t>und</t>
  </si>
  <si>
    <t xml:space="preserve">                             COMPARATIVO TELA ZARAN</t>
  </si>
  <si>
    <t xml:space="preserve"> NOMBRE:  TIENDAS</t>
  </si>
  <si>
    <t xml:space="preserve"> NOMBRE:   FERRETERIA TECNICA</t>
  </si>
  <si>
    <t xml:space="preserve"> NOMBRE:  FERRETERIA DOS PALACIOS</t>
  </si>
  <si>
    <t>Tela zaran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</si>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</sst>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0.0%"/>
    <numFmt numFmtId="168" formatCode="_ * #,##0.00_ ;_ * \-#,##0.00_ ;_ * &quot;-&quot;??_ ;_ @_ "/>
    <numFmt numFmtId="169" formatCode="_-&quot;$&quot;* #,##0_-;\-&quot;$&quot;* #,##0_-;_-&quot;$&quot;* &quot;-&quot;??_-;_-@_-"/>
    <numFmt numFmtId="170" formatCode="_ * #,##0_ ;_ * \-#,##0_ ;_ * &quot;-&quot;_ ;_ @_ "/>
    <numFmt numFmtId="171" formatCode="_-&quot;$&quot;* #,##0.00_-;\-&quot;$&quot;* #,##0.00_-;_-&quot;$&quot;* &quot;-&quot;??_-;_-@_-"/>
  </numFmts>
  <fonts count="2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Raleway"/>
      <family val="2"/>
    </font>
    <font>
      <b/>
      <sz val="14"/>
      <name val="Raleway"/>
      <family val="2"/>
    </font>
    <font>
      <b/>
      <sz val="16"/>
      <name val="Raleway"/>
      <family val="2"/>
    </font>
    <font>
      <b/>
      <sz val="14"/>
      <color theme="0"/>
      <name val="Raleway"/>
      <family val="2"/>
    </font>
    <font>
      <sz val="14"/>
      <name val="Raleway"/>
      <family val="2"/>
    </font>
    <font>
      <b/>
      <sz val="14"/>
      <color rgb="FFC00000"/>
      <name val="Raleway"/>
      <family val="2"/>
    </font>
    <font>
      <sz val="10"/>
      <name val="Raleway"/>
      <family val="2"/>
    </font>
    <font>
      <sz val="11"/>
      <name val="Raleway"/>
      <family val="2"/>
    </font>
    <font>
      <b/>
      <sz val="10"/>
      <name val="Raleway"/>
      <family val="2"/>
    </font>
    <font>
      <sz val="12"/>
      <name val="Raleway"/>
      <family val="2"/>
    </font>
    <font>
      <b/>
      <sz val="16"/>
      <color rgb="FFFF0000"/>
      <name val="Raleway"/>
      <family val="2"/>
    </font>
    <font>
      <b/>
      <sz val="11"/>
      <name val="Raleway"/>
      <family val="2"/>
    </font>
    <font>
      <b/>
      <sz val="12"/>
      <color rgb="FFFF0000"/>
      <name val="Raleway"/>
      <family val="2"/>
    </font>
    <font>
      <sz val="12"/>
      <color rgb="FFFF0000"/>
      <name val="Raleway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Raleway"/>
    </font>
    <font>
      <sz val="12"/>
      <color theme="1"/>
      <name val="Raleway"/>
    </font>
    <font>
      <b/>
      <sz val="11"/>
      <name val="Raleway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 applyFont="0" applyFill="0" applyBorder="0" applyAlignment="0" applyProtection="0"/>
  </cellStyleXfs>
  <cellXfs count="408">
    <xf numFmtId="0" fontId="0" fillId="0" borderId="0" xfId="0"/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66" fontId="4" fillId="0" borderId="0" xfId="2" applyFont="1" applyFill="1" applyBorder="1" applyAlignment="1">
      <alignment horizontal="center" vertical="center"/>
    </xf>
    <xf numFmtId="0" fontId="7" fillId="0" borderId="0" xfId="0" applyFont="1"/>
    <xf numFmtId="0" fontId="6" fillId="0" borderId="6" xfId="0" applyFont="1" applyBorder="1" applyAlignment="1">
      <alignment vertical="center"/>
    </xf>
    <xf numFmtId="49" fontId="4" fillId="0" borderId="0" xfId="2" applyNumberFormat="1" applyFont="1" applyFill="1" applyBorder="1" applyAlignment="1">
      <alignment horizontal="left" vertical="center" wrapText="1"/>
    </xf>
    <xf numFmtId="9" fontId="4" fillId="2" borderId="17" xfId="3" applyFont="1" applyFill="1" applyBorder="1" applyAlignment="1">
      <alignment horizontal="center" vertical="center" wrapText="1"/>
    </xf>
    <xf numFmtId="9" fontId="4" fillId="5" borderId="17" xfId="3" applyFont="1" applyFill="1" applyBorder="1" applyAlignment="1">
      <alignment horizontal="center" vertical="center" wrapText="1"/>
    </xf>
    <xf numFmtId="168" fontId="7" fillId="0" borderId="14" xfId="1" applyFont="1" applyFill="1" applyBorder="1" applyAlignment="1">
      <alignment vertical="center"/>
    </xf>
    <xf numFmtId="169" fontId="12" fillId="0" borderId="26" xfId="2" applyNumberFormat="1" applyFont="1" applyFill="1" applyBorder="1" applyAlignment="1">
      <alignment horizontal="center"/>
    </xf>
    <xf numFmtId="171" fontId="12" fillId="0" borderId="26" xfId="2" applyNumberFormat="1" applyFont="1" applyFill="1" applyBorder="1" applyAlignment="1">
      <alignment horizontal="center"/>
    </xf>
    <xf numFmtId="3" fontId="9" fillId="0" borderId="0" xfId="2" applyNumberFormat="1" applyFont="1" applyFill="1" applyBorder="1" applyAlignment="1">
      <alignment horizontal="right" vertical="center"/>
    </xf>
    <xf numFmtId="166" fontId="12" fillId="0" borderId="15" xfId="2" applyFont="1" applyFill="1" applyBorder="1" applyAlignment="1">
      <alignment horizontal="center" vertical="center"/>
    </xf>
    <xf numFmtId="169" fontId="12" fillId="0" borderId="9" xfId="2" applyNumberFormat="1" applyFont="1" applyFill="1" applyBorder="1" applyAlignment="1">
      <alignment horizontal="center"/>
    </xf>
    <xf numFmtId="0" fontId="9" fillId="0" borderId="0" xfId="0" applyFont="1"/>
    <xf numFmtId="168" fontId="7" fillId="0" borderId="10" xfId="1" applyFont="1" applyFill="1" applyBorder="1" applyAlignment="1">
      <alignment vertical="center"/>
    </xf>
    <xf numFmtId="166" fontId="12" fillId="0" borderId="0" xfId="2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68" fontId="7" fillId="0" borderId="12" xfId="1" applyFont="1" applyFill="1" applyBorder="1"/>
    <xf numFmtId="170" fontId="9" fillId="0" borderId="0" xfId="0" applyNumberFormat="1" applyFont="1" applyAlignment="1">
      <alignment horizontal="center" vertical="center"/>
    </xf>
    <xf numFmtId="3" fontId="9" fillId="0" borderId="11" xfId="2" applyNumberFormat="1" applyFont="1" applyFill="1" applyBorder="1" applyAlignment="1">
      <alignment vertical="center"/>
    </xf>
    <xf numFmtId="3" fontId="9" fillId="0" borderId="18" xfId="2" applyNumberFormat="1" applyFont="1" applyFill="1" applyBorder="1" applyAlignment="1">
      <alignment vertical="center"/>
    </xf>
    <xf numFmtId="3" fontId="9" fillId="0" borderId="12" xfId="2" applyNumberFormat="1" applyFont="1" applyFill="1" applyBorder="1" applyAlignment="1">
      <alignment vertical="center"/>
    </xf>
    <xf numFmtId="3" fontId="9" fillId="0" borderId="0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66" fontId="5" fillId="0" borderId="0" xfId="2" applyFont="1" applyFill="1" applyBorder="1" applyAlignment="1">
      <alignment horizontal="center" vertical="center"/>
    </xf>
    <xf numFmtId="166" fontId="13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6" fontId="7" fillId="2" borderId="23" xfId="2" applyFont="1" applyFill="1" applyBorder="1" applyAlignment="1">
      <alignment vertical="center"/>
    </xf>
    <xf numFmtId="166" fontId="7" fillId="0" borderId="0" xfId="2" applyFont="1" applyFill="1" applyBorder="1" applyAlignment="1">
      <alignment vertical="center"/>
    </xf>
    <xf numFmtId="166" fontId="7" fillId="3" borderId="23" xfId="2" applyFont="1" applyFill="1" applyBorder="1" applyAlignment="1">
      <alignment vertical="center"/>
    </xf>
    <xf numFmtId="166" fontId="7" fillId="4" borderId="23" xfId="2" applyFont="1" applyFill="1" applyBorder="1" applyAlignment="1">
      <alignment vertical="center"/>
    </xf>
    <xf numFmtId="166" fontId="7" fillId="5" borderId="23" xfId="2" applyFont="1" applyFill="1" applyBorder="1" applyAlignment="1">
      <alignment vertical="center"/>
    </xf>
    <xf numFmtId="10" fontId="4" fillId="2" borderId="24" xfId="3" applyNumberFormat="1" applyFont="1" applyFill="1" applyBorder="1" applyAlignment="1">
      <alignment vertical="center"/>
    </xf>
    <xf numFmtId="10" fontId="4" fillId="0" borderId="0" xfId="3" applyNumberFormat="1" applyFont="1" applyFill="1" applyBorder="1" applyAlignment="1">
      <alignment vertical="center"/>
    </xf>
    <xf numFmtId="10" fontId="4" fillId="3" borderId="24" xfId="3" applyNumberFormat="1" applyFont="1" applyFill="1" applyBorder="1" applyAlignment="1">
      <alignment vertical="center"/>
    </xf>
    <xf numFmtId="0" fontId="4" fillId="5" borderId="24" xfId="3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67" fontId="4" fillId="0" borderId="0" xfId="3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7" fontId="11" fillId="0" borderId="0" xfId="3" applyNumberFormat="1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167" fontId="14" fillId="0" borderId="6" xfId="3" applyNumberFormat="1" applyFont="1" applyFill="1" applyBorder="1" applyAlignment="1">
      <alignment vertical="center"/>
    </xf>
    <xf numFmtId="167" fontId="14" fillId="0" borderId="0" xfId="3" applyNumberFormat="1" applyFont="1" applyFill="1" applyBorder="1" applyAlignment="1">
      <alignment vertical="center"/>
    </xf>
    <xf numFmtId="167" fontId="10" fillId="0" borderId="0" xfId="3" applyNumberFormat="1" applyFont="1" applyFill="1" applyBorder="1" applyAlignment="1">
      <alignment vertical="center"/>
    </xf>
    <xf numFmtId="167" fontId="10" fillId="0" borderId="7" xfId="3" applyNumberFormat="1" applyFont="1" applyFill="1" applyBorder="1" applyAlignment="1">
      <alignment vertical="center"/>
    </xf>
    <xf numFmtId="167" fontId="14" fillId="0" borderId="7" xfId="3" applyNumberFormat="1" applyFont="1" applyFill="1" applyBorder="1" applyAlignment="1">
      <alignment vertical="center"/>
    </xf>
    <xf numFmtId="167" fontId="11" fillId="0" borderId="0" xfId="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7" fontId="14" fillId="0" borderId="1" xfId="3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168" fontId="7" fillId="0" borderId="39" xfId="1" applyFont="1" applyFill="1" applyBorder="1"/>
    <xf numFmtId="171" fontId="12" fillId="0" borderId="49" xfId="2" applyNumberFormat="1" applyFont="1" applyFill="1" applyBorder="1" applyAlignment="1">
      <alignment horizontal="center"/>
    </xf>
    <xf numFmtId="166" fontId="12" fillId="0" borderId="50" xfId="2" applyFont="1" applyFill="1" applyBorder="1" applyAlignment="1">
      <alignment horizontal="center" vertical="center"/>
    </xf>
    <xf numFmtId="171" fontId="12" fillId="0" borderId="51" xfId="2" applyNumberFormat="1" applyFont="1" applyFill="1" applyBorder="1" applyAlignment="1">
      <alignment horizontal="center"/>
    </xf>
    <xf numFmtId="171" fontId="12" fillId="0" borderId="52" xfId="2" applyNumberFormat="1" applyFont="1" applyFill="1" applyBorder="1" applyAlignment="1">
      <alignment horizontal="center"/>
    </xf>
    <xf numFmtId="166" fontId="12" fillId="0" borderId="53" xfId="2" applyFont="1" applyFill="1" applyBorder="1" applyAlignment="1">
      <alignment horizontal="center" vertical="center"/>
    </xf>
    <xf numFmtId="169" fontId="12" fillId="0" borderId="54" xfId="2" applyNumberFormat="1" applyFont="1" applyFill="1" applyBorder="1" applyAlignment="1">
      <alignment horizontal="center"/>
    </xf>
    <xf numFmtId="171" fontId="12" fillId="0" borderId="54" xfId="2" applyNumberFormat="1" applyFont="1" applyFill="1" applyBorder="1" applyAlignment="1">
      <alignment horizontal="center"/>
    </xf>
    <xf numFmtId="171" fontId="12" fillId="0" borderId="50" xfId="2" applyNumberFormat="1" applyFont="1" applyFill="1" applyBorder="1" applyAlignment="1">
      <alignment horizontal="center" vertical="center"/>
    </xf>
    <xf numFmtId="3" fontId="9" fillId="0" borderId="52" xfId="2" applyNumberFormat="1" applyFont="1" applyFill="1" applyBorder="1" applyAlignment="1">
      <alignment vertical="center"/>
    </xf>
    <xf numFmtId="3" fontId="9" fillId="0" borderId="58" xfId="2" applyNumberFormat="1" applyFont="1" applyFill="1" applyBorder="1" applyAlignment="1">
      <alignment vertical="center"/>
    </xf>
    <xf numFmtId="169" fontId="12" fillId="0" borderId="49" xfId="2" applyNumberFormat="1" applyFont="1" applyFill="1" applyBorder="1" applyAlignment="1">
      <alignment horizontal="center"/>
    </xf>
    <xf numFmtId="169" fontId="12" fillId="0" borderId="51" xfId="2" applyNumberFormat="1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 wrapText="1"/>
    </xf>
    <xf numFmtId="9" fontId="4" fillId="3" borderId="54" xfId="3" applyFont="1" applyFill="1" applyBorder="1" applyAlignment="1">
      <alignment horizontal="center" vertical="center" wrapText="1"/>
    </xf>
    <xf numFmtId="171" fontId="12" fillId="0" borderId="28" xfId="2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49" fontId="10" fillId="0" borderId="0" xfId="1" applyNumberFormat="1" applyFont="1" applyFill="1" applyBorder="1" applyAlignment="1">
      <alignment vertical="center"/>
    </xf>
    <xf numFmtId="49" fontId="10" fillId="0" borderId="7" xfId="1" applyNumberFormat="1" applyFont="1" applyFill="1" applyBorder="1" applyAlignment="1">
      <alignment vertical="center"/>
    </xf>
    <xf numFmtId="9" fontId="4" fillId="6" borderId="17" xfId="3" applyFont="1" applyFill="1" applyBorder="1" applyAlignment="1">
      <alignment horizontal="center" vertical="center" wrapText="1"/>
    </xf>
    <xf numFmtId="166" fontId="7" fillId="6" borderId="23" xfId="2" applyFont="1" applyFill="1" applyBorder="1" applyAlignment="1">
      <alignment vertical="center"/>
    </xf>
    <xf numFmtId="0" fontId="4" fillId="6" borderId="24" xfId="3" applyNumberFormat="1" applyFont="1" applyFill="1" applyBorder="1" applyAlignment="1">
      <alignment vertical="center"/>
    </xf>
    <xf numFmtId="0" fontId="15" fillId="0" borderId="0" xfId="0" applyFont="1" applyAlignment="1">
      <alignment vertical="top"/>
    </xf>
    <xf numFmtId="0" fontId="9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12" fillId="0" borderId="0" xfId="0" applyFont="1"/>
    <xf numFmtId="0" fontId="9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  <xf numFmtId="0" fontId="10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4" fillId="4" borderId="63" xfId="3" applyFont="1" applyFill="1" applyBorder="1" applyAlignment="1">
      <alignment horizontal="center" vertical="center" wrapText="1"/>
    </xf>
    <xf numFmtId="166" fontId="12" fillId="0" borderId="26" xfId="2" applyFont="1" applyFill="1" applyBorder="1" applyAlignment="1">
      <alignment horizontal="center" vertical="center"/>
    </xf>
    <xf numFmtId="164" fontId="18" fillId="7" borderId="28" xfId="6" applyFont="1" applyFill="1" applyBorder="1"/>
    <xf numFmtId="49" fontId="4" fillId="2" borderId="0" xfId="2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71" fontId="12" fillId="0" borderId="0" xfId="2" applyNumberFormat="1" applyFont="1" applyFill="1" applyBorder="1" applyAlignment="1">
      <alignment horizontal="center" vertical="center"/>
    </xf>
    <xf numFmtId="164" fontId="13" fillId="2" borderId="0" xfId="6" applyFont="1" applyFill="1" applyBorder="1" applyAlignment="1">
      <alignment horizontal="center" vertical="center"/>
    </xf>
    <xf numFmtId="166" fontId="7" fillId="2" borderId="0" xfId="2" applyFont="1" applyFill="1" applyBorder="1" applyAlignment="1">
      <alignment vertical="center"/>
    </xf>
    <xf numFmtId="10" fontId="4" fillId="2" borderId="0" xfId="3" applyNumberFormat="1" applyFont="1" applyFill="1" applyBorder="1" applyAlignment="1">
      <alignment vertical="center"/>
    </xf>
    <xf numFmtId="49" fontId="4" fillId="3" borderId="0" xfId="2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66" fontId="7" fillId="3" borderId="0" xfId="2" applyFont="1" applyFill="1" applyBorder="1" applyAlignment="1">
      <alignment vertical="center"/>
    </xf>
    <xf numFmtId="10" fontId="4" fillId="3" borderId="0" xfId="3" applyNumberFormat="1" applyFont="1" applyFill="1" applyBorder="1" applyAlignment="1">
      <alignment vertical="center"/>
    </xf>
    <xf numFmtId="49" fontId="4" fillId="4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166" fontId="7" fillId="4" borderId="0" xfId="2" applyFont="1" applyFill="1" applyBorder="1" applyAlignment="1">
      <alignment vertical="center"/>
    </xf>
    <xf numFmtId="0" fontId="4" fillId="4" borderId="0" xfId="3" applyNumberFormat="1" applyFont="1" applyFill="1" applyBorder="1" applyAlignment="1">
      <alignment vertical="center"/>
    </xf>
    <xf numFmtId="49" fontId="4" fillId="5" borderId="0" xfId="2" applyNumberFormat="1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164" fontId="13" fillId="5" borderId="0" xfId="6" applyFont="1" applyFill="1" applyBorder="1" applyAlignment="1">
      <alignment horizontal="center" vertical="center"/>
    </xf>
    <xf numFmtId="166" fontId="7" fillId="5" borderId="0" xfId="2" applyFont="1" applyFill="1" applyBorder="1" applyAlignment="1">
      <alignment vertical="center"/>
    </xf>
    <xf numFmtId="0" fontId="4" fillId="5" borderId="0" xfId="3" applyNumberFormat="1" applyFont="1" applyFill="1" applyBorder="1" applyAlignment="1">
      <alignment vertical="center"/>
    </xf>
    <xf numFmtId="9" fontId="4" fillId="4" borderId="25" xfId="3" applyFont="1" applyFill="1" applyBorder="1" applyAlignment="1">
      <alignment vertical="center"/>
    </xf>
    <xf numFmtId="167" fontId="14" fillId="0" borderId="6" xfId="3" applyNumberFormat="1" applyFont="1" applyFill="1" applyBorder="1" applyAlignment="1">
      <alignment horizontal="left" vertical="center"/>
    </xf>
    <xf numFmtId="167" fontId="14" fillId="0" borderId="0" xfId="3" applyNumberFormat="1" applyFont="1" applyFill="1" applyBorder="1" applyAlignment="1">
      <alignment horizontal="left" vertical="center"/>
    </xf>
    <xf numFmtId="167" fontId="10" fillId="0" borderId="0" xfId="3" applyNumberFormat="1" applyFont="1" applyFill="1" applyBorder="1" applyAlignment="1">
      <alignment horizontal="left" vertical="center"/>
    </xf>
    <xf numFmtId="167" fontId="10" fillId="0" borderId="7" xfId="3" applyNumberFormat="1" applyFont="1" applyFill="1" applyBorder="1" applyAlignment="1">
      <alignment horizontal="left" vertical="center"/>
    </xf>
    <xf numFmtId="167" fontId="14" fillId="0" borderId="0" xfId="3" applyNumberFormat="1" applyFont="1" applyFill="1" applyBorder="1" applyAlignment="1">
      <alignment horizontal="center" vertical="center"/>
    </xf>
    <xf numFmtId="167" fontId="16" fillId="0" borderId="0" xfId="3" applyNumberFormat="1" applyFont="1" applyFill="1" applyBorder="1" applyAlignment="1">
      <alignment horizontal="center" vertical="center"/>
    </xf>
    <xf numFmtId="166" fontId="4" fillId="5" borderId="0" xfId="2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49" fontId="10" fillId="0" borderId="0" xfId="1" applyNumberFormat="1" applyFont="1" applyFill="1" applyBorder="1" applyAlignment="1">
      <alignment horizontal="left" vertical="center"/>
    </xf>
    <xf numFmtId="0" fontId="4" fillId="4" borderId="4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166" fontId="4" fillId="4" borderId="0" xfId="2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 wrapText="1"/>
    </xf>
    <xf numFmtId="166" fontId="4" fillId="2" borderId="0" xfId="2" applyFont="1" applyFill="1" applyBorder="1" applyAlignment="1">
      <alignment horizontal="center" vertical="center"/>
    </xf>
    <xf numFmtId="166" fontId="4" fillId="3" borderId="0" xfId="2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8" fontId="7" fillId="0" borderId="0" xfId="1" applyFont="1" applyFill="1" applyBorder="1"/>
    <xf numFmtId="0" fontId="3" fillId="0" borderId="0" xfId="0" applyFont="1" applyAlignment="1">
      <alignment horizontal="center" vertical="top" wrapText="1"/>
    </xf>
    <xf numFmtId="168" fontId="7" fillId="0" borderId="67" xfId="1" applyFont="1" applyFill="1" applyBorder="1" applyAlignment="1">
      <alignment vertical="center"/>
    </xf>
    <xf numFmtId="168" fontId="7" fillId="0" borderId="24" xfId="1" applyFont="1" applyFill="1" applyBorder="1"/>
    <xf numFmtId="168" fontId="7" fillId="0" borderId="68" xfId="1" applyFont="1" applyFill="1" applyBorder="1" applyAlignment="1">
      <alignment vertical="center"/>
    </xf>
    <xf numFmtId="0" fontId="4" fillId="0" borderId="65" xfId="0" applyFont="1" applyBorder="1" applyAlignment="1">
      <alignment vertical="center"/>
    </xf>
    <xf numFmtId="168" fontId="7" fillId="0" borderId="33" xfId="1" applyFont="1" applyFill="1" applyBorder="1" applyAlignment="1">
      <alignment vertical="center"/>
    </xf>
    <xf numFmtId="168" fontId="7" fillId="0" borderId="30" xfId="1" applyFont="1" applyFill="1" applyBorder="1" applyAlignment="1">
      <alignment vertical="center"/>
    </xf>
    <xf numFmtId="168" fontId="7" fillId="0" borderId="32" xfId="1" applyFont="1" applyFill="1" applyBorder="1"/>
    <xf numFmtId="0" fontId="9" fillId="0" borderId="33" xfId="0" applyFont="1" applyBorder="1" applyAlignment="1">
      <alignment horizontal="center" vertical="center"/>
    </xf>
    <xf numFmtId="168" fontId="7" fillId="0" borderId="26" xfId="1" applyFont="1" applyFill="1" applyBorder="1" applyAlignment="1">
      <alignment vertical="center"/>
    </xf>
    <xf numFmtId="168" fontId="7" fillId="0" borderId="28" xfId="1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8" fontId="7" fillId="0" borderId="15" xfId="1" applyFont="1" applyFill="1" applyBorder="1" applyAlignment="1">
      <alignment vertical="center"/>
    </xf>
    <xf numFmtId="0" fontId="7" fillId="0" borderId="71" xfId="0" applyFont="1" applyBorder="1" applyAlignment="1">
      <alignment horizontal="center" vertical="center"/>
    </xf>
    <xf numFmtId="168" fontId="7" fillId="0" borderId="72" xfId="1" applyFont="1" applyFill="1" applyBorder="1"/>
    <xf numFmtId="0" fontId="4" fillId="2" borderId="24" xfId="3" applyNumberFormat="1" applyFont="1" applyFill="1" applyBorder="1" applyAlignment="1">
      <alignment vertical="center"/>
    </xf>
    <xf numFmtId="0" fontId="4" fillId="3" borderId="24" xfId="3" applyNumberFormat="1" applyFont="1" applyFill="1" applyBorder="1" applyAlignment="1">
      <alignment vertical="center"/>
    </xf>
    <xf numFmtId="0" fontId="4" fillId="4" borderId="25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8" fontId="7" fillId="0" borderId="70" xfId="1" applyFont="1" applyFill="1" applyBorder="1" applyAlignment="1">
      <alignment horizontal="center" vertical="center"/>
    </xf>
    <xf numFmtId="168" fontId="7" fillId="0" borderId="73" xfId="1" applyFont="1" applyFill="1" applyBorder="1"/>
    <xf numFmtId="168" fontId="7" fillId="0" borderId="74" xfId="1" applyFont="1" applyFill="1" applyBorder="1"/>
    <xf numFmtId="166" fontId="12" fillId="0" borderId="10" xfId="2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171" fontId="12" fillId="0" borderId="9" xfId="2" applyNumberFormat="1" applyFont="1" applyFill="1" applyBorder="1" applyAlignment="1">
      <alignment horizontal="center"/>
    </xf>
    <xf numFmtId="171" fontId="12" fillId="0" borderId="15" xfId="2" applyNumberFormat="1" applyFont="1" applyFill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26" xfId="0" applyFont="1" applyBorder="1"/>
    <xf numFmtId="0" fontId="7" fillId="0" borderId="4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7" fillId="0" borderId="28" xfId="0" applyFont="1" applyBorder="1"/>
    <xf numFmtId="166" fontId="4" fillId="6" borderId="1" xfId="2" applyFont="1" applyFill="1" applyBorder="1" applyAlignment="1">
      <alignment horizontal="center" vertical="center"/>
    </xf>
    <xf numFmtId="166" fontId="4" fillId="6" borderId="5" xfId="2" applyFont="1" applyFill="1" applyBorder="1" applyAlignment="1">
      <alignment horizontal="center" vertical="center"/>
    </xf>
    <xf numFmtId="166" fontId="4" fillId="6" borderId="2" xfId="2" applyFont="1" applyFill="1" applyBorder="1" applyAlignment="1">
      <alignment horizontal="center" vertical="center"/>
    </xf>
    <xf numFmtId="166" fontId="4" fillId="2" borderId="6" xfId="2" applyFont="1" applyFill="1" applyBorder="1" applyAlignment="1">
      <alignment horizontal="center" vertical="center"/>
    </xf>
    <xf numFmtId="166" fontId="4" fillId="2" borderId="0" xfId="2" applyFont="1" applyFill="1" applyBorder="1" applyAlignment="1">
      <alignment horizontal="center" vertical="center"/>
    </xf>
    <xf numFmtId="166" fontId="4" fillId="2" borderId="7" xfId="2" applyFont="1" applyFill="1" applyBorder="1" applyAlignment="1">
      <alignment horizontal="center" vertical="center"/>
    </xf>
    <xf numFmtId="166" fontId="4" fillId="3" borderId="6" xfId="2" applyFont="1" applyFill="1" applyBorder="1" applyAlignment="1">
      <alignment horizontal="center" vertical="center"/>
    </xf>
    <xf numFmtId="166" fontId="4" fillId="3" borderId="0" xfId="2" applyFont="1" applyFill="1" applyBorder="1" applyAlignment="1">
      <alignment horizontal="center" vertical="center"/>
    </xf>
    <xf numFmtId="166" fontId="4" fillId="3" borderId="7" xfId="2" applyFont="1" applyFill="1" applyBorder="1" applyAlignment="1">
      <alignment horizontal="center" vertical="center"/>
    </xf>
    <xf numFmtId="166" fontId="4" fillId="4" borderId="6" xfId="2" applyFont="1" applyFill="1" applyBorder="1" applyAlignment="1">
      <alignment horizontal="center" vertical="center"/>
    </xf>
    <xf numFmtId="166" fontId="4" fillId="4" borderId="0" xfId="2" applyFont="1" applyFill="1" applyBorder="1" applyAlignment="1">
      <alignment horizontal="center" vertical="center"/>
    </xf>
    <xf numFmtId="166" fontId="4" fillId="4" borderId="7" xfId="2" applyFont="1" applyFill="1" applyBorder="1" applyAlignment="1">
      <alignment horizontal="center" vertical="center"/>
    </xf>
    <xf numFmtId="166" fontId="4" fillId="5" borderId="6" xfId="2" applyFont="1" applyFill="1" applyBorder="1" applyAlignment="1">
      <alignment horizontal="center" vertical="center"/>
    </xf>
    <xf numFmtId="166" fontId="4" fillId="5" borderId="0" xfId="2" applyFont="1" applyFill="1" applyBorder="1" applyAlignment="1">
      <alignment horizontal="center" vertical="center"/>
    </xf>
    <xf numFmtId="166" fontId="4" fillId="5" borderId="7" xfId="2" applyFont="1" applyFill="1" applyBorder="1" applyAlignment="1">
      <alignment horizontal="center" vertical="center"/>
    </xf>
    <xf numFmtId="166" fontId="4" fillId="6" borderId="6" xfId="2" applyFont="1" applyFill="1" applyBorder="1" applyAlignment="1">
      <alignment horizontal="center" vertical="center"/>
    </xf>
    <xf numFmtId="166" fontId="4" fillId="6" borderId="0" xfId="2" applyFont="1" applyFill="1" applyBorder="1" applyAlignment="1">
      <alignment horizontal="center" vertical="center"/>
    </xf>
    <xf numFmtId="166" fontId="4" fillId="6" borderId="7" xfId="2" applyFont="1" applyFill="1" applyBorder="1" applyAlignment="1">
      <alignment horizontal="center" vertical="center"/>
    </xf>
    <xf numFmtId="166" fontId="5" fillId="0" borderId="0" xfId="2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166" fontId="4" fillId="2" borderId="1" xfId="2" applyFont="1" applyFill="1" applyBorder="1" applyAlignment="1">
      <alignment horizontal="center" vertical="center"/>
    </xf>
    <xf numFmtId="166" fontId="4" fillId="2" borderId="5" xfId="2" applyFont="1" applyFill="1" applyBorder="1" applyAlignment="1">
      <alignment horizontal="center" vertical="center"/>
    </xf>
    <xf numFmtId="166" fontId="4" fillId="2" borderId="2" xfId="2" applyFont="1" applyFill="1" applyBorder="1" applyAlignment="1">
      <alignment horizontal="center" vertical="center"/>
    </xf>
    <xf numFmtId="166" fontId="4" fillId="3" borderId="1" xfId="2" applyFont="1" applyFill="1" applyBorder="1" applyAlignment="1">
      <alignment horizontal="center" vertical="center"/>
    </xf>
    <xf numFmtId="166" fontId="4" fillId="3" borderId="5" xfId="2" applyFont="1" applyFill="1" applyBorder="1" applyAlignment="1">
      <alignment horizontal="center" vertical="center"/>
    </xf>
    <xf numFmtId="166" fontId="4" fillId="3" borderId="2" xfId="2" applyFont="1" applyFill="1" applyBorder="1" applyAlignment="1">
      <alignment horizontal="center" vertical="center"/>
    </xf>
    <xf numFmtId="166" fontId="4" fillId="4" borderId="1" xfId="2" applyFont="1" applyFill="1" applyBorder="1" applyAlignment="1">
      <alignment horizontal="center" vertical="center"/>
    </xf>
    <xf numFmtId="166" fontId="4" fillId="4" borderId="5" xfId="2" applyFont="1" applyFill="1" applyBorder="1" applyAlignment="1">
      <alignment horizontal="center" vertical="center"/>
    </xf>
    <xf numFmtId="166" fontId="4" fillId="4" borderId="2" xfId="2" applyFont="1" applyFill="1" applyBorder="1" applyAlignment="1">
      <alignment horizontal="center" vertical="center"/>
    </xf>
    <xf numFmtId="166" fontId="4" fillId="5" borderId="1" xfId="2" applyFont="1" applyFill="1" applyBorder="1" applyAlignment="1">
      <alignment horizontal="center" vertical="center"/>
    </xf>
    <xf numFmtId="166" fontId="4" fillId="5" borderId="5" xfId="2" applyFont="1" applyFill="1" applyBorder="1" applyAlignment="1">
      <alignment horizontal="center" vertical="center"/>
    </xf>
    <xf numFmtId="166" fontId="4" fillId="5" borderId="2" xfId="2" applyFont="1" applyFill="1" applyBorder="1" applyAlignment="1">
      <alignment horizontal="center" vertical="center"/>
    </xf>
    <xf numFmtId="166" fontId="4" fillId="2" borderId="3" xfId="2" applyFont="1" applyFill="1" applyBorder="1" applyAlignment="1">
      <alignment horizontal="center" vertical="center"/>
    </xf>
    <xf numFmtId="166" fontId="4" fillId="2" borderId="8" xfId="2" applyFont="1" applyFill="1" applyBorder="1" applyAlignment="1">
      <alignment horizontal="center" vertical="center"/>
    </xf>
    <xf numFmtId="166" fontId="4" fillId="2" borderId="4" xfId="2" applyFont="1" applyFill="1" applyBorder="1" applyAlignment="1">
      <alignment horizontal="center" vertical="center"/>
    </xf>
    <xf numFmtId="166" fontId="4" fillId="3" borderId="3" xfId="2" applyFont="1" applyFill="1" applyBorder="1" applyAlignment="1">
      <alignment horizontal="center" vertical="center"/>
    </xf>
    <xf numFmtId="166" fontId="4" fillId="3" borderId="8" xfId="2" applyFont="1" applyFill="1" applyBorder="1" applyAlignment="1">
      <alignment horizontal="center" vertical="center"/>
    </xf>
    <xf numFmtId="166" fontId="4" fillId="3" borderId="4" xfId="2" applyFont="1" applyFill="1" applyBorder="1" applyAlignment="1">
      <alignment horizontal="center" vertical="center"/>
    </xf>
    <xf numFmtId="166" fontId="4" fillId="4" borderId="3" xfId="2" applyFont="1" applyFill="1" applyBorder="1" applyAlignment="1">
      <alignment horizontal="center" vertical="center"/>
    </xf>
    <xf numFmtId="166" fontId="4" fillId="4" borderId="8" xfId="2" applyFont="1" applyFill="1" applyBorder="1" applyAlignment="1">
      <alignment horizontal="center" vertical="center"/>
    </xf>
    <xf numFmtId="166" fontId="4" fillId="4" borderId="4" xfId="2" applyFont="1" applyFill="1" applyBorder="1" applyAlignment="1">
      <alignment horizontal="center" vertical="center"/>
    </xf>
    <xf numFmtId="166" fontId="4" fillId="5" borderId="3" xfId="2" applyFont="1" applyFill="1" applyBorder="1" applyAlignment="1">
      <alignment horizontal="center" vertical="center"/>
    </xf>
    <xf numFmtId="166" fontId="4" fillId="5" borderId="8" xfId="2" applyFont="1" applyFill="1" applyBorder="1" applyAlignment="1">
      <alignment horizontal="center" vertical="center"/>
    </xf>
    <xf numFmtId="166" fontId="4" fillId="5" borderId="4" xfId="2" applyFont="1" applyFill="1" applyBorder="1" applyAlignment="1">
      <alignment horizontal="center" vertical="center"/>
    </xf>
    <xf numFmtId="166" fontId="4" fillId="6" borderId="3" xfId="2" applyFont="1" applyFill="1" applyBorder="1" applyAlignment="1">
      <alignment horizontal="center" vertical="center"/>
    </xf>
    <xf numFmtId="166" fontId="4" fillId="6" borderId="8" xfId="2" applyFont="1" applyFill="1" applyBorder="1" applyAlignment="1">
      <alignment horizontal="center" vertical="center"/>
    </xf>
    <xf numFmtId="166" fontId="4" fillId="6" borderId="4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49" fontId="4" fillId="2" borderId="19" xfId="2" applyNumberFormat="1" applyFont="1" applyFill="1" applyBorder="1" applyAlignment="1">
      <alignment horizontal="left" vertical="center" wrapText="1"/>
    </xf>
    <xf numFmtId="49" fontId="4" fillId="2" borderId="27" xfId="2" applyNumberFormat="1" applyFont="1" applyFill="1" applyBorder="1" applyAlignment="1">
      <alignment horizontal="left" vertical="center" wrapText="1"/>
    </xf>
    <xf numFmtId="49" fontId="4" fillId="2" borderId="21" xfId="2" applyNumberFormat="1" applyFont="1" applyFill="1" applyBorder="1" applyAlignment="1">
      <alignment horizontal="left" vertical="center" wrapText="1"/>
    </xf>
    <xf numFmtId="49" fontId="4" fillId="3" borderId="19" xfId="2" applyNumberFormat="1" applyFont="1" applyFill="1" applyBorder="1" applyAlignment="1">
      <alignment horizontal="left" vertical="center" wrapText="1"/>
    </xf>
    <xf numFmtId="49" fontId="4" fillId="3" borderId="20" xfId="2" applyNumberFormat="1" applyFont="1" applyFill="1" applyBorder="1" applyAlignment="1">
      <alignment horizontal="left" vertical="center" wrapText="1"/>
    </xf>
    <xf numFmtId="49" fontId="4" fillId="3" borderId="21" xfId="2" applyNumberFormat="1" applyFont="1" applyFill="1" applyBorder="1" applyAlignment="1">
      <alignment horizontal="left" vertical="center" wrapText="1"/>
    </xf>
    <xf numFmtId="49" fontId="4" fillId="4" borderId="19" xfId="2" applyNumberFormat="1" applyFont="1" applyFill="1" applyBorder="1" applyAlignment="1">
      <alignment horizontal="left" vertical="center" wrapText="1"/>
    </xf>
    <xf numFmtId="49" fontId="4" fillId="4" borderId="20" xfId="2" applyNumberFormat="1" applyFont="1" applyFill="1" applyBorder="1" applyAlignment="1">
      <alignment horizontal="left" vertical="center" wrapText="1"/>
    </xf>
    <xf numFmtId="49" fontId="4" fillId="4" borderId="21" xfId="2" applyNumberFormat="1" applyFont="1" applyFill="1" applyBorder="1" applyAlignment="1">
      <alignment horizontal="left" vertical="center" wrapText="1"/>
    </xf>
    <xf numFmtId="49" fontId="4" fillId="5" borderId="19" xfId="2" applyNumberFormat="1" applyFont="1" applyFill="1" applyBorder="1" applyAlignment="1">
      <alignment horizontal="left" vertical="center" wrapText="1"/>
    </xf>
    <xf numFmtId="49" fontId="4" fillId="5" borderId="20" xfId="2" applyNumberFormat="1" applyFont="1" applyFill="1" applyBorder="1" applyAlignment="1">
      <alignment horizontal="left" vertical="center" wrapText="1"/>
    </xf>
    <xf numFmtId="49" fontId="4" fillId="5" borderId="21" xfId="2" applyNumberFormat="1" applyFont="1" applyFill="1" applyBorder="1" applyAlignment="1">
      <alignment horizontal="left" vertical="center" wrapText="1"/>
    </xf>
    <xf numFmtId="49" fontId="4" fillId="6" borderId="19" xfId="2" applyNumberFormat="1" applyFont="1" applyFill="1" applyBorder="1" applyAlignment="1">
      <alignment horizontal="left" vertical="center" wrapText="1"/>
    </xf>
    <xf numFmtId="49" fontId="4" fillId="6" borderId="20" xfId="2" applyNumberFormat="1" applyFont="1" applyFill="1" applyBorder="1" applyAlignment="1">
      <alignment horizontal="left" vertical="center" wrapText="1"/>
    </xf>
    <xf numFmtId="49" fontId="4" fillId="6" borderId="21" xfId="2" applyNumberFormat="1" applyFont="1" applyFill="1" applyBorder="1" applyAlignment="1">
      <alignment horizontal="left" vertical="center" wrapText="1"/>
    </xf>
    <xf numFmtId="15" fontId="4" fillId="0" borderId="34" xfId="0" applyNumberFormat="1" applyFont="1" applyBorder="1" applyAlignment="1">
      <alignment horizontal="center" vertical="center"/>
    </xf>
    <xf numFmtId="15" fontId="4" fillId="0" borderId="21" xfId="0" applyNumberFormat="1" applyFont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64" fontId="13" fillId="2" borderId="22" xfId="6" applyFont="1" applyFill="1" applyBorder="1" applyAlignment="1">
      <alignment horizontal="center" vertical="center"/>
    </xf>
    <xf numFmtId="164" fontId="13" fillId="2" borderId="25" xfId="6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167" fontId="10" fillId="0" borderId="5" xfId="3" applyNumberFormat="1" applyFont="1" applyFill="1" applyBorder="1" applyAlignment="1">
      <alignment horizontal="left" vertical="center"/>
    </xf>
    <xf numFmtId="167" fontId="10" fillId="0" borderId="2" xfId="3" applyNumberFormat="1" applyFont="1" applyFill="1" applyBorder="1" applyAlignment="1">
      <alignment horizontal="left" vertical="center"/>
    </xf>
    <xf numFmtId="49" fontId="10" fillId="0" borderId="0" xfId="1" applyNumberFormat="1" applyFont="1" applyFill="1" applyBorder="1" applyAlignment="1">
      <alignment horizontal="left" vertical="center"/>
    </xf>
    <xf numFmtId="49" fontId="10" fillId="0" borderId="7" xfId="1" applyNumberFormat="1" applyFont="1" applyFill="1" applyBorder="1" applyAlignment="1">
      <alignment horizontal="left" vertical="center"/>
    </xf>
    <xf numFmtId="164" fontId="13" fillId="5" borderId="22" xfId="6" applyFont="1" applyFill="1" applyBorder="1" applyAlignment="1">
      <alignment horizontal="center" vertical="center"/>
    </xf>
    <xf numFmtId="164" fontId="13" fillId="5" borderId="25" xfId="6" applyFont="1" applyFill="1" applyBorder="1" applyAlignment="1">
      <alignment horizontal="center" vertical="center"/>
    </xf>
    <xf numFmtId="164" fontId="13" fillId="6" borderId="22" xfId="6" applyFont="1" applyFill="1" applyBorder="1" applyAlignment="1">
      <alignment horizontal="center" vertical="center"/>
    </xf>
    <xf numFmtId="164" fontId="13" fillId="6" borderId="25" xfId="6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167" fontId="10" fillId="0" borderId="0" xfId="3" applyNumberFormat="1" applyFont="1" applyFill="1" applyBorder="1" applyAlignment="1">
      <alignment horizontal="left" vertical="center"/>
    </xf>
    <xf numFmtId="167" fontId="10" fillId="0" borderId="7" xfId="3" applyNumberFormat="1" applyFont="1" applyFill="1" applyBorder="1" applyAlignment="1">
      <alignment horizontal="left" vertical="center"/>
    </xf>
    <xf numFmtId="167" fontId="14" fillId="0" borderId="6" xfId="3" applyNumberFormat="1" applyFont="1" applyFill="1" applyBorder="1" applyAlignment="1">
      <alignment horizontal="left" vertical="center"/>
    </xf>
    <xf numFmtId="167" fontId="14" fillId="0" borderId="0" xfId="3" applyNumberFormat="1" applyFont="1" applyFill="1" applyBorder="1" applyAlignment="1">
      <alignment horizontal="left" vertical="center"/>
    </xf>
    <xf numFmtId="167" fontId="14" fillId="0" borderId="0" xfId="3" applyNumberFormat="1" applyFont="1" applyFill="1" applyBorder="1" applyAlignment="1">
      <alignment horizontal="center" vertical="center"/>
    </xf>
    <xf numFmtId="167" fontId="14" fillId="0" borderId="7" xfId="3" applyNumberFormat="1" applyFont="1" applyFill="1" applyBorder="1" applyAlignment="1">
      <alignment horizontal="center" vertical="center"/>
    </xf>
    <xf numFmtId="167" fontId="11" fillId="0" borderId="3" xfId="3" applyNumberFormat="1" applyFont="1" applyFill="1" applyBorder="1" applyAlignment="1">
      <alignment horizontal="center" vertical="center"/>
    </xf>
    <xf numFmtId="167" fontId="11" fillId="0" borderId="8" xfId="3" applyNumberFormat="1" applyFont="1" applyFill="1" applyBorder="1" applyAlignment="1">
      <alignment horizontal="center" vertical="center"/>
    </xf>
    <xf numFmtId="167" fontId="11" fillId="0" borderId="4" xfId="3" applyNumberFormat="1" applyFont="1" applyFill="1" applyBorder="1" applyAlignment="1">
      <alignment horizontal="center" vertical="center"/>
    </xf>
    <xf numFmtId="167" fontId="14" fillId="0" borderId="6" xfId="3" applyNumberFormat="1" applyFont="1" applyFill="1" applyBorder="1" applyAlignment="1">
      <alignment horizontal="center" vertical="center"/>
    </xf>
    <xf numFmtId="167" fontId="19" fillId="0" borderId="6" xfId="3" applyNumberFormat="1" applyFont="1" applyFill="1" applyBorder="1" applyAlignment="1">
      <alignment horizontal="center" vertical="center" wrapText="1"/>
    </xf>
    <xf numFmtId="167" fontId="19" fillId="0" borderId="0" xfId="3" applyNumberFormat="1" applyFont="1" applyFill="1" applyBorder="1" applyAlignment="1">
      <alignment horizontal="center" vertical="center" wrapText="1"/>
    </xf>
    <xf numFmtId="167" fontId="19" fillId="0" borderId="7" xfId="3" applyNumberFormat="1" applyFont="1" applyFill="1" applyBorder="1" applyAlignment="1">
      <alignment horizontal="center" vertical="center" wrapText="1"/>
    </xf>
    <xf numFmtId="167" fontId="20" fillId="0" borderId="6" xfId="3" applyNumberFormat="1" applyFont="1" applyFill="1" applyBorder="1" applyAlignment="1">
      <alignment horizontal="center" vertical="center" wrapText="1"/>
    </xf>
    <xf numFmtId="167" fontId="20" fillId="0" borderId="0" xfId="3" applyNumberFormat="1" applyFont="1" applyFill="1" applyBorder="1" applyAlignment="1">
      <alignment horizontal="center" vertical="center"/>
    </xf>
    <xf numFmtId="167" fontId="20" fillId="0" borderId="7" xfId="3" applyNumberFormat="1" applyFont="1" applyFill="1" applyBorder="1" applyAlignment="1">
      <alignment horizontal="center" vertical="center"/>
    </xf>
    <xf numFmtId="167" fontId="20" fillId="0" borderId="6" xfId="3" applyNumberFormat="1" applyFont="1" applyFill="1" applyBorder="1" applyAlignment="1">
      <alignment horizontal="center" vertical="center"/>
    </xf>
    <xf numFmtId="167" fontId="16" fillId="0" borderId="6" xfId="3" applyNumberFormat="1" applyFont="1" applyFill="1" applyBorder="1" applyAlignment="1">
      <alignment horizontal="center" vertical="center"/>
    </xf>
    <xf numFmtId="167" fontId="16" fillId="0" borderId="0" xfId="3" applyNumberFormat="1" applyFont="1" applyFill="1" applyBorder="1" applyAlignment="1">
      <alignment horizontal="center" vertical="center"/>
    </xf>
    <xf numFmtId="167" fontId="16" fillId="0" borderId="7" xfId="3" applyNumberFormat="1" applyFont="1" applyFill="1" applyBorder="1" applyAlignment="1">
      <alignment horizontal="center" vertical="center"/>
    </xf>
    <xf numFmtId="167" fontId="15" fillId="0" borderId="6" xfId="3" applyNumberFormat="1" applyFont="1" applyFill="1" applyBorder="1" applyAlignment="1">
      <alignment horizontal="center" vertical="center"/>
    </xf>
    <xf numFmtId="167" fontId="15" fillId="0" borderId="0" xfId="3" applyNumberFormat="1" applyFont="1" applyFill="1" applyBorder="1" applyAlignment="1">
      <alignment horizontal="center" vertical="center"/>
    </xf>
    <xf numFmtId="167" fontId="15" fillId="0" borderId="7" xfId="3" applyNumberFormat="1" applyFont="1" applyFill="1" applyBorder="1" applyAlignment="1">
      <alignment horizontal="center" vertical="center"/>
    </xf>
    <xf numFmtId="49" fontId="20" fillId="0" borderId="6" xfId="3" applyNumberFormat="1" applyFont="1" applyFill="1" applyBorder="1" applyAlignment="1">
      <alignment horizontal="center" vertical="center" wrapText="1"/>
    </xf>
    <xf numFmtId="49" fontId="20" fillId="0" borderId="0" xfId="3" applyNumberFormat="1" applyFont="1" applyFill="1" applyBorder="1" applyAlignment="1">
      <alignment horizontal="center" vertical="center"/>
    </xf>
    <xf numFmtId="49" fontId="20" fillId="0" borderId="7" xfId="3" applyNumberFormat="1" applyFont="1" applyFill="1" applyBorder="1" applyAlignment="1">
      <alignment horizontal="center" vertical="center"/>
    </xf>
    <xf numFmtId="49" fontId="20" fillId="0" borderId="6" xfId="3" applyNumberFormat="1" applyFont="1" applyFill="1" applyBorder="1" applyAlignment="1">
      <alignment horizontal="center" vertical="center"/>
    </xf>
    <xf numFmtId="166" fontId="4" fillId="2" borderId="61" xfId="2" applyFont="1" applyFill="1" applyBorder="1" applyAlignment="1">
      <alignment horizontal="center" vertical="center"/>
    </xf>
    <xf numFmtId="166" fontId="4" fillId="2" borderId="66" xfId="2" applyFont="1" applyFill="1" applyBorder="1" applyAlignment="1">
      <alignment horizontal="center" vertical="center"/>
    </xf>
    <xf numFmtId="166" fontId="4" fillId="2" borderId="62" xfId="2" applyFont="1" applyFill="1" applyBorder="1" applyAlignment="1">
      <alignment horizontal="center" vertical="center"/>
    </xf>
    <xf numFmtId="166" fontId="4" fillId="4" borderId="61" xfId="2" applyFont="1" applyFill="1" applyBorder="1" applyAlignment="1">
      <alignment horizontal="center" vertical="center"/>
    </xf>
    <xf numFmtId="166" fontId="4" fillId="4" borderId="66" xfId="2" applyFont="1" applyFill="1" applyBorder="1" applyAlignment="1">
      <alignment horizontal="center" vertical="center"/>
    </xf>
    <xf numFmtId="166" fontId="4" fillId="4" borderId="62" xfId="2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66" fontId="5" fillId="0" borderId="1" xfId="2" applyFont="1" applyFill="1" applyBorder="1" applyAlignment="1">
      <alignment horizontal="center" vertical="center" wrapText="1"/>
    </xf>
    <xf numFmtId="166" fontId="5" fillId="0" borderId="5" xfId="2" applyFont="1" applyFill="1" applyBorder="1" applyAlignment="1">
      <alignment horizontal="center" vertical="center" wrapText="1"/>
    </xf>
    <xf numFmtId="166" fontId="5" fillId="0" borderId="2" xfId="2" applyFont="1" applyFill="1" applyBorder="1" applyAlignment="1">
      <alignment horizontal="center" vertical="center" wrapText="1"/>
    </xf>
    <xf numFmtId="166" fontId="5" fillId="0" borderId="6" xfId="2" applyFont="1" applyFill="1" applyBorder="1" applyAlignment="1">
      <alignment horizontal="center" vertical="center" wrapText="1"/>
    </xf>
    <xf numFmtId="166" fontId="5" fillId="0" borderId="7" xfId="2" applyFont="1" applyFill="1" applyBorder="1" applyAlignment="1">
      <alignment horizontal="center" vertical="center" wrapText="1"/>
    </xf>
    <xf numFmtId="166" fontId="5" fillId="0" borderId="3" xfId="2" applyFont="1" applyFill="1" applyBorder="1" applyAlignment="1">
      <alignment horizontal="center" vertical="center" wrapText="1"/>
    </xf>
    <xf numFmtId="166" fontId="5" fillId="0" borderId="8" xfId="2" applyFont="1" applyFill="1" applyBorder="1" applyAlignment="1">
      <alignment horizontal="center" vertical="center" wrapText="1"/>
    </xf>
    <xf numFmtId="166" fontId="5" fillId="0" borderId="4" xfId="2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3" borderId="75" xfId="0" applyFont="1" applyFill="1" applyBorder="1" applyAlignment="1">
      <alignment horizontal="center" vertical="center" wrapText="1"/>
    </xf>
    <xf numFmtId="0" fontId="4" fillId="3" borderId="79" xfId="0" applyFont="1" applyFill="1" applyBorder="1" applyAlignment="1">
      <alignment horizontal="center" vertical="center" wrapText="1"/>
    </xf>
    <xf numFmtId="0" fontId="4" fillId="4" borderId="76" xfId="0" applyFont="1" applyFill="1" applyBorder="1" applyAlignment="1">
      <alignment horizontal="center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3" borderId="76" xfId="0" applyFont="1" applyFill="1" applyBorder="1" applyAlignment="1">
      <alignment horizontal="center" vertical="center" wrapText="1"/>
    </xf>
    <xf numFmtId="0" fontId="4" fillId="3" borderId="80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0" fontId="4" fillId="4" borderId="77" xfId="0" applyFont="1" applyFill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5" fontId="4" fillId="0" borderId="9" xfId="0" applyNumberFormat="1" applyFont="1" applyBorder="1" applyAlignment="1">
      <alignment horizontal="center" vertical="center"/>
    </xf>
    <xf numFmtId="15" fontId="4" fillId="0" borderId="26" xfId="0" applyNumberFormat="1" applyFont="1" applyBorder="1" applyAlignment="1">
      <alignment horizontal="center" vertical="center"/>
    </xf>
    <xf numFmtId="15" fontId="4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7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21" fillId="0" borderId="0" xfId="1" applyNumberFormat="1" applyFont="1" applyFill="1" applyBorder="1" applyAlignment="1">
      <alignment horizontal="left" vertical="center"/>
    </xf>
    <xf numFmtId="49" fontId="21" fillId="0" borderId="7" xfId="1" applyNumberFormat="1" applyFont="1" applyFill="1" applyBorder="1" applyAlignment="1">
      <alignment horizontal="left" vertical="center"/>
    </xf>
    <xf numFmtId="164" fontId="13" fillId="4" borderId="22" xfId="6" applyFont="1" applyFill="1" applyBorder="1" applyAlignment="1">
      <alignment horizontal="center" vertical="center"/>
    </xf>
    <xf numFmtId="164" fontId="13" fillId="4" borderId="25" xfId="6" applyFont="1" applyFill="1" applyBorder="1" applyAlignment="1">
      <alignment horizontal="center" vertical="center"/>
    </xf>
    <xf numFmtId="164" fontId="13" fillId="3" borderId="22" xfId="6" applyFont="1" applyFill="1" applyBorder="1" applyAlignment="1">
      <alignment horizontal="center" vertical="center"/>
    </xf>
    <xf numFmtId="164" fontId="13" fillId="3" borderId="25" xfId="6" applyFont="1" applyFill="1" applyBorder="1" applyAlignment="1">
      <alignment horizontal="center" vertical="center"/>
    </xf>
    <xf numFmtId="167" fontId="19" fillId="0" borderId="6" xfId="3" applyNumberFormat="1" applyFont="1" applyFill="1" applyBorder="1" applyAlignment="1">
      <alignment horizontal="center" vertical="center"/>
    </xf>
    <xf numFmtId="167" fontId="19" fillId="0" borderId="0" xfId="3" applyNumberFormat="1" applyFont="1" applyFill="1" applyBorder="1" applyAlignment="1">
      <alignment horizontal="center" vertical="center"/>
    </xf>
    <xf numFmtId="167" fontId="19" fillId="0" borderId="7" xfId="3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15" fontId="4" fillId="0" borderId="61" xfId="0" applyNumberFormat="1" applyFont="1" applyBorder="1" applyAlignment="1">
      <alignment horizontal="center" vertical="center"/>
    </xf>
    <xf numFmtId="15" fontId="4" fillId="0" borderId="66" xfId="0" applyNumberFormat="1" applyFont="1" applyBorder="1" applyAlignment="1">
      <alignment horizontal="center" vertical="center"/>
    </xf>
    <xf numFmtId="15" fontId="4" fillId="0" borderId="62" xfId="0" applyNumberFormat="1" applyFont="1" applyBorder="1" applyAlignment="1">
      <alignment horizontal="center" vertical="center"/>
    </xf>
  </cellXfs>
  <cellStyles count="14">
    <cellStyle name="Millares" xfId="1" builtinId="3"/>
    <cellStyle name="Millares 2" xfId="8" xr:uid="{00000000-0005-0000-0000-000001000000}"/>
    <cellStyle name="Millares 2 2 2" xfId="13" xr:uid="{00000000-0005-0000-0000-000002000000}"/>
    <cellStyle name="Moneda" xfId="2" builtinId="4"/>
    <cellStyle name="Moneda [0]" xfId="6" builtinId="7"/>
    <cellStyle name="Moneda 2" xfId="9" xr:uid="{00000000-0005-0000-0000-000005000000}"/>
    <cellStyle name="Moneda 4" xfId="4" xr:uid="{00000000-0005-0000-0000-000006000000}"/>
    <cellStyle name="Normal" xfId="0" builtinId="0"/>
    <cellStyle name="Normal 2" xfId="5" xr:uid="{00000000-0005-0000-0000-000008000000}"/>
    <cellStyle name="Normal 2 2 2 2" xfId="12" xr:uid="{00000000-0005-0000-0000-000009000000}"/>
    <cellStyle name="Normal 3" xfId="10" xr:uid="{00000000-0005-0000-0000-00000A000000}"/>
    <cellStyle name="Normal 4" xfId="11" xr:uid="{00000000-0005-0000-0000-00000B000000}"/>
    <cellStyle name="Normal 5" xfId="7" xr:uid="{00000000-0005-0000-0000-00000C000000}"/>
    <cellStyle name="Porcentaje" xfId="3" builtinId="5"/>
  </cellStyles>
  <dxfs count="0"/>
  <tableStyles count="0" defaultTableStyle="TableStyleMedium2" defaultPivotStyle="PivotStyleLight16"/>
  <colors>
    <mruColors>
      <color rgb="FF99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1121394</xdr:colOff>
      <xdr:row>2</xdr:row>
      <xdr:rowOff>246868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bottomRight" activeCell="S4" sqref="S4:T4"/>
      <selection pane="bottomLeft" activeCell="B12" sqref="B12"/>
      <selection pane="topRight" activeCell="D1" sqref="D1"/>
    </sheetView>
  </sheetViews>
  <sheetFormatPr defaultColWidth="11.42578125" defaultRowHeight="15.75"/>
  <cols>
    <col min="1" max="1" width="5.28515625" style="15" customWidth="1"/>
    <col min="2" max="2" width="8.42578125" style="15" customWidth="1"/>
    <col min="3" max="3" width="43.7109375" style="15" customWidth="1"/>
    <col min="4" max="4" width="20.7109375" style="15" customWidth="1"/>
    <col min="5" max="5" width="29.7109375" style="15" customWidth="1"/>
    <col min="6" max="6" width="3.7109375" style="15" customWidth="1"/>
    <col min="7" max="7" width="17.7109375" style="15" customWidth="1"/>
    <col min="8" max="8" width="18.5703125" style="15" customWidth="1"/>
    <col min="9" max="9" width="16.85546875" style="15" customWidth="1"/>
    <col min="10" max="10" width="23.85546875" style="15" customWidth="1"/>
    <col min="11" max="11" width="19.42578125" style="15" customWidth="1"/>
    <col min="12" max="12" width="3.7109375" style="15" customWidth="1"/>
    <col min="13" max="13" width="19.85546875" style="15" customWidth="1"/>
    <col min="14" max="14" width="17.42578125" style="15" customWidth="1"/>
    <col min="15" max="15" width="16" style="15" customWidth="1"/>
    <col min="16" max="17" width="25.42578125" style="15" customWidth="1"/>
    <col min="18" max="18" width="3.7109375" style="15" customWidth="1"/>
    <col min="19" max="19" width="20.140625" style="15" customWidth="1"/>
    <col min="20" max="20" width="14.42578125" style="15" customWidth="1"/>
    <col min="21" max="21" width="17" style="15" customWidth="1"/>
    <col min="22" max="23" width="22.42578125" style="15" customWidth="1"/>
    <col min="24" max="24" width="2.5703125" style="15" customWidth="1"/>
    <col min="25" max="25" width="24.7109375" style="15" hidden="1" customWidth="1"/>
    <col min="26" max="26" width="14.28515625" style="15" hidden="1" customWidth="1"/>
    <col min="27" max="27" width="18.42578125" style="15" hidden="1" customWidth="1"/>
    <col min="28" max="29" width="23.28515625" style="15" hidden="1" customWidth="1"/>
    <col min="30" max="30" width="11.42578125" style="15" hidden="1" customWidth="1"/>
    <col min="31" max="31" width="24.7109375" style="15" hidden="1" customWidth="1"/>
    <col min="32" max="32" width="17.28515625" style="15" hidden="1" customWidth="1"/>
    <col min="33" max="33" width="18.42578125" style="15" hidden="1" customWidth="1"/>
    <col min="34" max="34" width="23.28515625" style="15" hidden="1" customWidth="1"/>
    <col min="35" max="35" width="17.7109375" style="15" customWidth="1"/>
    <col min="36" max="16384" width="11.42578125" style="15"/>
  </cols>
  <sheetData>
    <row r="1" spans="1:35" s="4" customFormat="1" ht="33" customHeight="1">
      <c r="A1" s="1"/>
      <c r="B1" s="205" t="s">
        <v>0</v>
      </c>
      <c r="C1" s="205"/>
      <c r="D1" s="205"/>
      <c r="E1" s="206" t="s">
        <v>1</v>
      </c>
      <c r="F1" s="2"/>
      <c r="G1" s="208" t="s">
        <v>2</v>
      </c>
      <c r="H1" s="209"/>
      <c r="I1" s="209"/>
      <c r="J1" s="210"/>
      <c r="K1" s="144"/>
      <c r="L1" s="3"/>
      <c r="M1" s="211" t="s">
        <v>3</v>
      </c>
      <c r="N1" s="212"/>
      <c r="O1" s="212"/>
      <c r="P1" s="213"/>
      <c r="Q1" s="145"/>
      <c r="R1" s="3"/>
      <c r="S1" s="214" t="s">
        <v>4</v>
      </c>
      <c r="T1" s="215"/>
      <c r="U1" s="215"/>
      <c r="V1" s="216"/>
      <c r="W1" s="142"/>
      <c r="Y1" s="217" t="s">
        <v>5</v>
      </c>
      <c r="Z1" s="218"/>
      <c r="AA1" s="218"/>
      <c r="AB1" s="219"/>
      <c r="AC1" s="137"/>
      <c r="AE1" s="187" t="s">
        <v>5</v>
      </c>
      <c r="AF1" s="188"/>
      <c r="AG1" s="188"/>
      <c r="AH1" s="189"/>
    </row>
    <row r="2" spans="1:35" s="4" customFormat="1" ht="33" customHeight="1">
      <c r="A2" s="5"/>
      <c r="B2" s="205"/>
      <c r="C2" s="205"/>
      <c r="D2" s="205"/>
      <c r="E2" s="207"/>
      <c r="F2" s="2"/>
      <c r="G2" s="190" t="s">
        <v>6</v>
      </c>
      <c r="H2" s="191"/>
      <c r="I2" s="191"/>
      <c r="J2" s="192"/>
      <c r="K2" s="144"/>
      <c r="L2" s="3"/>
      <c r="M2" s="193" t="s">
        <v>6</v>
      </c>
      <c r="N2" s="194"/>
      <c r="O2" s="194"/>
      <c r="P2" s="195"/>
      <c r="Q2" s="145"/>
      <c r="R2" s="3"/>
      <c r="S2" s="196" t="s">
        <v>6</v>
      </c>
      <c r="T2" s="197"/>
      <c r="U2" s="197"/>
      <c r="V2" s="198"/>
      <c r="W2" s="142"/>
      <c r="Y2" s="199" t="s">
        <v>6</v>
      </c>
      <c r="Z2" s="200"/>
      <c r="AA2" s="200"/>
      <c r="AB2" s="201"/>
      <c r="AC2" s="137"/>
      <c r="AE2" s="202" t="s">
        <v>6</v>
      </c>
      <c r="AF2" s="203"/>
      <c r="AG2" s="203"/>
      <c r="AH2" s="204"/>
    </row>
    <row r="3" spans="1:35" s="4" customFormat="1" ht="33" customHeight="1" thickBot="1">
      <c r="A3" s="5"/>
      <c r="B3" s="205"/>
      <c r="C3" s="205"/>
      <c r="D3" s="205"/>
      <c r="E3" s="207"/>
      <c r="F3" s="2"/>
      <c r="G3" s="220" t="s">
        <v>7</v>
      </c>
      <c r="H3" s="221"/>
      <c r="I3" s="221"/>
      <c r="J3" s="222"/>
      <c r="K3" s="144"/>
      <c r="L3" s="3"/>
      <c r="M3" s="223" t="s">
        <v>8</v>
      </c>
      <c r="N3" s="224"/>
      <c r="O3" s="224"/>
      <c r="P3" s="225"/>
      <c r="Q3" s="145"/>
      <c r="R3" s="3"/>
      <c r="S3" s="226" t="s">
        <v>9</v>
      </c>
      <c r="T3" s="227"/>
      <c r="U3" s="227"/>
      <c r="V3" s="228"/>
      <c r="W3" s="142"/>
      <c r="Y3" s="229" t="s">
        <v>10</v>
      </c>
      <c r="Z3" s="230"/>
      <c r="AA3" s="230"/>
      <c r="AB3" s="231"/>
      <c r="AC3" s="137"/>
      <c r="AE3" s="232" t="s">
        <v>10</v>
      </c>
      <c r="AF3" s="233"/>
      <c r="AG3" s="233"/>
      <c r="AH3" s="234"/>
    </row>
    <row r="4" spans="1:35" s="4" customFormat="1" ht="33" customHeight="1" thickBot="1">
      <c r="A4" s="57"/>
      <c r="B4" s="235" t="s">
        <v>11</v>
      </c>
      <c r="C4" s="238" t="s">
        <v>12</v>
      </c>
      <c r="D4" s="241" t="s">
        <v>13</v>
      </c>
      <c r="E4" s="242"/>
      <c r="F4" s="2"/>
      <c r="G4" s="243" t="s">
        <v>14</v>
      </c>
      <c r="H4" s="244"/>
      <c r="I4" s="244" t="s">
        <v>15</v>
      </c>
      <c r="J4" s="245"/>
      <c r="K4" s="111"/>
      <c r="L4" s="6"/>
      <c r="M4" s="246" t="s">
        <v>14</v>
      </c>
      <c r="N4" s="247"/>
      <c r="O4" s="247" t="s">
        <v>16</v>
      </c>
      <c r="P4" s="248"/>
      <c r="Q4" s="117"/>
      <c r="R4" s="6"/>
      <c r="S4" s="249" t="s">
        <v>14</v>
      </c>
      <c r="T4" s="250"/>
      <c r="U4" s="250" t="s">
        <v>15</v>
      </c>
      <c r="V4" s="251"/>
      <c r="W4" s="121"/>
      <c r="Y4" s="252" t="s">
        <v>14</v>
      </c>
      <c r="Z4" s="253"/>
      <c r="AA4" s="253" t="s">
        <v>16</v>
      </c>
      <c r="AB4" s="254"/>
      <c r="AC4" s="125"/>
      <c r="AE4" s="255" t="s">
        <v>14</v>
      </c>
      <c r="AF4" s="256"/>
      <c r="AG4" s="256" t="s">
        <v>16</v>
      </c>
      <c r="AH4" s="257"/>
    </row>
    <row r="5" spans="1:35" s="4" customFormat="1" ht="45" customHeight="1" thickBot="1">
      <c r="A5" s="58"/>
      <c r="B5" s="236"/>
      <c r="C5" s="239"/>
      <c r="D5" s="258">
        <f ca="1">+TODAY()</f>
        <v>46074</v>
      </c>
      <c r="E5" s="259"/>
      <c r="F5" s="2"/>
      <c r="G5" s="260" t="s">
        <v>17</v>
      </c>
      <c r="H5" s="143" t="s">
        <v>18</v>
      </c>
      <c r="I5" s="262" t="s">
        <v>19</v>
      </c>
      <c r="J5" s="264" t="s">
        <v>20</v>
      </c>
      <c r="K5" s="112"/>
      <c r="L5" s="2"/>
      <c r="M5" s="266" t="s">
        <v>17</v>
      </c>
      <c r="N5" s="77" t="s">
        <v>21</v>
      </c>
      <c r="O5" s="268" t="s">
        <v>19</v>
      </c>
      <c r="P5" s="296" t="s">
        <v>20</v>
      </c>
      <c r="Q5" s="118"/>
      <c r="R5" s="2"/>
      <c r="S5" s="298" t="s">
        <v>17</v>
      </c>
      <c r="T5" s="140" t="s">
        <v>22</v>
      </c>
      <c r="U5" s="300" t="s">
        <v>19</v>
      </c>
      <c r="V5" s="278" t="s">
        <v>20</v>
      </c>
      <c r="W5" s="122"/>
      <c r="Y5" s="280" t="s">
        <v>17</v>
      </c>
      <c r="Z5" s="138" t="s">
        <v>22</v>
      </c>
      <c r="AA5" s="282" t="s">
        <v>19</v>
      </c>
      <c r="AB5" s="270" t="s">
        <v>20</v>
      </c>
      <c r="AC5" s="126"/>
      <c r="AE5" s="272" t="s">
        <v>17</v>
      </c>
      <c r="AF5" s="146" t="s">
        <v>22</v>
      </c>
      <c r="AG5" s="274" t="s">
        <v>19</v>
      </c>
      <c r="AH5" s="276" t="s">
        <v>20</v>
      </c>
    </row>
    <row r="6" spans="1:35" s="4" customFormat="1" ht="30" customHeight="1" thickBot="1">
      <c r="A6" s="59"/>
      <c r="B6" s="237"/>
      <c r="C6" s="240"/>
      <c r="D6" s="141" t="s">
        <v>23</v>
      </c>
      <c r="E6" s="141" t="s">
        <v>24</v>
      </c>
      <c r="F6" s="2"/>
      <c r="G6" s="261"/>
      <c r="H6" s="7">
        <v>0.19</v>
      </c>
      <c r="I6" s="263"/>
      <c r="J6" s="265"/>
      <c r="K6" s="112"/>
      <c r="L6" s="2"/>
      <c r="M6" s="267"/>
      <c r="N6" s="78">
        <v>0.19</v>
      </c>
      <c r="O6" s="269"/>
      <c r="P6" s="297"/>
      <c r="Q6" s="118"/>
      <c r="R6" s="2"/>
      <c r="S6" s="299"/>
      <c r="T6" s="108">
        <v>0.19</v>
      </c>
      <c r="U6" s="301"/>
      <c r="V6" s="279"/>
      <c r="W6" s="122"/>
      <c r="Y6" s="281"/>
      <c r="Z6" s="8">
        <v>0.19</v>
      </c>
      <c r="AA6" s="283"/>
      <c r="AB6" s="271"/>
      <c r="AC6" s="126"/>
      <c r="AE6" s="273"/>
      <c r="AF6" s="92">
        <v>0.19</v>
      </c>
      <c r="AG6" s="275"/>
      <c r="AH6" s="277"/>
    </row>
    <row r="7" spans="1:35" ht="22.15">
      <c r="A7" s="101"/>
      <c r="B7" s="104">
        <v>1</v>
      </c>
      <c r="C7" s="105" t="s">
        <v>25</v>
      </c>
      <c r="D7" s="106" t="s">
        <v>26</v>
      </c>
      <c r="E7" s="9">
        <v>4</v>
      </c>
      <c r="F7" s="107"/>
      <c r="G7" s="65">
        <v>890000</v>
      </c>
      <c r="H7" s="11">
        <f>G7*$H$6</f>
        <v>169100</v>
      </c>
      <c r="I7" s="11">
        <f>G7+H7</f>
        <v>1059100</v>
      </c>
      <c r="J7" s="72">
        <f>E7*I7</f>
        <v>4236400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267000</v>
      </c>
      <c r="L7" s="12"/>
      <c r="M7" s="65">
        <v>693000</v>
      </c>
      <c r="N7" s="11">
        <f t="shared" ref="N7:N11" si="0">M7*$N$6</f>
        <v>131670</v>
      </c>
      <c r="O7" s="79">
        <f>M7+N7</f>
        <v>824670</v>
      </c>
      <c r="P7" s="66">
        <f>E7*O7</f>
        <v>3298680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70000</v>
      </c>
      <c r="R7" s="12"/>
      <c r="S7" s="10">
        <v>623000</v>
      </c>
      <c r="T7" s="10">
        <f t="shared" ref="T7:T11" si="1">S7*$T$6</f>
        <v>118370</v>
      </c>
      <c r="U7" s="10">
        <f t="shared" ref="U7:U11" si="2">S7+T7</f>
        <v>741370</v>
      </c>
      <c r="V7" s="109">
        <f>E7*U7</f>
        <v>2965480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Y7" s="14"/>
      <c r="Z7" s="10">
        <f t="shared" ref="Z7:Z8" si="3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/>
    </row>
    <row r="8" spans="1:35" s="100" customFormat="1" ht="22.5" thickBot="1">
      <c r="A8" s="96"/>
      <c r="B8" s="97">
        <v>2</v>
      </c>
      <c r="C8" s="103" t="s">
        <v>27</v>
      </c>
      <c r="D8" s="99" t="s">
        <v>26</v>
      </c>
      <c r="E8" s="16">
        <v>4</v>
      </c>
      <c r="F8" s="17"/>
      <c r="G8" s="65">
        <v>890000</v>
      </c>
      <c r="H8" s="11">
        <f t="shared" ref="H8:H11" si="4">G8*$H$6</f>
        <v>169100</v>
      </c>
      <c r="I8" s="11">
        <f t="shared" ref="I8:I11" si="5">G8+H8</f>
        <v>1059100</v>
      </c>
      <c r="J8" s="72">
        <f>E8*I8</f>
        <v>4236400</v>
      </c>
      <c r="K8" s="113">
        <f t="shared" ref="K8:K11" si="6">+IF(G8-MIN(IF($G8&gt;0,$G8,100000*100000),IF($M8&gt;0,$M8,100000*100000),IF($S8&gt;0,$S8,100000*100000),IF($Y8&gt;0,$Y8,100000*100000),IF($AE8&gt;0,$AE8,100000*100000))&gt;0,G8-MIN(IF($G8&gt;0,$G8,100000*100000),IF($M8&gt;0,$M8,100000*100000),IF($S8&gt;0,$S8,100000*100000),IF($Y8&gt;0,$Y8,100000*100000),IF($AE8&gt;0,$AE8,100000*100000)),0)</f>
        <v>447000</v>
      </c>
      <c r="L8" s="17"/>
      <c r="M8" s="65">
        <v>693000</v>
      </c>
      <c r="N8" s="11">
        <f t="shared" si="0"/>
        <v>131670</v>
      </c>
      <c r="O8" s="79">
        <f t="shared" ref="O8:O11" si="7">M8+N8</f>
        <v>824670</v>
      </c>
      <c r="P8" s="66">
        <f t="shared" ref="P8:P11" si="8">E8*O8</f>
        <v>3298680</v>
      </c>
      <c r="Q8" s="113">
        <f t="shared" ref="Q8:Q11" si="9">+IF(M8-MIN(IF($G8&gt;0,$G8,100000*100000),IF($M8&gt;0,$M8,100000*100000),IF($S8&gt;0,$S8,100000*100000),IF($Y8&gt;0,$Y8,100000*100000),IF($AE8&gt;0,$AE8,100000*100000))&gt;0,M8-MIN(IF($G8&gt;0,$G8,100000*100000),IF($M8&gt;0,$M8,100000*100000),IF($S8&gt;0,$S8,100000*100000),IF($Y8&gt;0,$Y8,100000*100000),IF($AE8&gt;0,$AE8,100000*100000)),0)</f>
        <v>250000</v>
      </c>
      <c r="R8" s="17"/>
      <c r="S8" s="10">
        <v>443000</v>
      </c>
      <c r="T8" s="10">
        <f t="shared" si="1"/>
        <v>84170</v>
      </c>
      <c r="U8" s="10">
        <f t="shared" si="2"/>
        <v>527170</v>
      </c>
      <c r="V8" s="109">
        <f>E8*U8</f>
        <v>2108680</v>
      </c>
      <c r="W8" s="113">
        <f t="shared" ref="W8:W11" si="10">+IF(S8-MIN(IF($G8&gt;0,$G8,100000*100000),IF($M8&gt;0,$M8,100000*100000),IF($S8&gt;0,$S8,100000*100000),IF($Y8&gt;0,$Y8,100000*100000),IF($AE8&gt;0,$AE8,100000*100000))&gt;0,S8-MIN(IF($G8&gt;0,$G8,100000*100000),IF($M8&gt;0,$M8,100000*100000),IF($S8&gt;0,$S8,100000*100000),IF($Y8&gt;0,$Y8,100000*100000),IF($AE8&gt;0,$AE8,100000*100000)),0)</f>
        <v>0</v>
      </c>
      <c r="Y8" s="14"/>
      <c r="Z8" s="10">
        <f t="shared" si="3"/>
        <v>0</v>
      </c>
      <c r="AA8" s="10">
        <f t="shared" ref="AA8" si="11">Y8+Z8</f>
        <v>0</v>
      </c>
      <c r="AB8" s="66">
        <f t="shared" ref="AB8:AB11" si="12">E8*AA8</f>
        <v>0</v>
      </c>
      <c r="AC8" s="113">
        <f t="shared" ref="AC8:AC11" si="13">+IF(Y8-MIN(IF($G8&gt;0,$G8,100000*100000),IF($M8&gt;0,$M8,100000*100000),IF($S8&gt;0,$S8,100000*100000),IF($Y8&gt;0,$Y8,100000*100000),IF($AE8&gt;0,$AE8,100000*100000))&gt;0,Y8-MIN(IF($G8&gt;0,$G8,100000*100000),IF($M8&gt;0,$M8,100000*100000),IF($S8&gt;0,$S8,100000*100000),IF($Y8&gt;0,$Y8,100000*100000),IF($AE8&gt;0,$AE8,100000*100000)),0)</f>
        <v>0</v>
      </c>
      <c r="AE8" s="14"/>
      <c r="AF8" s="10">
        <f>+AE8*$AF$6</f>
        <v>0</v>
      </c>
      <c r="AG8" s="10">
        <f>+AE8+AF8</f>
        <v>0</v>
      </c>
      <c r="AH8" s="13">
        <f>+E8*AG8</f>
        <v>0</v>
      </c>
      <c r="AI8" s="113"/>
    </row>
    <row r="9" spans="1:35" s="100" customFormat="1" ht="22.15">
      <c r="A9" s="101"/>
      <c r="B9" s="102">
        <v>3</v>
      </c>
      <c r="C9" s="103" t="s">
        <v>28</v>
      </c>
      <c r="D9" s="99" t="s">
        <v>29</v>
      </c>
      <c r="E9" s="16">
        <v>4</v>
      </c>
      <c r="F9" s="17"/>
      <c r="G9" s="65">
        <v>320000</v>
      </c>
      <c r="H9" s="11"/>
      <c r="I9" s="11"/>
      <c r="J9" s="72">
        <f>+G9*E9</f>
        <v>1280000</v>
      </c>
      <c r="K9" s="113">
        <f t="shared" si="6"/>
        <v>0</v>
      </c>
      <c r="L9" s="17"/>
      <c r="M9" s="65">
        <v>1690000</v>
      </c>
      <c r="N9" s="11"/>
      <c r="O9" s="79"/>
      <c r="P9" s="66">
        <f>E9*M9</f>
        <v>6760000</v>
      </c>
      <c r="Q9" s="113">
        <f t="shared" si="9"/>
        <v>1370000</v>
      </c>
      <c r="R9" s="17"/>
      <c r="S9" s="75">
        <v>500000</v>
      </c>
      <c r="T9" s="10"/>
      <c r="U9" s="10"/>
      <c r="V9" s="66">
        <f>+S9*E9</f>
        <v>2000000</v>
      </c>
      <c r="W9" s="113">
        <f t="shared" si="10"/>
        <v>180000</v>
      </c>
      <c r="Y9" s="14"/>
      <c r="Z9" s="10">
        <f>+Y9*$Z$6</f>
        <v>0</v>
      </c>
      <c r="AA9" s="10">
        <f>+Y9+Z9</f>
        <v>0</v>
      </c>
      <c r="AB9" s="66">
        <f t="shared" si="12"/>
        <v>0</v>
      </c>
      <c r="AC9" s="113">
        <f t="shared" si="13"/>
        <v>0</v>
      </c>
      <c r="AE9" s="14"/>
      <c r="AF9" s="10"/>
      <c r="AG9" s="10"/>
      <c r="AH9" s="13"/>
      <c r="AI9" s="113"/>
    </row>
    <row r="10" spans="1:35" s="100" customFormat="1" ht="22.15">
      <c r="A10" s="96"/>
      <c r="B10" s="97">
        <v>4</v>
      </c>
      <c r="C10" s="98"/>
      <c r="D10" s="99"/>
      <c r="E10" s="16"/>
      <c r="F10" s="17"/>
      <c r="G10" s="65"/>
      <c r="H10" s="11">
        <f t="shared" si="4"/>
        <v>0</v>
      </c>
      <c r="I10" s="11">
        <f t="shared" si="5"/>
        <v>0</v>
      </c>
      <c r="J10" s="72">
        <f>E10*I10</f>
        <v>0</v>
      </c>
      <c r="K10" s="113">
        <f t="shared" si="6"/>
        <v>0</v>
      </c>
      <c r="L10" s="17"/>
      <c r="M10" s="65"/>
      <c r="N10" s="11">
        <f t="shared" si="0"/>
        <v>0</v>
      </c>
      <c r="O10" s="79">
        <f t="shared" si="7"/>
        <v>0</v>
      </c>
      <c r="P10" s="66">
        <f t="shared" si="8"/>
        <v>0</v>
      </c>
      <c r="Q10" s="113">
        <f t="shared" si="9"/>
        <v>0</v>
      </c>
      <c r="R10" s="17"/>
      <c r="S10" s="75"/>
      <c r="T10" s="10">
        <f t="shared" si="1"/>
        <v>0</v>
      </c>
      <c r="U10" s="10">
        <f t="shared" si="2"/>
        <v>0</v>
      </c>
      <c r="V10" s="66">
        <f>E10*U10</f>
        <v>0</v>
      </c>
      <c r="W10" s="113">
        <f t="shared" si="10"/>
        <v>0</v>
      </c>
      <c r="Y10" s="14"/>
      <c r="Z10" s="10">
        <f t="shared" ref="Z10:Z11" si="14">+Y10*$Z$6</f>
        <v>0</v>
      </c>
      <c r="AA10" s="10">
        <f t="shared" ref="AA10:AA11" si="15">+Y10+Z10</f>
        <v>0</v>
      </c>
      <c r="AB10" s="66">
        <f t="shared" si="12"/>
        <v>0</v>
      </c>
      <c r="AC10" s="113">
        <f t="shared" si="13"/>
        <v>0</v>
      </c>
      <c r="AE10" s="14"/>
      <c r="AF10" s="10"/>
      <c r="AG10" s="10"/>
      <c r="AH10" s="13"/>
      <c r="AI10" s="113"/>
    </row>
    <row r="11" spans="1:35" s="100" customFormat="1" ht="22.15" hidden="1">
      <c r="A11" s="101"/>
      <c r="B11" s="102">
        <v>5</v>
      </c>
      <c r="C11" s="98"/>
      <c r="D11" s="99"/>
      <c r="E11" s="16"/>
      <c r="F11" s="17"/>
      <c r="G11" s="67"/>
      <c r="H11" s="11">
        <f t="shared" si="4"/>
        <v>0</v>
      </c>
      <c r="I11" s="11">
        <f t="shared" si="5"/>
        <v>0</v>
      </c>
      <c r="J11" s="72">
        <f t="shared" ref="J11" si="16">E11*I11</f>
        <v>0</v>
      </c>
      <c r="K11" s="113">
        <f t="shared" si="6"/>
        <v>0</v>
      </c>
      <c r="L11" s="17"/>
      <c r="M11" s="65"/>
      <c r="N11" s="11">
        <f t="shared" si="0"/>
        <v>0</v>
      </c>
      <c r="O11" s="79">
        <f t="shared" si="7"/>
        <v>0</v>
      </c>
      <c r="P11" s="66">
        <f t="shared" si="8"/>
        <v>0</v>
      </c>
      <c r="Q11" s="113">
        <f t="shared" si="9"/>
        <v>0</v>
      </c>
      <c r="R11" s="17"/>
      <c r="S11" s="75"/>
      <c r="T11" s="10">
        <f t="shared" si="1"/>
        <v>0</v>
      </c>
      <c r="U11" s="10">
        <f t="shared" si="2"/>
        <v>0</v>
      </c>
      <c r="V11" s="66">
        <f t="shared" ref="V11" si="17">E11*U11</f>
        <v>0</v>
      </c>
      <c r="W11" s="113">
        <f t="shared" si="10"/>
        <v>0</v>
      </c>
      <c r="Y11" s="14"/>
      <c r="Z11" s="10">
        <f t="shared" si="14"/>
        <v>0</v>
      </c>
      <c r="AA11" s="10">
        <f t="shared" si="15"/>
        <v>0</v>
      </c>
      <c r="AB11" s="66">
        <f t="shared" si="12"/>
        <v>0</v>
      </c>
      <c r="AC11" s="113">
        <f t="shared" si="13"/>
        <v>0</v>
      </c>
      <c r="AE11" s="14"/>
      <c r="AF11" s="10"/>
      <c r="AG11" s="10"/>
      <c r="AH11" s="13"/>
      <c r="AI11" s="113"/>
    </row>
    <row r="12" spans="1:35" ht="22.5" thickBot="1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>
      <c r="A14" s="61"/>
      <c r="B14" s="27"/>
      <c r="C14" s="284" t="s">
        <v>30</v>
      </c>
      <c r="D14" s="285"/>
      <c r="E14" s="286"/>
      <c r="F14" s="31"/>
      <c r="G14" s="290"/>
      <c r="H14" s="291"/>
      <c r="I14" s="291"/>
      <c r="J14" s="294">
        <f>SUM(J7:J12)</f>
        <v>9752800</v>
      </c>
      <c r="K14" s="114"/>
      <c r="L14" s="32"/>
      <c r="M14" s="290"/>
      <c r="N14" s="291"/>
      <c r="O14" s="291"/>
      <c r="P14" s="294">
        <f>SUM(P7:P12)</f>
        <v>13357360</v>
      </c>
      <c r="Q14" s="114"/>
      <c r="R14" s="32"/>
      <c r="S14" s="290"/>
      <c r="T14" s="291"/>
      <c r="U14" s="291"/>
      <c r="V14" s="294">
        <f>SUM(V7:V12)</f>
        <v>7074160</v>
      </c>
      <c r="W14" s="114"/>
      <c r="Y14" s="290"/>
      <c r="Z14" s="291"/>
      <c r="AA14" s="291"/>
      <c r="AB14" s="306">
        <f>SUM(AB7:AB13)</f>
        <v>0</v>
      </c>
      <c r="AC14" s="127"/>
      <c r="AE14" s="290"/>
      <c r="AF14" s="291"/>
      <c r="AG14" s="291"/>
      <c r="AH14" s="308">
        <f>SUM(AH7:AH13)</f>
        <v>0</v>
      </c>
    </row>
    <row r="15" spans="1:35" s="4" customFormat="1" ht="25.9" thickBot="1">
      <c r="A15" s="62"/>
      <c r="B15" s="27"/>
      <c r="C15" s="287"/>
      <c r="D15" s="288"/>
      <c r="E15" s="289"/>
      <c r="F15" s="31"/>
      <c r="G15" s="292"/>
      <c r="H15" s="293"/>
      <c r="I15" s="293"/>
      <c r="J15" s="295"/>
      <c r="K15" s="114"/>
      <c r="L15" s="32"/>
      <c r="M15" s="292"/>
      <c r="N15" s="293"/>
      <c r="O15" s="293"/>
      <c r="P15" s="295"/>
      <c r="Q15" s="114"/>
      <c r="R15" s="32"/>
      <c r="S15" s="292"/>
      <c r="T15" s="293"/>
      <c r="U15" s="293"/>
      <c r="V15" s="295"/>
      <c r="W15" s="114"/>
      <c r="Y15" s="292"/>
      <c r="Z15" s="293"/>
      <c r="AA15" s="293"/>
      <c r="AB15" s="307"/>
      <c r="AC15" s="127"/>
      <c r="AE15" s="292"/>
      <c r="AF15" s="293"/>
      <c r="AG15" s="293"/>
      <c r="AH15" s="309"/>
    </row>
    <row r="16" spans="1:35" s="4" customFormat="1" ht="8.25" customHeight="1" thickBot="1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>
      <c r="A17" s="87"/>
      <c r="B17" s="88" t="s">
        <v>31</v>
      </c>
      <c r="C17" s="88"/>
      <c r="D17" s="88"/>
      <c r="E17" s="89"/>
      <c r="F17" s="36"/>
      <c r="G17" s="310"/>
      <c r="H17" s="311"/>
      <c r="I17" s="311"/>
      <c r="J17" s="37">
        <f>+J14-MIN($J$14,$P$14)</f>
        <v>0</v>
      </c>
      <c r="K17" s="115"/>
      <c r="L17" s="38"/>
      <c r="M17" s="310"/>
      <c r="N17" s="311"/>
      <c r="O17" s="311"/>
      <c r="P17" s="39">
        <f>+P14-MIN($J$14,$P$14)</f>
        <v>3604560</v>
      </c>
      <c r="Q17" s="119"/>
      <c r="R17" s="38"/>
      <c r="S17" s="310"/>
      <c r="T17" s="311"/>
      <c r="U17" s="311"/>
      <c r="V17" s="40">
        <f>+V14-MIN($J$14,$P$14,$V$14)</f>
        <v>0</v>
      </c>
      <c r="W17" s="123"/>
      <c r="Y17" s="310"/>
      <c r="Z17" s="311"/>
      <c r="AA17" s="311"/>
      <c r="AB17" s="41">
        <f>+AB14-MIN($J$14,$P$14,$V$14)</f>
        <v>-7074160</v>
      </c>
      <c r="AC17" s="128"/>
      <c r="AE17" s="310"/>
      <c r="AF17" s="311"/>
      <c r="AG17" s="311"/>
      <c r="AH17" s="93">
        <f>+AH14-MIN($J$14,$P$14,$V$14)</f>
        <v>-7074160</v>
      </c>
    </row>
    <row r="18" spans="1:34" s="4" customFormat="1" ht="22.5" thickBot="1">
      <c r="A18" s="84"/>
      <c r="B18" s="85" t="s">
        <v>32</v>
      </c>
      <c r="C18" s="85"/>
      <c r="D18" s="85"/>
      <c r="E18" s="86"/>
      <c r="F18" s="36"/>
      <c r="G18" s="312"/>
      <c r="H18" s="313"/>
      <c r="I18" s="313"/>
      <c r="J18" s="42">
        <f>+J17/MIN($J$14,$P$14)</f>
        <v>0</v>
      </c>
      <c r="K18" s="116"/>
      <c r="L18" s="43"/>
      <c r="M18" s="312"/>
      <c r="N18" s="313"/>
      <c r="O18" s="313"/>
      <c r="P18" s="44">
        <f>+P17/MIN($J$14,$P$14)</f>
        <v>0.36959232220490523</v>
      </c>
      <c r="Q18" s="120"/>
      <c r="R18" s="43"/>
      <c r="S18" s="312"/>
      <c r="T18" s="313"/>
      <c r="U18" s="313"/>
      <c r="V18" s="130">
        <f>+V17/MIN($J$14,$V$14)</f>
        <v>0</v>
      </c>
      <c r="W18" s="124"/>
      <c r="Y18" s="312"/>
      <c r="Z18" s="313"/>
      <c r="AA18" s="313"/>
      <c r="AB18" s="45">
        <f>+AB17/MIN($J$14,$P$14,$V$14)</f>
        <v>-1</v>
      </c>
      <c r="AC18" s="129"/>
      <c r="AE18" s="312"/>
      <c r="AF18" s="313"/>
      <c r="AG18" s="313"/>
      <c r="AH18" s="94">
        <f>+AH17/MIN($J$14,$P$14,$V$14)</f>
        <v>-1</v>
      </c>
    </row>
    <row r="19" spans="1:34" s="4" customFormat="1" ht="7.5" customHeight="1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>
      <c r="A21" s="80"/>
      <c r="B21" s="82"/>
      <c r="C21" s="82"/>
      <c r="D21" s="82"/>
      <c r="E21" s="82"/>
      <c r="F21" s="50"/>
      <c r="G21" s="60" t="s">
        <v>33</v>
      </c>
      <c r="H21" s="302" t="s">
        <v>34</v>
      </c>
      <c r="I21" s="302"/>
      <c r="J21" s="303"/>
      <c r="K21" s="133"/>
      <c r="L21" s="133"/>
      <c r="M21" s="60" t="s">
        <v>33</v>
      </c>
      <c r="N21" s="302" t="s">
        <v>34</v>
      </c>
      <c r="O21" s="302"/>
      <c r="P21" s="303"/>
      <c r="Q21" s="133"/>
      <c r="R21" s="133"/>
      <c r="S21" s="60" t="s">
        <v>33</v>
      </c>
      <c r="T21" s="302" t="s">
        <v>34</v>
      </c>
      <c r="U21" s="302"/>
      <c r="V21" s="303"/>
      <c r="W21" s="133"/>
      <c r="Y21" s="60" t="s">
        <v>33</v>
      </c>
      <c r="Z21" s="302" t="s">
        <v>35</v>
      </c>
      <c r="AA21" s="302"/>
      <c r="AB21" s="303"/>
      <c r="AC21" s="133"/>
      <c r="AE21" s="60" t="s">
        <v>33</v>
      </c>
      <c r="AF21" s="302" t="s">
        <v>35</v>
      </c>
      <c r="AG21" s="302"/>
      <c r="AH21" s="303"/>
    </row>
    <row r="22" spans="1:34" ht="15" customHeight="1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304"/>
      <c r="U23" s="304"/>
      <c r="V23" s="305"/>
      <c r="W23" s="139"/>
      <c r="Y23" s="131" t="s">
        <v>36</v>
      </c>
      <c r="Z23" s="304"/>
      <c r="AA23" s="304"/>
      <c r="AB23" s="305"/>
      <c r="AC23" s="139"/>
      <c r="AE23" s="131" t="s">
        <v>36</v>
      </c>
      <c r="AF23" s="304"/>
      <c r="AG23" s="304"/>
      <c r="AH23" s="305"/>
    </row>
    <row r="24" spans="1:34" ht="15" customHeight="1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>
      <c r="A25" s="81"/>
      <c r="B25" s="82"/>
      <c r="C25" s="95" t="s">
        <v>37</v>
      </c>
      <c r="D25" s="82"/>
      <c r="E25" s="82"/>
      <c r="F25" s="50"/>
      <c r="G25" s="131" t="s">
        <v>38</v>
      </c>
      <c r="H25" s="314"/>
      <c r="I25" s="314"/>
      <c r="J25" s="315"/>
      <c r="K25" s="133"/>
      <c r="L25" s="133"/>
      <c r="M25" s="131" t="s">
        <v>38</v>
      </c>
      <c r="N25" s="314"/>
      <c r="O25" s="314"/>
      <c r="P25" s="315"/>
      <c r="Q25" s="133"/>
      <c r="R25" s="133"/>
      <c r="S25" s="131" t="s">
        <v>38</v>
      </c>
      <c r="T25" s="314"/>
      <c r="U25" s="314"/>
      <c r="V25" s="315"/>
      <c r="W25" s="133"/>
      <c r="Y25" s="131" t="s">
        <v>38</v>
      </c>
      <c r="Z25" s="314"/>
      <c r="AA25" s="314"/>
      <c r="AB25" s="315"/>
      <c r="AC25" s="133"/>
      <c r="AE25" s="131" t="s">
        <v>38</v>
      </c>
      <c r="AF25" s="314"/>
      <c r="AG25" s="314"/>
      <c r="AH25" s="315"/>
    </row>
    <row r="26" spans="1:34" ht="15" customHeight="1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>
      <c r="A27" s="81"/>
      <c r="B27" s="82"/>
      <c r="C27" s="82" t="s">
        <v>40</v>
      </c>
      <c r="D27" s="82"/>
      <c r="E27" s="82"/>
      <c r="F27" s="50"/>
      <c r="G27" s="316" t="s">
        <v>41</v>
      </c>
      <c r="H27" s="317"/>
      <c r="I27" s="314"/>
      <c r="J27" s="315"/>
      <c r="K27" s="133"/>
      <c r="L27" s="133"/>
      <c r="M27" s="51" t="s">
        <v>41</v>
      </c>
      <c r="N27" s="52"/>
      <c r="O27" s="52"/>
      <c r="P27" s="55"/>
      <c r="Q27" s="52"/>
      <c r="R27" s="133"/>
      <c r="S27" s="316" t="s">
        <v>41</v>
      </c>
      <c r="T27" s="317"/>
      <c r="U27" s="314"/>
      <c r="V27" s="315"/>
      <c r="W27" s="133"/>
      <c r="Y27" s="316" t="s">
        <v>41</v>
      </c>
      <c r="Z27" s="317"/>
      <c r="AA27" s="314"/>
      <c r="AB27" s="315"/>
      <c r="AC27" s="133"/>
      <c r="AE27" s="316" t="s">
        <v>41</v>
      </c>
      <c r="AF27" s="317"/>
      <c r="AG27" s="314"/>
      <c r="AH27" s="315"/>
    </row>
    <row r="28" spans="1:34" ht="15" customHeight="1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18"/>
      <c r="U29" s="318"/>
      <c r="V29" s="319"/>
      <c r="W29" s="135"/>
      <c r="Y29" s="131" t="s">
        <v>44</v>
      </c>
      <c r="Z29" s="318"/>
      <c r="AA29" s="318"/>
      <c r="AB29" s="319"/>
      <c r="AC29" s="135"/>
      <c r="AE29" s="131" t="s">
        <v>44</v>
      </c>
      <c r="AF29" s="318"/>
      <c r="AG29" s="318"/>
      <c r="AH29" s="319"/>
    </row>
    <row r="30" spans="1:34" ht="15" customHeight="1">
      <c r="A30" s="81"/>
      <c r="B30" s="82"/>
      <c r="C30" s="82" t="s">
        <v>45</v>
      </c>
      <c r="D30" s="82"/>
      <c r="E30" s="82"/>
      <c r="F30" s="50"/>
      <c r="G30" s="324" t="s">
        <v>46</v>
      </c>
      <c r="H30" s="325"/>
      <c r="I30" s="325"/>
      <c r="J30" s="326"/>
      <c r="K30" s="135"/>
      <c r="L30" s="135"/>
      <c r="M30" s="327" t="s">
        <v>47</v>
      </c>
      <c r="N30" s="328"/>
      <c r="O30" s="328"/>
      <c r="P30" s="329"/>
      <c r="Q30" s="136"/>
      <c r="R30" s="135"/>
      <c r="S30" s="337" t="s">
        <v>48</v>
      </c>
      <c r="T30" s="338"/>
      <c r="U30" s="338"/>
      <c r="V30" s="339"/>
      <c r="W30" s="136"/>
      <c r="Y30" s="331" t="s">
        <v>49</v>
      </c>
      <c r="Z30" s="332"/>
      <c r="AA30" s="332"/>
      <c r="AB30" s="333"/>
      <c r="AC30" s="136"/>
      <c r="AE30" s="334" t="s">
        <v>50</v>
      </c>
      <c r="AF30" s="335"/>
      <c r="AG30" s="335"/>
      <c r="AH30" s="336"/>
    </row>
    <row r="31" spans="1:34" ht="15" customHeight="1">
      <c r="A31" s="81"/>
      <c r="B31" s="82"/>
      <c r="C31" s="82" t="s">
        <v>51</v>
      </c>
      <c r="D31" s="82"/>
      <c r="E31" s="82"/>
      <c r="F31" s="50"/>
      <c r="G31" s="324"/>
      <c r="H31" s="325"/>
      <c r="I31" s="325"/>
      <c r="J31" s="326"/>
      <c r="K31" s="135"/>
      <c r="L31" s="135"/>
      <c r="M31" s="330"/>
      <c r="N31" s="328"/>
      <c r="O31" s="328"/>
      <c r="P31" s="329"/>
      <c r="Q31" s="136"/>
      <c r="R31" s="135"/>
      <c r="S31" s="340"/>
      <c r="T31" s="338"/>
      <c r="U31" s="338"/>
      <c r="V31" s="339"/>
      <c r="W31" s="135"/>
      <c r="Y31" s="323"/>
      <c r="Z31" s="318"/>
      <c r="AA31" s="318"/>
      <c r="AB31" s="319"/>
      <c r="AC31" s="135"/>
      <c r="AE31" s="323"/>
      <c r="AF31" s="318"/>
      <c r="AG31" s="318"/>
      <c r="AH31" s="319"/>
    </row>
    <row r="32" spans="1:34" ht="71.25" customHeight="1">
      <c r="A32" s="81"/>
      <c r="B32" s="82"/>
      <c r="C32" s="82"/>
      <c r="D32" s="82"/>
      <c r="E32" s="82"/>
      <c r="F32" s="50"/>
      <c r="G32" s="324"/>
      <c r="H32" s="325"/>
      <c r="I32" s="325"/>
      <c r="J32" s="326"/>
      <c r="K32" s="135"/>
      <c r="L32" s="135"/>
      <c r="M32" s="330"/>
      <c r="N32" s="328"/>
      <c r="O32" s="328"/>
      <c r="P32" s="329"/>
      <c r="Q32" s="136"/>
      <c r="R32" s="135"/>
      <c r="S32" s="340"/>
      <c r="T32" s="338"/>
      <c r="U32" s="338"/>
      <c r="V32" s="339"/>
      <c r="W32" s="135"/>
      <c r="Y32" s="323"/>
      <c r="Z32" s="318"/>
      <c r="AA32" s="318"/>
      <c r="AB32" s="319"/>
      <c r="AC32" s="135"/>
      <c r="AE32" s="323"/>
      <c r="AF32" s="318"/>
      <c r="AG32" s="318"/>
      <c r="AH32" s="319"/>
    </row>
    <row r="33" spans="1:34" ht="15" customHeight="1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14" t="s">
        <v>53</v>
      </c>
      <c r="AA33" s="314"/>
      <c r="AB33" s="315"/>
      <c r="AC33" s="133"/>
      <c r="AE33" s="131" t="s">
        <v>52</v>
      </c>
      <c r="AF33" s="314" t="s">
        <v>53</v>
      </c>
      <c r="AG33" s="314"/>
      <c r="AH33" s="315"/>
    </row>
    <row r="34" spans="1:34" ht="15" customHeight="1" thickBot="1">
      <c r="A34" s="83"/>
      <c r="B34" s="82"/>
      <c r="C34" s="82"/>
      <c r="D34" s="82"/>
      <c r="E34" s="82"/>
      <c r="F34" s="50"/>
      <c r="G34" s="320"/>
      <c r="H34" s="321"/>
      <c r="I34" s="321"/>
      <c r="J34" s="322"/>
      <c r="K34" s="56"/>
      <c r="L34" s="56"/>
      <c r="M34" s="320"/>
      <c r="N34" s="321"/>
      <c r="O34" s="321"/>
      <c r="P34" s="322"/>
      <c r="Q34" s="56"/>
      <c r="R34" s="56"/>
      <c r="S34" s="320"/>
      <c r="T34" s="321"/>
      <c r="U34" s="321"/>
      <c r="V34" s="322"/>
      <c r="W34" s="56"/>
      <c r="Y34" s="320"/>
      <c r="Z34" s="321"/>
      <c r="AA34" s="321"/>
      <c r="AB34" s="322"/>
      <c r="AC34" s="56"/>
      <c r="AE34" s="320"/>
      <c r="AF34" s="321"/>
      <c r="AG34" s="321"/>
      <c r="AH34" s="322"/>
    </row>
    <row r="35" spans="1:34" ht="18.75">
      <c r="A35" s="80"/>
      <c r="B35" s="82"/>
      <c r="F35" s="50"/>
    </row>
    <row r="36" spans="1:34" ht="18.75">
      <c r="A36" s="81"/>
      <c r="B36" s="82"/>
      <c r="F36" s="50"/>
    </row>
  </sheetData>
  <mergeCells count="102">
    <mergeCell ref="AE34:AH34"/>
    <mergeCell ref="G34:J34"/>
    <mergeCell ref="M34:P34"/>
    <mergeCell ref="S34:V34"/>
    <mergeCell ref="Y34:AB34"/>
    <mergeCell ref="Y32:AB32"/>
    <mergeCell ref="AE32:AH32"/>
    <mergeCell ref="Z33:AB33"/>
    <mergeCell ref="AF33:AH33"/>
    <mergeCell ref="G30:J32"/>
    <mergeCell ref="M30:P32"/>
    <mergeCell ref="Y30:AB30"/>
    <mergeCell ref="AE30:AH30"/>
    <mergeCell ref="Y31:AB31"/>
    <mergeCell ref="AE31:AH31"/>
    <mergeCell ref="S30:V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0"/>
  <sheetViews>
    <sheetView tabSelected="1" topLeftCell="B1" zoomScale="50" zoomScaleNormal="50" workbookViewId="0">
      <pane xSplit="4" ySplit="6" topLeftCell="F10" activePane="bottomRight" state="frozen"/>
      <selection pane="bottomRight" activeCell="P41" sqref="P41"/>
      <selection pane="bottomLeft" activeCell="B7" sqref="B7"/>
      <selection pane="topRight" activeCell="F1" sqref="F1"/>
    </sheetView>
  </sheetViews>
  <sheetFormatPr defaultColWidth="11.42578125" defaultRowHeight="15.75"/>
  <cols>
    <col min="1" max="1" width="5.28515625" style="15" customWidth="1"/>
    <col min="2" max="2" width="8.42578125" style="15" customWidth="1"/>
    <col min="3" max="3" width="66.28515625" style="15" customWidth="1"/>
    <col min="4" max="4" width="20.7109375" style="15" customWidth="1"/>
    <col min="5" max="5" width="16.140625" style="15" bestFit="1" customWidth="1"/>
    <col min="6" max="6" width="15.7109375" style="15" bestFit="1" customWidth="1"/>
    <col min="7" max="7" width="22" style="15" bestFit="1" customWidth="1"/>
    <col min="8" max="8" width="1.5703125" style="15" customWidth="1"/>
    <col min="9" max="9" width="22.42578125" style="15" customWidth="1"/>
    <col min="10" max="10" width="18.5703125" style="15" customWidth="1"/>
    <col min="11" max="11" width="18.42578125" style="15" customWidth="1"/>
    <col min="12" max="12" width="20.140625" style="15" bestFit="1" customWidth="1"/>
    <col min="13" max="13" width="1.7109375" style="15" customWidth="1"/>
    <col min="14" max="14" width="19.85546875" style="15" customWidth="1"/>
    <col min="15" max="15" width="17.42578125" style="15" customWidth="1"/>
    <col min="16" max="16" width="18.28515625" style="15" customWidth="1"/>
    <col min="17" max="17" width="20.42578125" style="15" bestFit="1" customWidth="1"/>
    <col min="18" max="18" width="2.7109375" style="15" customWidth="1"/>
    <col min="19" max="19" width="20.140625" style="15" customWidth="1"/>
    <col min="20" max="20" width="14.42578125" style="15" customWidth="1"/>
    <col min="21" max="21" width="18.5703125" style="15" customWidth="1"/>
    <col min="22" max="22" width="20.28515625" style="15" bestFit="1" customWidth="1"/>
    <col min="23" max="23" width="2.5703125" style="15" customWidth="1"/>
    <col min="24" max="16384" width="11.42578125" style="15"/>
  </cols>
  <sheetData>
    <row r="1" spans="1:22" s="4" customFormat="1" ht="33" customHeight="1" thickBot="1">
      <c r="A1" s="1"/>
      <c r="B1" s="350" t="s">
        <v>54</v>
      </c>
      <c r="C1" s="351"/>
      <c r="D1" s="351"/>
      <c r="E1" s="351"/>
      <c r="F1" s="352"/>
      <c r="G1" s="347" t="s">
        <v>1</v>
      </c>
      <c r="H1" s="2"/>
      <c r="I1" s="341" t="s">
        <v>55</v>
      </c>
      <c r="J1" s="342"/>
      <c r="K1" s="342"/>
      <c r="L1" s="343"/>
      <c r="M1" s="3"/>
      <c r="N1" s="211" t="s">
        <v>56</v>
      </c>
      <c r="O1" s="212"/>
      <c r="P1" s="212"/>
      <c r="Q1" s="213"/>
      <c r="R1" s="3"/>
      <c r="S1" s="344" t="s">
        <v>57</v>
      </c>
      <c r="T1" s="345"/>
      <c r="U1" s="345"/>
      <c r="V1" s="346"/>
    </row>
    <row r="2" spans="1:22" s="4" customFormat="1" ht="33" customHeight="1" thickBot="1">
      <c r="A2" s="5"/>
      <c r="B2" s="353"/>
      <c r="C2" s="205"/>
      <c r="D2" s="205"/>
      <c r="E2" s="205"/>
      <c r="F2" s="354"/>
      <c r="G2" s="348"/>
      <c r="H2" s="2"/>
      <c r="I2" s="190" t="s">
        <v>58</v>
      </c>
      <c r="J2" s="191"/>
      <c r="K2" s="191"/>
      <c r="L2" s="192"/>
      <c r="M2" s="3"/>
      <c r="N2" s="211" t="s">
        <v>59</v>
      </c>
      <c r="O2" s="212"/>
      <c r="P2" s="212"/>
      <c r="Q2" s="213"/>
      <c r="R2" s="3"/>
      <c r="S2" s="214" t="s">
        <v>60</v>
      </c>
      <c r="T2" s="215"/>
      <c r="U2" s="215"/>
      <c r="V2" s="216"/>
    </row>
    <row r="3" spans="1:22" s="4" customFormat="1" ht="33" customHeight="1" thickBot="1">
      <c r="A3" s="5"/>
      <c r="B3" s="355"/>
      <c r="C3" s="356"/>
      <c r="D3" s="356"/>
      <c r="E3" s="356"/>
      <c r="F3" s="357"/>
      <c r="G3" s="349"/>
      <c r="H3" s="2"/>
      <c r="I3" s="341" t="s">
        <v>61</v>
      </c>
      <c r="J3" s="342"/>
      <c r="K3" s="342"/>
      <c r="L3" s="343"/>
      <c r="M3" s="3"/>
      <c r="N3" s="223" t="s">
        <v>62</v>
      </c>
      <c r="O3" s="224"/>
      <c r="P3" s="224"/>
      <c r="Q3" s="225"/>
      <c r="R3" s="3"/>
      <c r="S3" s="226" t="s">
        <v>63</v>
      </c>
      <c r="T3" s="227"/>
      <c r="U3" s="227"/>
      <c r="V3" s="228"/>
    </row>
    <row r="4" spans="1:22" s="4" customFormat="1" ht="22.5" thickBot="1">
      <c r="A4" s="57"/>
      <c r="B4" s="361" t="s">
        <v>11</v>
      </c>
      <c r="C4" s="364" t="s">
        <v>12</v>
      </c>
      <c r="D4" s="358" t="s">
        <v>13</v>
      </c>
      <c r="E4" s="359"/>
      <c r="F4" s="359"/>
      <c r="G4" s="360"/>
      <c r="H4" s="2"/>
      <c r="I4" s="243" t="s">
        <v>64</v>
      </c>
      <c r="J4" s="244"/>
      <c r="K4" s="244" t="s">
        <v>65</v>
      </c>
      <c r="L4" s="245"/>
      <c r="M4" s="6"/>
      <c r="N4" s="246" t="s">
        <v>66</v>
      </c>
      <c r="O4" s="247"/>
      <c r="P4" s="247" t="s">
        <v>67</v>
      </c>
      <c r="Q4" s="248"/>
      <c r="R4" s="6"/>
      <c r="S4" s="249" t="s">
        <v>68</v>
      </c>
      <c r="T4" s="250"/>
      <c r="U4" s="250" t="s">
        <v>69</v>
      </c>
      <c r="V4" s="251"/>
    </row>
    <row r="5" spans="1:22" s="4" customFormat="1" ht="22.5" thickBot="1">
      <c r="A5" s="58"/>
      <c r="B5" s="362"/>
      <c r="C5" s="365"/>
      <c r="D5" s="379">
        <f ca="1">+TODAY()</f>
        <v>46074</v>
      </c>
      <c r="E5" s="380"/>
      <c r="F5" s="380"/>
      <c r="G5" s="381"/>
      <c r="H5" s="2"/>
      <c r="I5" s="383" t="s">
        <v>17</v>
      </c>
      <c r="J5" s="143" t="s">
        <v>18</v>
      </c>
      <c r="K5" s="262" t="s">
        <v>19</v>
      </c>
      <c r="L5" s="385" t="s">
        <v>20</v>
      </c>
      <c r="M5" s="2"/>
      <c r="N5" s="367" t="s">
        <v>17</v>
      </c>
      <c r="O5" s="77" t="s">
        <v>21</v>
      </c>
      <c r="P5" s="268" t="s">
        <v>19</v>
      </c>
      <c r="Q5" s="371" t="s">
        <v>20</v>
      </c>
      <c r="R5" s="2"/>
      <c r="S5" s="373" t="s">
        <v>17</v>
      </c>
      <c r="T5" s="140" t="s">
        <v>22</v>
      </c>
      <c r="U5" s="300" t="s">
        <v>19</v>
      </c>
      <c r="V5" s="369" t="s">
        <v>20</v>
      </c>
    </row>
    <row r="6" spans="1:22" s="4" customFormat="1" ht="22.5" thickBot="1">
      <c r="A6" s="59"/>
      <c r="B6" s="363"/>
      <c r="C6" s="366"/>
      <c r="D6" s="161" t="s">
        <v>23</v>
      </c>
      <c r="E6" s="170" t="s">
        <v>24</v>
      </c>
      <c r="F6" s="170" t="s">
        <v>70</v>
      </c>
      <c r="G6" s="171" t="s">
        <v>71</v>
      </c>
      <c r="H6" s="2"/>
      <c r="I6" s="384"/>
      <c r="J6" s="7">
        <v>0.19</v>
      </c>
      <c r="K6" s="263"/>
      <c r="L6" s="386"/>
      <c r="M6" s="2"/>
      <c r="N6" s="368"/>
      <c r="O6" s="78">
        <v>0.19</v>
      </c>
      <c r="P6" s="269"/>
      <c r="Q6" s="372"/>
      <c r="R6" s="2"/>
      <c r="S6" s="374"/>
      <c r="T6" s="108">
        <v>0.19</v>
      </c>
      <c r="U6" s="301"/>
      <c r="V6" s="370"/>
    </row>
    <row r="7" spans="1:22" ht="22.15">
      <c r="A7" s="101"/>
      <c r="B7" s="102">
        <v>1</v>
      </c>
      <c r="C7" s="186" t="s">
        <v>72</v>
      </c>
      <c r="D7" s="180" t="s">
        <v>73</v>
      </c>
      <c r="E7" s="172">
        <v>1</v>
      </c>
      <c r="F7" s="160"/>
      <c r="G7" s="163">
        <f>E7*F7</f>
        <v>0</v>
      </c>
      <c r="H7" s="107"/>
      <c r="I7" s="178">
        <v>133168</v>
      </c>
      <c r="J7" s="11">
        <f>I7*$J$6</f>
        <v>25301.920000000002</v>
      </c>
      <c r="K7" s="11">
        <f>I7+J7</f>
        <v>158469.92000000001</v>
      </c>
      <c r="L7" s="179">
        <f t="shared" ref="L7" si="0">E7*K7</f>
        <v>158469.92000000001</v>
      </c>
      <c r="M7" s="12"/>
      <c r="N7" s="178">
        <v>140177</v>
      </c>
      <c r="O7" s="11">
        <f t="shared" ref="O7" si="1">N7*$O$6</f>
        <v>26633.63</v>
      </c>
      <c r="P7" s="79">
        <f>N7+O7</f>
        <v>166810.63</v>
      </c>
      <c r="Q7" s="13">
        <f t="shared" ref="Q7" si="2">E7*P7</f>
        <v>166810.63</v>
      </c>
      <c r="R7" s="12"/>
      <c r="S7" s="14">
        <v>136513</v>
      </c>
      <c r="T7" s="10">
        <f t="shared" ref="T7" si="3">S7*$T$6</f>
        <v>25937.47</v>
      </c>
      <c r="U7" s="10">
        <f t="shared" ref="U7" si="4">S7+T7</f>
        <v>162450.47</v>
      </c>
      <c r="V7" s="175">
        <f>E7*U7</f>
        <v>162450.47</v>
      </c>
    </row>
    <row r="8" spans="1:22" ht="22.15">
      <c r="A8" s="158"/>
      <c r="B8" s="184">
        <v>2</v>
      </c>
      <c r="C8" s="181" t="s">
        <v>74</v>
      </c>
      <c r="D8" s="180" t="s">
        <v>73</v>
      </c>
      <c r="E8" s="172">
        <v>1</v>
      </c>
      <c r="F8" s="160"/>
      <c r="G8" s="163">
        <f t="shared" ref="G8:G10" si="5">E8*F8</f>
        <v>0</v>
      </c>
      <c r="H8" s="107"/>
      <c r="I8" s="178">
        <v>57563</v>
      </c>
      <c r="J8" s="11">
        <f>I8*$J$6</f>
        <v>10936.97</v>
      </c>
      <c r="K8" s="11">
        <f>I8+J8</f>
        <v>68499.97</v>
      </c>
      <c r="L8" s="179">
        <f t="shared" ref="L8" si="6">E8*K8</f>
        <v>68499.97</v>
      </c>
      <c r="M8" s="12"/>
      <c r="N8" s="178">
        <v>60593</v>
      </c>
      <c r="O8" s="11">
        <f t="shared" ref="O8:O11" si="7">N8*$O$6</f>
        <v>11512.67</v>
      </c>
      <c r="P8" s="79">
        <f t="shared" ref="P8:P11" si="8">N8+O8</f>
        <v>72105.67</v>
      </c>
      <c r="Q8" s="13">
        <f t="shared" ref="Q8:Q11" si="9">E8*P8</f>
        <v>72105.67</v>
      </c>
      <c r="R8" s="12"/>
      <c r="S8" s="14">
        <v>74790</v>
      </c>
      <c r="T8" s="10">
        <f t="shared" ref="T8:T9" si="10">S8*$T$6</f>
        <v>14210.1</v>
      </c>
      <c r="U8" s="10">
        <f t="shared" ref="U8:U9" si="11">S8+T8</f>
        <v>89000.1</v>
      </c>
      <c r="V8" s="175">
        <f t="shared" ref="V8:V9" si="12">E8*U8</f>
        <v>89000.1</v>
      </c>
    </row>
    <row r="9" spans="1:22" ht="22.15">
      <c r="A9" s="158"/>
      <c r="B9" s="185">
        <v>3</v>
      </c>
      <c r="C9" s="181" t="s">
        <v>75</v>
      </c>
      <c r="D9" s="180" t="s">
        <v>73</v>
      </c>
      <c r="E9" s="172">
        <v>1</v>
      </c>
      <c r="F9" s="160"/>
      <c r="G9" s="163"/>
      <c r="H9" s="107"/>
      <c r="I9" s="178">
        <v>386471</v>
      </c>
      <c r="J9" s="11">
        <f t="shared" ref="J9:J24" si="13">I9*$J$6</f>
        <v>73429.490000000005</v>
      </c>
      <c r="K9" s="11">
        <f t="shared" ref="K9:K24" si="14">I9+J9</f>
        <v>459900.49</v>
      </c>
      <c r="L9" s="179">
        <f t="shared" ref="L9:L24" si="15">E9*K9</f>
        <v>459900.49</v>
      </c>
      <c r="M9" s="12"/>
      <c r="N9" s="178">
        <v>406812</v>
      </c>
      <c r="O9" s="11">
        <f t="shared" si="7"/>
        <v>77294.28</v>
      </c>
      <c r="P9" s="79">
        <f t="shared" si="8"/>
        <v>484106.28</v>
      </c>
      <c r="Q9" s="13">
        <f t="shared" si="9"/>
        <v>484106.28</v>
      </c>
      <c r="R9" s="12"/>
      <c r="S9" s="14">
        <v>491370</v>
      </c>
      <c r="T9" s="10">
        <f t="shared" si="10"/>
        <v>93360.3</v>
      </c>
      <c r="U9" s="10">
        <f t="shared" si="11"/>
        <v>584730.30000000005</v>
      </c>
      <c r="V9" s="175">
        <f t="shared" si="12"/>
        <v>584730.30000000005</v>
      </c>
    </row>
    <row r="10" spans="1:22" ht="22.15">
      <c r="A10" s="158"/>
      <c r="B10" s="185">
        <v>4</v>
      </c>
      <c r="C10" s="181" t="s">
        <v>76</v>
      </c>
      <c r="D10" s="180" t="s">
        <v>73</v>
      </c>
      <c r="E10" s="172">
        <v>1</v>
      </c>
      <c r="F10" s="160"/>
      <c r="G10" s="163">
        <f t="shared" si="5"/>
        <v>0</v>
      </c>
      <c r="H10" s="107"/>
      <c r="I10" s="178">
        <v>443613</v>
      </c>
      <c r="J10" s="11">
        <f t="shared" si="13"/>
        <v>84286.47</v>
      </c>
      <c r="K10" s="11">
        <f t="shared" si="14"/>
        <v>527899.47</v>
      </c>
      <c r="L10" s="179">
        <f t="shared" si="15"/>
        <v>527899.47</v>
      </c>
      <c r="M10" s="12"/>
      <c r="N10" s="178">
        <v>413014</v>
      </c>
      <c r="O10" s="11">
        <f t="shared" si="7"/>
        <v>78472.66</v>
      </c>
      <c r="P10" s="79">
        <f t="shared" si="8"/>
        <v>491486.66000000003</v>
      </c>
      <c r="Q10" s="13">
        <f t="shared" si="9"/>
        <v>491486.66000000003</v>
      </c>
      <c r="R10" s="12"/>
      <c r="S10" s="14">
        <v>493697</v>
      </c>
      <c r="T10" s="10">
        <f t="shared" ref="T10:T26" si="16">S10*$T$6</f>
        <v>93802.430000000008</v>
      </c>
      <c r="U10" s="10">
        <f t="shared" ref="U10:U26" si="17">S10+T10</f>
        <v>587499.43000000005</v>
      </c>
      <c r="V10" s="175">
        <f t="shared" ref="V10:V26" si="18">E10*U10</f>
        <v>587499.43000000005</v>
      </c>
    </row>
    <row r="11" spans="1:22" ht="22.15">
      <c r="A11" s="158"/>
      <c r="B11" s="185">
        <v>5</v>
      </c>
      <c r="C11" s="181" t="s">
        <v>77</v>
      </c>
      <c r="D11" s="180" t="s">
        <v>78</v>
      </c>
      <c r="E11" s="172">
        <v>1</v>
      </c>
      <c r="F11" s="160"/>
      <c r="G11" s="163"/>
      <c r="H11" s="107"/>
      <c r="I11" s="178">
        <v>47059</v>
      </c>
      <c r="J11" s="11">
        <f t="shared" si="13"/>
        <v>8941.2100000000009</v>
      </c>
      <c r="K11" s="11">
        <f t="shared" si="14"/>
        <v>56000.21</v>
      </c>
      <c r="L11" s="179">
        <f t="shared" si="15"/>
        <v>56000.21</v>
      </c>
      <c r="M11" s="12"/>
      <c r="N11" s="178">
        <v>52000</v>
      </c>
      <c r="O11" s="11">
        <f t="shared" si="7"/>
        <v>9880</v>
      </c>
      <c r="P11" s="79">
        <f t="shared" si="8"/>
        <v>61880</v>
      </c>
      <c r="Q11" s="13">
        <f t="shared" si="9"/>
        <v>61880</v>
      </c>
      <c r="R11" s="12"/>
      <c r="S11" s="14">
        <v>57563</v>
      </c>
      <c r="T11" s="10">
        <f t="shared" si="16"/>
        <v>10936.97</v>
      </c>
      <c r="U11" s="10">
        <f t="shared" si="17"/>
        <v>68499.97</v>
      </c>
      <c r="V11" s="175">
        <f t="shared" si="18"/>
        <v>68499.97</v>
      </c>
    </row>
    <row r="12" spans="1:22" ht="22.15">
      <c r="A12" s="158"/>
      <c r="B12" s="185">
        <v>6</v>
      </c>
      <c r="C12" s="181" t="s">
        <v>79</v>
      </c>
      <c r="D12" s="180" t="s">
        <v>78</v>
      </c>
      <c r="E12" s="172">
        <v>1</v>
      </c>
      <c r="F12" s="160"/>
      <c r="G12" s="163"/>
      <c r="H12" s="107"/>
      <c r="I12" s="178">
        <v>44454</v>
      </c>
      <c r="J12" s="11">
        <f t="shared" si="13"/>
        <v>8446.26</v>
      </c>
      <c r="K12" s="11">
        <f t="shared" si="14"/>
        <v>52900.26</v>
      </c>
      <c r="L12" s="179">
        <f t="shared" si="15"/>
        <v>52900.26</v>
      </c>
      <c r="M12" s="12"/>
      <c r="N12" s="178">
        <v>34900</v>
      </c>
      <c r="O12" s="11">
        <f t="shared" ref="O12:O26" si="19">N12*$O$6</f>
        <v>6631</v>
      </c>
      <c r="P12" s="79">
        <f t="shared" ref="P12:P26" si="20">N12+O12</f>
        <v>41531</v>
      </c>
      <c r="Q12" s="13">
        <f t="shared" ref="Q12:Q26" si="21">E12*P12</f>
        <v>41531</v>
      </c>
      <c r="R12" s="12"/>
      <c r="S12" s="14">
        <v>56520</v>
      </c>
      <c r="T12" s="10">
        <f t="shared" si="16"/>
        <v>10738.8</v>
      </c>
      <c r="U12" s="10">
        <f t="shared" si="17"/>
        <v>67258.8</v>
      </c>
      <c r="V12" s="175">
        <f t="shared" si="18"/>
        <v>67258.8</v>
      </c>
    </row>
    <row r="13" spans="1:22" ht="22.15">
      <c r="A13" s="158"/>
      <c r="B13" s="185">
        <v>7</v>
      </c>
      <c r="C13" s="181" t="s">
        <v>80</v>
      </c>
      <c r="D13" s="180" t="s">
        <v>73</v>
      </c>
      <c r="E13" s="172">
        <v>1</v>
      </c>
      <c r="F13" s="160"/>
      <c r="G13" s="163"/>
      <c r="H13" s="107"/>
      <c r="I13" s="178">
        <v>325365.96000000002</v>
      </c>
      <c r="J13" s="11">
        <f t="shared" si="13"/>
        <v>61819.532400000004</v>
      </c>
      <c r="K13" s="11">
        <f t="shared" si="14"/>
        <v>387185.49240000005</v>
      </c>
      <c r="L13" s="179">
        <f t="shared" si="15"/>
        <v>387185.49240000005</v>
      </c>
      <c r="M13" s="12"/>
      <c r="N13" s="178">
        <v>364352</v>
      </c>
      <c r="O13" s="11">
        <f t="shared" si="19"/>
        <v>69226.880000000005</v>
      </c>
      <c r="P13" s="79">
        <f t="shared" si="20"/>
        <v>433578.88</v>
      </c>
      <c r="Q13" s="13">
        <f t="shared" si="21"/>
        <v>433578.88</v>
      </c>
      <c r="R13" s="12"/>
      <c r="S13" s="14">
        <v>361975</v>
      </c>
      <c r="T13" s="10">
        <f t="shared" si="16"/>
        <v>68775.25</v>
      </c>
      <c r="U13" s="10">
        <f t="shared" si="17"/>
        <v>430750.25</v>
      </c>
      <c r="V13" s="175">
        <f t="shared" si="18"/>
        <v>430750.25</v>
      </c>
    </row>
    <row r="14" spans="1:22" ht="22.15">
      <c r="A14" s="158"/>
      <c r="B14" s="185">
        <v>8</v>
      </c>
      <c r="C14" s="181" t="s">
        <v>81</v>
      </c>
      <c r="D14" s="180" t="s">
        <v>78</v>
      </c>
      <c r="E14" s="172">
        <v>1</v>
      </c>
      <c r="F14" s="160"/>
      <c r="G14" s="163"/>
      <c r="H14" s="107"/>
      <c r="I14" s="178">
        <v>132353</v>
      </c>
      <c r="J14" s="11">
        <f t="shared" si="13"/>
        <v>25147.07</v>
      </c>
      <c r="K14" s="11">
        <f t="shared" si="14"/>
        <v>157500.07</v>
      </c>
      <c r="L14" s="179">
        <f t="shared" si="15"/>
        <v>157500.07</v>
      </c>
      <c r="M14" s="12"/>
      <c r="N14" s="178">
        <v>139319</v>
      </c>
      <c r="O14" s="11">
        <f t="shared" si="19"/>
        <v>26470.61</v>
      </c>
      <c r="P14" s="79">
        <f t="shared" si="20"/>
        <v>165789.60999999999</v>
      </c>
      <c r="Q14" s="13">
        <f t="shared" si="21"/>
        <v>165789.60999999999</v>
      </c>
      <c r="R14" s="12"/>
      <c r="S14" s="14">
        <v>147059</v>
      </c>
      <c r="T14" s="10">
        <f t="shared" si="16"/>
        <v>27941.21</v>
      </c>
      <c r="U14" s="10">
        <f t="shared" si="17"/>
        <v>175000.21</v>
      </c>
      <c r="V14" s="175">
        <f t="shared" si="18"/>
        <v>175000.21</v>
      </c>
    </row>
    <row r="15" spans="1:22" ht="22.15">
      <c r="A15" s="158"/>
      <c r="B15" s="185">
        <v>9</v>
      </c>
      <c r="C15" s="181" t="s">
        <v>82</v>
      </c>
      <c r="D15" s="180" t="s">
        <v>78</v>
      </c>
      <c r="E15" s="172">
        <v>1</v>
      </c>
      <c r="F15" s="160"/>
      <c r="G15" s="163"/>
      <c r="H15" s="107"/>
      <c r="I15" s="178">
        <v>151623</v>
      </c>
      <c r="J15" s="11">
        <f t="shared" si="13"/>
        <v>28808.37</v>
      </c>
      <c r="K15" s="11">
        <f t="shared" si="14"/>
        <v>180431.37</v>
      </c>
      <c r="L15" s="179">
        <f t="shared" si="15"/>
        <v>180431.37</v>
      </c>
      <c r="M15" s="12"/>
      <c r="N15" s="178">
        <v>164392</v>
      </c>
      <c r="O15" s="11">
        <f t="shared" si="19"/>
        <v>31234.48</v>
      </c>
      <c r="P15" s="79">
        <f t="shared" si="20"/>
        <v>195626.48</v>
      </c>
      <c r="Q15" s="13">
        <f t="shared" si="21"/>
        <v>195626.48</v>
      </c>
      <c r="R15" s="12"/>
      <c r="S15" s="14">
        <v>170168</v>
      </c>
      <c r="T15" s="10">
        <f t="shared" si="16"/>
        <v>32331.920000000002</v>
      </c>
      <c r="U15" s="10">
        <f t="shared" si="17"/>
        <v>202499.92</v>
      </c>
      <c r="V15" s="175">
        <f t="shared" si="18"/>
        <v>202499.92</v>
      </c>
    </row>
    <row r="16" spans="1:22" ht="22.15">
      <c r="A16" s="158"/>
      <c r="B16" s="185">
        <v>10</v>
      </c>
      <c r="C16" s="181" t="s">
        <v>83</v>
      </c>
      <c r="D16" s="180" t="s">
        <v>78</v>
      </c>
      <c r="E16" s="172">
        <v>1</v>
      </c>
      <c r="F16" s="160"/>
      <c r="G16" s="163"/>
      <c r="H16" s="107"/>
      <c r="I16" s="178">
        <v>443613</v>
      </c>
      <c r="J16" s="11">
        <f t="shared" si="13"/>
        <v>84286.47</v>
      </c>
      <c r="K16" s="11">
        <f t="shared" si="14"/>
        <v>527899.47</v>
      </c>
      <c r="L16" s="179">
        <f t="shared" si="15"/>
        <v>527899.47</v>
      </c>
      <c r="M16" s="12"/>
      <c r="N16" s="178">
        <v>413014</v>
      </c>
      <c r="O16" s="11">
        <f t="shared" si="19"/>
        <v>78472.66</v>
      </c>
      <c r="P16" s="79">
        <f t="shared" si="20"/>
        <v>491486.66000000003</v>
      </c>
      <c r="Q16" s="13">
        <f t="shared" si="21"/>
        <v>491486.66000000003</v>
      </c>
      <c r="R16" s="12"/>
      <c r="S16" s="14">
        <v>679000</v>
      </c>
      <c r="T16" s="10">
        <f t="shared" si="16"/>
        <v>129010</v>
      </c>
      <c r="U16" s="10">
        <f t="shared" si="17"/>
        <v>808010</v>
      </c>
      <c r="V16" s="175">
        <f t="shared" si="18"/>
        <v>808010</v>
      </c>
    </row>
    <row r="17" spans="1:22" ht="22.15">
      <c r="A17" s="158"/>
      <c r="B17" s="185">
        <v>11</v>
      </c>
      <c r="C17" s="181" t="s">
        <v>84</v>
      </c>
      <c r="D17" s="180" t="s">
        <v>78</v>
      </c>
      <c r="E17" s="172">
        <v>1</v>
      </c>
      <c r="F17" s="160"/>
      <c r="G17" s="163"/>
      <c r="H17" s="107"/>
      <c r="I17" s="178">
        <v>131933</v>
      </c>
      <c r="J17" s="11">
        <f t="shared" si="13"/>
        <v>25067.27</v>
      </c>
      <c r="K17" s="11">
        <f t="shared" si="14"/>
        <v>157000.26999999999</v>
      </c>
      <c r="L17" s="179">
        <f t="shared" si="15"/>
        <v>157000.26999999999</v>
      </c>
      <c r="M17" s="12"/>
      <c r="N17" s="178">
        <v>138877</v>
      </c>
      <c r="O17" s="11">
        <f t="shared" si="19"/>
        <v>26386.63</v>
      </c>
      <c r="P17" s="79">
        <f t="shared" si="20"/>
        <v>165263.63</v>
      </c>
      <c r="Q17" s="13">
        <f t="shared" si="21"/>
        <v>165263.63</v>
      </c>
      <c r="R17" s="12"/>
      <c r="S17" s="14">
        <v>169748</v>
      </c>
      <c r="T17" s="10">
        <f t="shared" si="16"/>
        <v>32252.12</v>
      </c>
      <c r="U17" s="10">
        <f t="shared" si="17"/>
        <v>202000.12</v>
      </c>
      <c r="V17" s="175">
        <f t="shared" si="18"/>
        <v>202000.12</v>
      </c>
    </row>
    <row r="18" spans="1:22" ht="22.15">
      <c r="A18" s="158"/>
      <c r="B18" s="185">
        <v>12</v>
      </c>
      <c r="C18" s="181" t="s">
        <v>85</v>
      </c>
      <c r="D18" s="180" t="s">
        <v>78</v>
      </c>
      <c r="E18" s="172">
        <v>1</v>
      </c>
      <c r="F18" s="160"/>
      <c r="G18" s="163"/>
      <c r="H18" s="107"/>
      <c r="I18" s="178">
        <v>151623</v>
      </c>
      <c r="J18" s="11">
        <f t="shared" si="13"/>
        <v>28808.37</v>
      </c>
      <c r="K18" s="11">
        <f t="shared" si="14"/>
        <v>180431.37</v>
      </c>
      <c r="L18" s="179">
        <f t="shared" si="15"/>
        <v>180431.37</v>
      </c>
      <c r="M18" s="12"/>
      <c r="N18" s="178">
        <v>204322</v>
      </c>
      <c r="O18" s="11">
        <f t="shared" si="19"/>
        <v>38821.18</v>
      </c>
      <c r="P18" s="79">
        <f t="shared" si="20"/>
        <v>243143.18</v>
      </c>
      <c r="Q18" s="13">
        <f t="shared" si="21"/>
        <v>243143.18</v>
      </c>
      <c r="R18" s="12"/>
      <c r="S18" s="14">
        <v>170168</v>
      </c>
      <c r="T18" s="10">
        <f t="shared" ref="T18:T19" si="22">S18*$T$6</f>
        <v>32331.920000000002</v>
      </c>
      <c r="U18" s="10">
        <f t="shared" ref="U18:U19" si="23">S18+T18</f>
        <v>202499.92</v>
      </c>
      <c r="V18" s="175">
        <f t="shared" ref="V18:V19" si="24">E18*U18</f>
        <v>202499.92</v>
      </c>
    </row>
    <row r="19" spans="1:22" ht="22.15">
      <c r="A19" s="158"/>
      <c r="B19" s="185">
        <v>13</v>
      </c>
      <c r="C19" s="181" t="s">
        <v>86</v>
      </c>
      <c r="D19" s="180" t="s">
        <v>73</v>
      </c>
      <c r="E19" s="172">
        <v>1</v>
      </c>
      <c r="F19" s="160"/>
      <c r="G19" s="163"/>
      <c r="H19" s="107"/>
      <c r="I19" s="178">
        <v>226804</v>
      </c>
      <c r="J19" s="11">
        <f t="shared" si="13"/>
        <v>43092.76</v>
      </c>
      <c r="K19" s="11">
        <f t="shared" si="14"/>
        <v>269896.76</v>
      </c>
      <c r="L19" s="179">
        <f t="shared" si="15"/>
        <v>269896.76</v>
      </c>
      <c r="M19" s="12"/>
      <c r="N19" s="178">
        <v>196208</v>
      </c>
      <c r="O19" s="11">
        <f t="shared" si="19"/>
        <v>37279.520000000004</v>
      </c>
      <c r="P19" s="79">
        <f t="shared" si="20"/>
        <v>233487.52000000002</v>
      </c>
      <c r="Q19" s="13">
        <f t="shared" si="21"/>
        <v>233487.52000000002</v>
      </c>
      <c r="R19" s="12"/>
      <c r="S19" s="14">
        <v>252353</v>
      </c>
      <c r="T19" s="10">
        <f t="shared" si="22"/>
        <v>47947.07</v>
      </c>
      <c r="U19" s="10">
        <f t="shared" si="23"/>
        <v>300300.07</v>
      </c>
      <c r="V19" s="175">
        <f t="shared" si="24"/>
        <v>300300.07</v>
      </c>
    </row>
    <row r="20" spans="1:22" ht="22.15">
      <c r="A20" s="158"/>
      <c r="B20" s="185">
        <v>14</v>
      </c>
      <c r="C20" s="181" t="s">
        <v>87</v>
      </c>
      <c r="D20" s="180" t="s">
        <v>78</v>
      </c>
      <c r="E20" s="172">
        <v>1</v>
      </c>
      <c r="F20" s="160"/>
      <c r="G20" s="163"/>
      <c r="H20" s="107"/>
      <c r="I20" s="178">
        <v>74706</v>
      </c>
      <c r="J20" s="11">
        <f t="shared" si="13"/>
        <v>14194.14</v>
      </c>
      <c r="K20" s="11">
        <f t="shared" si="14"/>
        <v>88900.14</v>
      </c>
      <c r="L20" s="179">
        <f t="shared" si="15"/>
        <v>88900.14</v>
      </c>
      <c r="M20" s="12"/>
      <c r="N20" s="178">
        <v>78638</v>
      </c>
      <c r="O20" s="11">
        <f t="shared" si="19"/>
        <v>14941.22</v>
      </c>
      <c r="P20" s="79">
        <f t="shared" si="20"/>
        <v>93579.22</v>
      </c>
      <c r="Q20" s="13">
        <f t="shared" si="21"/>
        <v>93579.22</v>
      </c>
      <c r="R20" s="12"/>
      <c r="S20" s="14">
        <v>83193</v>
      </c>
      <c r="T20" s="10">
        <f t="shared" si="16"/>
        <v>15806.67</v>
      </c>
      <c r="U20" s="10">
        <f t="shared" si="17"/>
        <v>98999.67</v>
      </c>
      <c r="V20" s="175">
        <f>E20*U20</f>
        <v>98999.67</v>
      </c>
    </row>
    <row r="21" spans="1:22" ht="22.15">
      <c r="A21" s="158"/>
      <c r="B21" s="185">
        <v>15</v>
      </c>
      <c r="C21" s="181" t="s">
        <v>88</v>
      </c>
      <c r="D21" s="180" t="s">
        <v>78</v>
      </c>
      <c r="E21" s="172">
        <v>1</v>
      </c>
      <c r="F21" s="160"/>
      <c r="G21" s="163"/>
      <c r="H21" s="107"/>
      <c r="I21" s="178">
        <v>100588</v>
      </c>
      <c r="J21" s="11">
        <f t="shared" si="13"/>
        <v>19111.72</v>
      </c>
      <c r="K21" s="11">
        <f t="shared" si="14"/>
        <v>119699.72</v>
      </c>
      <c r="L21" s="179">
        <f t="shared" si="15"/>
        <v>119699.72</v>
      </c>
      <c r="M21" s="12"/>
      <c r="N21" s="178">
        <v>105882</v>
      </c>
      <c r="O21" s="11">
        <f t="shared" si="19"/>
        <v>20117.580000000002</v>
      </c>
      <c r="P21" s="79">
        <f t="shared" si="20"/>
        <v>125999.58</v>
      </c>
      <c r="Q21" s="13">
        <f t="shared" si="21"/>
        <v>125999.58</v>
      </c>
      <c r="R21" s="12"/>
      <c r="S21" s="14">
        <v>119412</v>
      </c>
      <c r="T21" s="10">
        <f t="shared" si="16"/>
        <v>22688.28</v>
      </c>
      <c r="U21" s="10">
        <f t="shared" si="17"/>
        <v>142100.28</v>
      </c>
      <c r="V21" s="175">
        <f t="shared" si="18"/>
        <v>142100.28</v>
      </c>
    </row>
    <row r="22" spans="1:22" ht="22.15">
      <c r="A22" s="158"/>
      <c r="B22" s="185">
        <v>16</v>
      </c>
      <c r="C22" s="181" t="s">
        <v>89</v>
      </c>
      <c r="D22" s="180" t="s">
        <v>78</v>
      </c>
      <c r="E22" s="172">
        <v>1</v>
      </c>
      <c r="F22" s="160"/>
      <c r="G22" s="163"/>
      <c r="H22" s="107"/>
      <c r="I22" s="178">
        <v>94874</v>
      </c>
      <c r="J22" s="11">
        <f t="shared" si="13"/>
        <v>18026.060000000001</v>
      </c>
      <c r="K22" s="11">
        <f t="shared" si="14"/>
        <v>112900.06</v>
      </c>
      <c r="L22" s="179">
        <f t="shared" si="15"/>
        <v>112900.06</v>
      </c>
      <c r="M22" s="12"/>
      <c r="N22" s="178">
        <v>99867</v>
      </c>
      <c r="O22" s="11">
        <f t="shared" si="19"/>
        <v>18974.73</v>
      </c>
      <c r="P22" s="79">
        <f t="shared" si="20"/>
        <v>118841.73</v>
      </c>
      <c r="Q22" s="13">
        <f t="shared" si="21"/>
        <v>118841.73</v>
      </c>
      <c r="R22" s="12"/>
      <c r="S22" s="14">
        <v>117700</v>
      </c>
      <c r="T22" s="10">
        <f t="shared" si="16"/>
        <v>22363</v>
      </c>
      <c r="U22" s="10">
        <f t="shared" si="17"/>
        <v>140063</v>
      </c>
      <c r="V22" s="175">
        <f t="shared" si="18"/>
        <v>140063</v>
      </c>
    </row>
    <row r="23" spans="1:22" ht="22.15">
      <c r="A23" s="158"/>
      <c r="B23" s="185">
        <v>17</v>
      </c>
      <c r="C23" s="181" t="s">
        <v>90</v>
      </c>
      <c r="D23" s="180" t="s">
        <v>78</v>
      </c>
      <c r="E23" s="172">
        <v>1</v>
      </c>
      <c r="F23" s="160"/>
      <c r="G23" s="163"/>
      <c r="H23" s="107"/>
      <c r="I23" s="178">
        <v>94874</v>
      </c>
      <c r="J23" s="11">
        <f t="shared" si="13"/>
        <v>18026.060000000001</v>
      </c>
      <c r="K23" s="11">
        <f t="shared" si="14"/>
        <v>112900.06</v>
      </c>
      <c r="L23" s="179">
        <f t="shared" si="15"/>
        <v>112900.06</v>
      </c>
      <c r="M23" s="12"/>
      <c r="N23" s="178">
        <v>111366</v>
      </c>
      <c r="O23" s="11">
        <f t="shared" si="19"/>
        <v>21159.54</v>
      </c>
      <c r="P23" s="79">
        <f t="shared" si="20"/>
        <v>132525.54</v>
      </c>
      <c r="Q23" s="13">
        <f t="shared" si="21"/>
        <v>132525.54</v>
      </c>
      <c r="R23" s="12"/>
      <c r="S23" s="14">
        <v>117700</v>
      </c>
      <c r="T23" s="10">
        <f t="shared" si="16"/>
        <v>22363</v>
      </c>
      <c r="U23" s="10">
        <f t="shared" si="17"/>
        <v>140063</v>
      </c>
      <c r="V23" s="175">
        <f t="shared" si="18"/>
        <v>140063</v>
      </c>
    </row>
    <row r="24" spans="1:22" ht="22.15">
      <c r="A24" s="158"/>
      <c r="B24" s="185">
        <v>18</v>
      </c>
      <c r="C24" s="181" t="s">
        <v>91</v>
      </c>
      <c r="D24" s="180" t="s">
        <v>73</v>
      </c>
      <c r="E24" s="172">
        <v>1</v>
      </c>
      <c r="F24" s="160"/>
      <c r="G24" s="163"/>
      <c r="H24" s="107"/>
      <c r="I24" s="178">
        <v>290042</v>
      </c>
      <c r="J24" s="11">
        <f t="shared" si="13"/>
        <v>55107.98</v>
      </c>
      <c r="K24" s="11">
        <f t="shared" si="14"/>
        <v>345149.98</v>
      </c>
      <c r="L24" s="179">
        <f t="shared" si="15"/>
        <v>345149.98</v>
      </c>
      <c r="M24" s="12"/>
      <c r="N24" s="178">
        <v>305307</v>
      </c>
      <c r="O24" s="11">
        <f t="shared" si="19"/>
        <v>58008.33</v>
      </c>
      <c r="P24" s="79">
        <f t="shared" si="20"/>
        <v>363315.33</v>
      </c>
      <c r="Q24" s="13">
        <f t="shared" si="21"/>
        <v>363315.33</v>
      </c>
      <c r="R24" s="12"/>
      <c r="S24" s="14">
        <v>590028</v>
      </c>
      <c r="T24" s="10">
        <f t="shared" si="16"/>
        <v>112105.32</v>
      </c>
      <c r="U24" s="10">
        <f t="shared" si="17"/>
        <v>702133.32000000007</v>
      </c>
      <c r="V24" s="175">
        <f t="shared" si="18"/>
        <v>702133.32000000007</v>
      </c>
    </row>
    <row r="25" spans="1:22" ht="22.15">
      <c r="A25" s="158"/>
      <c r="B25" s="185">
        <v>19</v>
      </c>
      <c r="C25" s="181" t="s">
        <v>92</v>
      </c>
      <c r="D25" s="180" t="s">
        <v>78</v>
      </c>
      <c r="E25" s="172">
        <v>1</v>
      </c>
      <c r="F25" s="160"/>
      <c r="G25" s="163"/>
      <c r="H25" s="107"/>
      <c r="I25" s="178">
        <v>141933</v>
      </c>
      <c r="J25" s="11">
        <f t="shared" ref="J25:J26" si="25">I25*$J$6</f>
        <v>26967.27</v>
      </c>
      <c r="K25" s="11">
        <f t="shared" ref="K25:K26" si="26">I25+J25</f>
        <v>168900.27</v>
      </c>
      <c r="L25" s="179">
        <f t="shared" ref="L25:L26" si="27">E25*K25</f>
        <v>168900.27</v>
      </c>
      <c r="M25" s="12"/>
      <c r="N25" s="178">
        <v>149403</v>
      </c>
      <c r="O25" s="11">
        <f t="shared" si="19"/>
        <v>28386.57</v>
      </c>
      <c r="P25" s="79">
        <f t="shared" si="20"/>
        <v>177789.57</v>
      </c>
      <c r="Q25" s="13">
        <f t="shared" si="21"/>
        <v>177789.57</v>
      </c>
      <c r="R25" s="12"/>
      <c r="S25" s="14">
        <v>187900</v>
      </c>
      <c r="T25" s="10">
        <f t="shared" si="16"/>
        <v>35701</v>
      </c>
      <c r="U25" s="10">
        <f t="shared" si="17"/>
        <v>223601</v>
      </c>
      <c r="V25" s="175">
        <f t="shared" si="18"/>
        <v>223601</v>
      </c>
    </row>
    <row r="26" spans="1:22" ht="22.5" thickBot="1">
      <c r="A26" s="158"/>
      <c r="B26" s="183">
        <v>20</v>
      </c>
      <c r="C26" s="182" t="s">
        <v>93</v>
      </c>
      <c r="D26" s="162" t="s">
        <v>78</v>
      </c>
      <c r="E26" s="172">
        <v>1</v>
      </c>
      <c r="F26" s="159"/>
      <c r="G26" s="163"/>
      <c r="H26" s="107"/>
      <c r="I26" s="178">
        <v>119244</v>
      </c>
      <c r="J26" s="11">
        <f t="shared" si="25"/>
        <v>22656.36</v>
      </c>
      <c r="K26" s="11">
        <f t="shared" si="26"/>
        <v>141900.35999999999</v>
      </c>
      <c r="L26" s="179">
        <f t="shared" si="27"/>
        <v>141900.35999999999</v>
      </c>
      <c r="M26" s="12"/>
      <c r="N26" s="178">
        <v>125520</v>
      </c>
      <c r="O26" s="11">
        <f t="shared" si="19"/>
        <v>23848.799999999999</v>
      </c>
      <c r="P26" s="79">
        <f t="shared" si="20"/>
        <v>149368.79999999999</v>
      </c>
      <c r="Q26" s="13">
        <f t="shared" si="21"/>
        <v>149368.79999999999</v>
      </c>
      <c r="R26" s="12"/>
      <c r="S26" s="14">
        <v>189900</v>
      </c>
      <c r="T26" s="10">
        <f t="shared" si="16"/>
        <v>36081</v>
      </c>
      <c r="U26" s="10">
        <f t="shared" si="17"/>
        <v>225981</v>
      </c>
      <c r="V26" s="175">
        <f t="shared" si="18"/>
        <v>225981</v>
      </c>
    </row>
    <row r="27" spans="1:22" ht="22.5" thickBot="1">
      <c r="A27" s="27"/>
      <c r="B27" s="27"/>
      <c r="C27" s="28"/>
      <c r="D27" s="164"/>
      <c r="E27" s="165"/>
      <c r="F27" s="173"/>
      <c r="G27" s="174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pans="1:22" s="4" customFormat="1" ht="25.5">
      <c r="A28" s="61"/>
      <c r="B28" s="27"/>
      <c r="C28" s="284" t="s">
        <v>30</v>
      </c>
      <c r="D28" s="382"/>
      <c r="E28" s="382"/>
      <c r="F28" s="375">
        <f>SUM(G7:G26)</f>
        <v>0</v>
      </c>
      <c r="G28" s="376"/>
      <c r="H28" s="31"/>
      <c r="I28" s="290"/>
      <c r="J28" s="291"/>
      <c r="K28" s="291"/>
      <c r="L28" s="294">
        <f>SUM(L7:L26)</f>
        <v>4274365.7124000015</v>
      </c>
      <c r="M28" s="32"/>
      <c r="N28" s="290"/>
      <c r="O28" s="291"/>
      <c r="P28" s="291"/>
      <c r="Q28" s="391">
        <f>SUM(Q7:Q26)</f>
        <v>4407715.9700000007</v>
      </c>
      <c r="R28" s="32"/>
      <c r="S28" s="290"/>
      <c r="T28" s="291"/>
      <c r="U28" s="291"/>
      <c r="V28" s="389">
        <f>SUM(V7:V26)</f>
        <v>5553440.8300000001</v>
      </c>
    </row>
    <row r="29" spans="1:22" s="4" customFormat="1" ht="25.9" thickBot="1">
      <c r="A29" s="62"/>
      <c r="B29" s="27"/>
      <c r="C29" s="287"/>
      <c r="D29" s="288"/>
      <c r="E29" s="288"/>
      <c r="F29" s="377"/>
      <c r="G29" s="378"/>
      <c r="H29" s="31"/>
      <c r="I29" s="292"/>
      <c r="J29" s="293"/>
      <c r="K29" s="293"/>
      <c r="L29" s="295"/>
      <c r="M29" s="32"/>
      <c r="N29" s="292"/>
      <c r="O29" s="293"/>
      <c r="P29" s="293"/>
      <c r="Q29" s="392"/>
      <c r="R29" s="32"/>
      <c r="S29" s="292"/>
      <c r="T29" s="293"/>
      <c r="U29" s="293"/>
      <c r="V29" s="390"/>
    </row>
    <row r="30" spans="1:22" s="4" customFormat="1" ht="8.25" customHeight="1" thickBot="1">
      <c r="A30" s="28"/>
      <c r="B30" s="28"/>
      <c r="C30" s="28"/>
      <c r="D30" s="28"/>
      <c r="E30" s="33"/>
      <c r="F30" s="33"/>
      <c r="G30" s="33"/>
      <c r="H30" s="3"/>
      <c r="I30" s="35"/>
      <c r="J30" s="35"/>
      <c r="K30" s="35"/>
      <c r="L30" s="32"/>
      <c r="M30" s="32"/>
      <c r="N30" s="35"/>
      <c r="O30" s="35"/>
      <c r="P30" s="35"/>
      <c r="Q30" s="32"/>
      <c r="R30" s="32"/>
      <c r="S30" s="35"/>
      <c r="T30" s="35"/>
      <c r="U30" s="35"/>
      <c r="V30" s="32"/>
    </row>
    <row r="31" spans="1:22" s="4" customFormat="1" ht="22.5" thickBot="1">
      <c r="A31" s="87"/>
      <c r="B31" s="88" t="s">
        <v>31</v>
      </c>
      <c r="C31" s="88"/>
      <c r="D31" s="88"/>
      <c r="E31" s="89"/>
      <c r="F31" s="28"/>
      <c r="G31" s="28"/>
      <c r="H31" s="36"/>
      <c r="I31" s="310"/>
      <c r="J31" s="311"/>
      <c r="K31" s="311"/>
      <c r="L31" s="37">
        <f>+L28-MIN($L$28,$Q$28,$V$28)</f>
        <v>0</v>
      </c>
      <c r="M31" s="38"/>
      <c r="N31" s="310"/>
      <c r="O31" s="311"/>
      <c r="P31" s="311"/>
      <c r="Q31" s="39">
        <f>+Q28-MIN($L$28,$Q$28)</f>
        <v>133350.2575999992</v>
      </c>
      <c r="R31" s="38"/>
      <c r="S31" s="310"/>
      <c r="T31" s="311"/>
      <c r="U31" s="311"/>
      <c r="V31" s="40">
        <f>+V28-MIN($L$28,$Q$28,$V$28)</f>
        <v>1279075.1175999986</v>
      </c>
    </row>
    <row r="32" spans="1:22" s="4" customFormat="1" ht="22.5" thickBot="1">
      <c r="A32" s="84"/>
      <c r="B32" s="85" t="s">
        <v>32</v>
      </c>
      <c r="C32" s="85"/>
      <c r="D32" s="85"/>
      <c r="E32" s="86"/>
      <c r="F32" s="46"/>
      <c r="G32" s="46"/>
      <c r="H32" s="36"/>
      <c r="I32" s="312"/>
      <c r="J32" s="313"/>
      <c r="K32" s="313"/>
      <c r="L32" s="166" t="e">
        <f>+L28/F28</f>
        <v>#DIV/0!</v>
      </c>
      <c r="M32" s="43"/>
      <c r="N32" s="312"/>
      <c r="O32" s="313"/>
      <c r="P32" s="313"/>
      <c r="Q32" s="167" t="e">
        <f>+Q28/F28</f>
        <v>#DIV/0!</v>
      </c>
      <c r="R32" s="43"/>
      <c r="S32" s="312"/>
      <c r="T32" s="313"/>
      <c r="U32" s="313"/>
      <c r="V32" s="168" t="e">
        <f>+V28/F28</f>
        <v>#DIV/0!</v>
      </c>
    </row>
    <row r="33" spans="1:22" s="4" customFormat="1" ht="7.5" customHeight="1">
      <c r="A33" s="46"/>
      <c r="B33" s="46"/>
      <c r="C33" s="46"/>
      <c r="D33" s="46"/>
      <c r="E33" s="33"/>
      <c r="F33" s="33"/>
      <c r="G33" s="33"/>
      <c r="H33" s="34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</row>
    <row r="34" spans="1:22" ht="9" customHeight="1" thickBot="1">
      <c r="A34" s="48"/>
      <c r="B34" s="82"/>
      <c r="C34" s="82"/>
      <c r="D34" s="82"/>
      <c r="E34" s="82"/>
      <c r="F34" s="82"/>
      <c r="G34" s="82"/>
      <c r="H34" s="2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</row>
    <row r="35" spans="1:22" ht="15" customHeight="1">
      <c r="A35" s="80"/>
      <c r="B35" s="82"/>
      <c r="C35" s="82"/>
      <c r="D35" s="82"/>
      <c r="E35" s="82"/>
      <c r="F35" s="82"/>
      <c r="G35" s="82"/>
      <c r="H35" s="50"/>
      <c r="I35" s="60" t="s">
        <v>33</v>
      </c>
      <c r="J35" s="302" t="s">
        <v>94</v>
      </c>
      <c r="K35" s="302"/>
      <c r="L35" s="303"/>
      <c r="M35" s="133"/>
      <c r="N35" s="60" t="s">
        <v>33</v>
      </c>
      <c r="O35" s="302" t="s">
        <v>94</v>
      </c>
      <c r="P35" s="302"/>
      <c r="Q35" s="303"/>
      <c r="R35" s="133"/>
      <c r="S35" s="60" t="s">
        <v>33</v>
      </c>
      <c r="T35" s="302" t="s">
        <v>95</v>
      </c>
      <c r="U35" s="302"/>
      <c r="V35" s="303"/>
    </row>
    <row r="36" spans="1:22" ht="15" customHeight="1">
      <c r="A36" s="81"/>
      <c r="B36" s="82"/>
      <c r="C36" s="82"/>
      <c r="D36" s="82"/>
      <c r="E36" s="82"/>
      <c r="F36" s="177"/>
      <c r="G36" s="82"/>
      <c r="H36" s="50"/>
      <c r="I36" s="51"/>
      <c r="J36" s="53"/>
      <c r="K36" s="53"/>
      <c r="L36" s="54"/>
      <c r="M36" s="53"/>
      <c r="N36" s="51"/>
      <c r="O36" s="53"/>
      <c r="P36" s="53"/>
      <c r="Q36" s="54"/>
      <c r="R36" s="53"/>
      <c r="S36" s="51"/>
      <c r="T36" s="53"/>
      <c r="U36" s="53"/>
      <c r="V36" s="54"/>
    </row>
    <row r="37" spans="1:22" ht="15" customHeight="1">
      <c r="A37" s="81"/>
      <c r="B37" s="82"/>
      <c r="C37" s="82"/>
      <c r="D37" s="82"/>
      <c r="E37" s="82"/>
      <c r="F37" s="82"/>
      <c r="G37" s="82"/>
      <c r="H37" s="50"/>
      <c r="I37" s="51" t="s">
        <v>36</v>
      </c>
      <c r="J37" s="176" t="s">
        <v>96</v>
      </c>
      <c r="K37" s="52"/>
      <c r="L37" s="55"/>
      <c r="M37" s="139"/>
      <c r="N37" s="131" t="s">
        <v>36</v>
      </c>
      <c r="O37" s="176" t="s">
        <v>96</v>
      </c>
      <c r="P37" s="90"/>
      <c r="Q37" s="91"/>
      <c r="R37" s="139"/>
      <c r="S37" s="131" t="s">
        <v>36</v>
      </c>
      <c r="T37" s="387" t="s">
        <v>96</v>
      </c>
      <c r="U37" s="387"/>
      <c r="V37" s="388"/>
    </row>
    <row r="38" spans="1:22" ht="15" customHeight="1">
      <c r="A38" s="81"/>
      <c r="B38" s="82"/>
      <c r="C38" s="82"/>
      <c r="D38" s="82"/>
      <c r="E38" s="82"/>
      <c r="F38" s="82"/>
      <c r="G38" s="82"/>
      <c r="H38" s="50"/>
      <c r="I38" s="51"/>
      <c r="J38" s="53"/>
      <c r="K38" s="53"/>
      <c r="L38" s="54"/>
      <c r="M38" s="53"/>
      <c r="N38" s="51"/>
      <c r="O38" s="53"/>
      <c r="P38" s="53"/>
      <c r="Q38" s="54"/>
      <c r="R38" s="53"/>
      <c r="S38" s="51"/>
      <c r="T38" s="53"/>
      <c r="U38" s="53"/>
      <c r="V38" s="54"/>
    </row>
    <row r="39" spans="1:22" ht="15" customHeight="1">
      <c r="A39" s="81"/>
      <c r="B39" s="82"/>
      <c r="C39" s="95" t="s">
        <v>37</v>
      </c>
      <c r="D39" s="82"/>
      <c r="E39" s="82"/>
      <c r="F39" s="82"/>
      <c r="G39" s="82"/>
      <c r="H39" s="50"/>
      <c r="I39" s="131" t="s">
        <v>97</v>
      </c>
      <c r="J39" s="314"/>
      <c r="K39" s="314"/>
      <c r="L39" s="315"/>
      <c r="M39" s="133"/>
      <c r="N39" s="131" t="s">
        <v>97</v>
      </c>
      <c r="O39" s="314"/>
      <c r="P39" s="314"/>
      <c r="Q39" s="315"/>
      <c r="R39" s="133"/>
      <c r="S39" s="131" t="s">
        <v>97</v>
      </c>
      <c r="T39" s="314"/>
      <c r="U39" s="314"/>
      <c r="V39" s="315"/>
    </row>
    <row r="40" spans="1:22" ht="15" customHeight="1">
      <c r="A40" s="81"/>
      <c r="B40" s="82"/>
      <c r="C40" s="169" t="s">
        <v>39</v>
      </c>
      <c r="D40" s="82"/>
      <c r="E40" s="82"/>
      <c r="F40" s="82"/>
      <c r="G40" s="82"/>
      <c r="H40" s="50"/>
      <c r="I40" s="51"/>
      <c r="J40" s="52"/>
      <c r="K40" s="52"/>
      <c r="L40" s="55"/>
      <c r="M40" s="52"/>
      <c r="N40" s="51"/>
      <c r="O40" s="52"/>
      <c r="P40" s="52"/>
      <c r="Q40" s="55"/>
      <c r="R40" s="52"/>
      <c r="S40" s="51"/>
      <c r="T40" s="52"/>
      <c r="U40" s="52"/>
      <c r="V40" s="55"/>
    </row>
    <row r="41" spans="1:22" ht="15" customHeight="1">
      <c r="A41" s="81"/>
      <c r="B41" s="82"/>
      <c r="C41" s="169" t="s">
        <v>40</v>
      </c>
      <c r="D41" s="82"/>
      <c r="E41" s="82"/>
      <c r="F41" s="82"/>
      <c r="G41" s="82"/>
      <c r="H41" s="50"/>
      <c r="I41" s="316" t="s">
        <v>41</v>
      </c>
      <c r="J41" s="317"/>
      <c r="K41" s="314">
        <v>0</v>
      </c>
      <c r="L41" s="315"/>
      <c r="M41" s="133"/>
      <c r="N41" s="51" t="s">
        <v>41</v>
      </c>
      <c r="O41" s="52"/>
      <c r="P41" s="52">
        <v>0</v>
      </c>
      <c r="Q41" s="55"/>
      <c r="R41" s="133"/>
      <c r="S41" s="316" t="s">
        <v>41</v>
      </c>
      <c r="T41" s="317"/>
      <c r="U41" s="314">
        <v>0</v>
      </c>
      <c r="V41" s="315"/>
    </row>
    <row r="42" spans="1:22" ht="15" customHeight="1">
      <c r="A42" s="81"/>
      <c r="B42" s="82"/>
      <c r="C42" s="169" t="s">
        <v>42</v>
      </c>
      <c r="D42" s="82"/>
      <c r="E42" s="82"/>
      <c r="F42" s="82"/>
      <c r="G42" s="82"/>
      <c r="H42" s="50"/>
      <c r="I42" s="131"/>
      <c r="J42" s="132"/>
      <c r="K42" s="133"/>
      <c r="L42" s="134"/>
      <c r="M42" s="133"/>
      <c r="N42" s="131"/>
      <c r="O42" s="132"/>
      <c r="P42" s="133"/>
      <c r="Q42" s="134"/>
      <c r="R42" s="133"/>
      <c r="S42" s="131"/>
      <c r="T42" s="132"/>
      <c r="U42" s="133"/>
      <c r="V42" s="134"/>
    </row>
    <row r="43" spans="1:22" ht="15" customHeight="1">
      <c r="A43" s="81"/>
      <c r="B43" s="82"/>
      <c r="C43" s="169" t="s">
        <v>43</v>
      </c>
      <c r="D43" s="82"/>
      <c r="E43" s="82"/>
      <c r="F43" s="82"/>
      <c r="G43" s="82"/>
      <c r="H43" s="50"/>
      <c r="I43" s="131" t="s">
        <v>44</v>
      </c>
      <c r="J43" s="52"/>
      <c r="K43" s="52"/>
      <c r="L43" s="55"/>
      <c r="M43" s="135"/>
      <c r="N43" s="51" t="s">
        <v>44</v>
      </c>
      <c r="O43" s="52"/>
      <c r="P43" s="52"/>
      <c r="Q43" s="55"/>
      <c r="R43" s="135"/>
      <c r="S43" s="131" t="s">
        <v>44</v>
      </c>
      <c r="T43" s="318"/>
      <c r="U43" s="318"/>
      <c r="V43" s="319"/>
    </row>
    <row r="44" spans="1:22" ht="15" customHeight="1">
      <c r="A44" s="81"/>
      <c r="B44" s="82"/>
      <c r="C44" s="169" t="s">
        <v>45</v>
      </c>
      <c r="D44" s="82"/>
      <c r="E44" s="82"/>
      <c r="F44" s="82"/>
      <c r="G44" s="82"/>
      <c r="H44" s="50"/>
      <c r="I44" s="393"/>
      <c r="J44" s="394"/>
      <c r="K44" s="394"/>
      <c r="L44" s="395"/>
      <c r="M44" s="135"/>
      <c r="N44" s="393"/>
      <c r="O44" s="394"/>
      <c r="P44" s="394"/>
      <c r="Q44" s="395"/>
      <c r="R44" s="135"/>
      <c r="S44" s="393"/>
      <c r="T44" s="394"/>
      <c r="U44" s="394"/>
      <c r="V44" s="395"/>
    </row>
    <row r="45" spans="1:22" ht="15" customHeight="1">
      <c r="A45" s="81"/>
      <c r="B45" s="82"/>
      <c r="C45" s="169" t="s">
        <v>51</v>
      </c>
      <c r="D45" s="82"/>
      <c r="E45" s="82"/>
      <c r="F45" s="82"/>
      <c r="G45" s="82"/>
      <c r="H45" s="50"/>
      <c r="I45" s="393"/>
      <c r="J45" s="394"/>
      <c r="K45" s="394"/>
      <c r="L45" s="395"/>
      <c r="M45" s="135"/>
      <c r="N45" s="393"/>
      <c r="O45" s="394"/>
      <c r="P45" s="394"/>
      <c r="Q45" s="395"/>
      <c r="R45" s="135"/>
      <c r="S45" s="393"/>
      <c r="T45" s="394"/>
      <c r="U45" s="394"/>
      <c r="V45" s="395"/>
    </row>
    <row r="46" spans="1:22" ht="15" customHeight="1">
      <c r="A46" s="81"/>
      <c r="B46" s="82"/>
      <c r="C46" s="82"/>
      <c r="D46" s="82"/>
      <c r="E46" s="82"/>
      <c r="F46" s="82"/>
      <c r="G46" s="82"/>
      <c r="H46" s="50"/>
      <c r="I46" s="393"/>
      <c r="J46" s="394"/>
      <c r="K46" s="394"/>
      <c r="L46" s="395"/>
      <c r="M46" s="135"/>
      <c r="N46" s="393"/>
      <c r="O46" s="394"/>
      <c r="P46" s="394"/>
      <c r="Q46" s="395"/>
      <c r="R46" s="135"/>
      <c r="S46" s="393"/>
      <c r="T46" s="394"/>
      <c r="U46" s="394"/>
      <c r="V46" s="395"/>
    </row>
    <row r="47" spans="1:22" ht="15" customHeight="1">
      <c r="A47" s="81"/>
      <c r="B47" s="82"/>
      <c r="C47" s="82"/>
      <c r="D47" s="82"/>
      <c r="E47" s="82"/>
      <c r="F47" s="82"/>
      <c r="G47" s="82"/>
      <c r="H47" s="50"/>
      <c r="I47" s="131" t="s">
        <v>52</v>
      </c>
      <c r="J47" s="53"/>
      <c r="K47" s="53"/>
      <c r="L47" s="54"/>
      <c r="M47" s="133"/>
      <c r="N47" s="51" t="s">
        <v>52</v>
      </c>
      <c r="O47" s="52"/>
      <c r="P47" s="52"/>
      <c r="Q47" s="55"/>
      <c r="R47" s="133"/>
      <c r="S47" s="131" t="s">
        <v>52</v>
      </c>
      <c r="T47" s="53"/>
      <c r="U47" s="53"/>
      <c r="V47" s="54"/>
    </row>
    <row r="48" spans="1:22" ht="15" customHeight="1" thickBot="1">
      <c r="A48" s="83"/>
      <c r="B48" s="82"/>
      <c r="C48" s="396"/>
      <c r="D48" s="397"/>
      <c r="E48" s="397"/>
      <c r="F48" s="150"/>
      <c r="G48" s="150"/>
      <c r="H48" s="50"/>
      <c r="I48" s="320"/>
      <c r="J48" s="321"/>
      <c r="K48" s="321"/>
      <c r="L48" s="322"/>
      <c r="M48" s="56"/>
      <c r="N48" s="320"/>
      <c r="O48" s="321"/>
      <c r="P48" s="321"/>
      <c r="Q48" s="322"/>
      <c r="R48" s="56"/>
      <c r="S48" s="320"/>
      <c r="T48" s="321"/>
      <c r="U48" s="321"/>
      <c r="V48" s="322"/>
    </row>
    <row r="49" spans="1:8" ht="18.75">
      <c r="A49" s="80"/>
      <c r="B49" s="82"/>
      <c r="C49" s="396"/>
      <c r="D49" s="397"/>
      <c r="E49" s="397"/>
      <c r="F49" s="150"/>
      <c r="G49" s="150"/>
      <c r="H49" s="50"/>
    </row>
    <row r="50" spans="1:8" ht="18.75">
      <c r="A50" s="81"/>
      <c r="B50" s="82"/>
      <c r="C50" s="82"/>
      <c r="D50" s="82"/>
      <c r="E50" s="82"/>
      <c r="F50" s="82"/>
      <c r="G50" s="82"/>
      <c r="H50" s="50"/>
    </row>
  </sheetData>
  <mergeCells count="61">
    <mergeCell ref="I44:L46"/>
    <mergeCell ref="S44:V46"/>
    <mergeCell ref="C48:C49"/>
    <mergeCell ref="D48:E49"/>
    <mergeCell ref="I48:L48"/>
    <mergeCell ref="N48:Q48"/>
    <mergeCell ref="S48:V48"/>
    <mergeCell ref="N44:Q46"/>
    <mergeCell ref="T43:V43"/>
    <mergeCell ref="J39:L39"/>
    <mergeCell ref="O39:Q39"/>
    <mergeCell ref="T39:V39"/>
    <mergeCell ref="I41:J41"/>
    <mergeCell ref="K41:L41"/>
    <mergeCell ref="S41:T41"/>
    <mergeCell ref="U41:V41"/>
    <mergeCell ref="T37:V37"/>
    <mergeCell ref="V28:V29"/>
    <mergeCell ref="I31:K32"/>
    <mergeCell ref="N31:P32"/>
    <mergeCell ref="S31:U32"/>
    <mergeCell ref="S28:U29"/>
    <mergeCell ref="N28:P29"/>
    <mergeCell ref="Q28:Q29"/>
    <mergeCell ref="J35:L35"/>
    <mergeCell ref="O35:Q35"/>
    <mergeCell ref="T35:V35"/>
    <mergeCell ref="F28:G29"/>
    <mergeCell ref="D5:G5"/>
    <mergeCell ref="C28:E29"/>
    <mergeCell ref="I28:K29"/>
    <mergeCell ref="L28:L29"/>
    <mergeCell ref="I5:I6"/>
    <mergeCell ref="K5:K6"/>
    <mergeCell ref="L5:L6"/>
    <mergeCell ref="N5:N6"/>
    <mergeCell ref="P5:P6"/>
    <mergeCell ref="V5:V6"/>
    <mergeCell ref="S4:T4"/>
    <mergeCell ref="N4:O4"/>
    <mergeCell ref="P4:Q4"/>
    <mergeCell ref="Q5:Q6"/>
    <mergeCell ref="S5:S6"/>
    <mergeCell ref="U5:U6"/>
    <mergeCell ref="G1:G3"/>
    <mergeCell ref="B1:F3"/>
    <mergeCell ref="D4:G4"/>
    <mergeCell ref="B4:B6"/>
    <mergeCell ref="C4:C6"/>
    <mergeCell ref="I2:L2"/>
    <mergeCell ref="N2:Q2"/>
    <mergeCell ref="S2:V2"/>
    <mergeCell ref="I1:L1"/>
    <mergeCell ref="N1:Q1"/>
    <mergeCell ref="S1:V1"/>
    <mergeCell ref="I3:L3"/>
    <mergeCell ref="N3:Q3"/>
    <mergeCell ref="S3:V3"/>
    <mergeCell ref="I4:J4"/>
    <mergeCell ref="K4:L4"/>
    <mergeCell ref="U4:V4"/>
  </mergeCells>
  <printOptions horizontalCentered="1" verticalCentered="1"/>
  <pageMargins left="0.25" right="0.25" top="0.75" bottom="0.75" header="0.3" footer="0.3"/>
  <pageSetup scale="3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38"/>
  <sheetViews>
    <sheetView topLeftCell="B1" zoomScale="70" zoomScaleNormal="70" workbookViewId="0">
      <pane xSplit="3" ySplit="6" topLeftCell="H7" activePane="bottomRight" state="frozen"/>
      <selection pane="bottomRight" activeCell="D6" sqref="D6"/>
      <selection pane="bottomLeft" activeCell="B12" sqref="B12"/>
      <selection pane="topRight" activeCell="D1" sqref="D1"/>
    </sheetView>
  </sheetViews>
  <sheetFormatPr defaultColWidth="11.42578125" defaultRowHeight="15.75"/>
  <cols>
    <col min="1" max="1" width="5.28515625" style="15" customWidth="1"/>
    <col min="2" max="2" width="8.42578125" style="15" customWidth="1"/>
    <col min="3" max="3" width="43.7109375" style="15" customWidth="1"/>
    <col min="4" max="4" width="20.7109375" style="15" customWidth="1"/>
    <col min="5" max="7" width="29.7109375" style="15" customWidth="1"/>
    <col min="8" max="8" width="3.7109375" style="15" customWidth="1"/>
    <col min="9" max="9" width="17.7109375" style="15" customWidth="1"/>
    <col min="10" max="10" width="18.5703125" style="15" customWidth="1"/>
    <col min="11" max="11" width="16.85546875" style="15" customWidth="1"/>
    <col min="12" max="12" width="23.85546875" style="15" customWidth="1"/>
    <col min="13" max="13" width="19.42578125" style="15" customWidth="1"/>
    <col min="14" max="14" width="3.7109375" style="15" customWidth="1"/>
    <col min="15" max="15" width="19.85546875" style="15" customWidth="1"/>
    <col min="16" max="16" width="17.42578125" style="15" customWidth="1"/>
    <col min="17" max="17" width="16" style="15" customWidth="1"/>
    <col min="18" max="19" width="25.42578125" style="15" customWidth="1"/>
    <col min="20" max="20" width="3.7109375" style="15" customWidth="1"/>
    <col min="21" max="21" width="20.140625" style="15" customWidth="1"/>
    <col min="22" max="22" width="14.42578125" style="15" customWidth="1"/>
    <col min="23" max="23" width="17" style="15" customWidth="1"/>
    <col min="24" max="24" width="22.42578125" style="15" bestFit="1" customWidth="1"/>
    <col min="25" max="25" width="22.42578125" style="15" customWidth="1"/>
    <col min="26" max="26" width="2.5703125" style="15" customWidth="1"/>
    <col min="27" max="27" width="24.7109375" style="15" hidden="1" customWidth="1"/>
    <col min="28" max="28" width="14.28515625" style="15" hidden="1" customWidth="1"/>
    <col min="29" max="29" width="18.42578125" style="15" hidden="1" customWidth="1"/>
    <col min="30" max="31" width="23.28515625" style="15" hidden="1" customWidth="1"/>
    <col min="32" max="32" width="11.42578125" style="15" customWidth="1"/>
    <col min="33" max="33" width="24.7109375" style="15" hidden="1" customWidth="1"/>
    <col min="34" max="34" width="17.28515625" style="15" hidden="1" customWidth="1"/>
    <col min="35" max="35" width="18.42578125" style="15" hidden="1" customWidth="1"/>
    <col min="36" max="36" width="23.28515625" style="15" hidden="1" customWidth="1"/>
    <col min="37" max="37" width="17.7109375" style="15" customWidth="1"/>
    <col min="38" max="16384" width="11.42578125" style="15"/>
  </cols>
  <sheetData>
    <row r="1" spans="1:37" s="4" customFormat="1" ht="33" customHeight="1">
      <c r="A1" s="1"/>
      <c r="B1" s="205" t="s">
        <v>98</v>
      </c>
      <c r="C1" s="205"/>
      <c r="D1" s="205"/>
      <c r="E1" s="398" t="s">
        <v>1</v>
      </c>
      <c r="F1" s="399"/>
      <c r="G1" s="147"/>
      <c r="H1" s="2"/>
      <c r="I1" s="208" t="s">
        <v>99</v>
      </c>
      <c r="J1" s="209"/>
      <c r="K1" s="209"/>
      <c r="L1" s="210"/>
      <c r="M1" s="144"/>
      <c r="N1" s="3"/>
      <c r="O1" s="211" t="s">
        <v>100</v>
      </c>
      <c r="P1" s="212"/>
      <c r="Q1" s="212"/>
      <c r="R1" s="213"/>
      <c r="S1" s="145"/>
      <c r="T1" s="3"/>
      <c r="U1" s="214" t="s">
        <v>101</v>
      </c>
      <c r="V1" s="215"/>
      <c r="W1" s="215"/>
      <c r="X1" s="216"/>
      <c r="Y1" s="142"/>
      <c r="AA1" s="217" t="s">
        <v>5</v>
      </c>
      <c r="AB1" s="218"/>
      <c r="AC1" s="218"/>
      <c r="AD1" s="219"/>
      <c r="AE1" s="137"/>
      <c r="AG1" s="187" t="s">
        <v>5</v>
      </c>
      <c r="AH1" s="188"/>
      <c r="AI1" s="188"/>
      <c r="AJ1" s="189"/>
    </row>
    <row r="2" spans="1:37" s="4" customFormat="1" ht="33" customHeight="1">
      <c r="A2" s="5"/>
      <c r="B2" s="205"/>
      <c r="C2" s="205"/>
      <c r="D2" s="205"/>
      <c r="E2" s="400"/>
      <c r="F2" s="401"/>
      <c r="G2" s="148"/>
      <c r="H2" s="2"/>
      <c r="I2" s="190" t="s">
        <v>102</v>
      </c>
      <c r="J2" s="191"/>
      <c r="K2" s="191"/>
      <c r="L2" s="192"/>
      <c r="M2" s="144"/>
      <c r="N2" s="3"/>
      <c r="O2" s="193" t="s">
        <v>6</v>
      </c>
      <c r="P2" s="194"/>
      <c r="Q2" s="194"/>
      <c r="R2" s="195"/>
      <c r="S2" s="145"/>
      <c r="T2" s="3"/>
      <c r="U2" s="196" t="s">
        <v>6</v>
      </c>
      <c r="V2" s="197"/>
      <c r="W2" s="197"/>
      <c r="X2" s="198"/>
      <c r="Y2" s="142"/>
      <c r="AA2" s="199" t="s">
        <v>6</v>
      </c>
      <c r="AB2" s="200"/>
      <c r="AC2" s="200"/>
      <c r="AD2" s="201"/>
      <c r="AE2" s="137"/>
      <c r="AG2" s="202" t="s">
        <v>6</v>
      </c>
      <c r="AH2" s="203"/>
      <c r="AI2" s="203"/>
      <c r="AJ2" s="204"/>
    </row>
    <row r="3" spans="1:37" s="4" customFormat="1" ht="33" customHeight="1" thickBot="1">
      <c r="A3" s="5"/>
      <c r="B3" s="205"/>
      <c r="C3" s="205"/>
      <c r="D3" s="205"/>
      <c r="E3" s="402"/>
      <c r="F3" s="403"/>
      <c r="G3" s="148"/>
      <c r="H3" s="2"/>
      <c r="I3" s="220" t="s">
        <v>103</v>
      </c>
      <c r="J3" s="221"/>
      <c r="K3" s="221"/>
      <c r="L3" s="222"/>
      <c r="M3" s="144"/>
      <c r="N3" s="3"/>
      <c r="O3" s="223" t="s">
        <v>104</v>
      </c>
      <c r="P3" s="224"/>
      <c r="Q3" s="224"/>
      <c r="R3" s="225"/>
      <c r="S3" s="145"/>
      <c r="T3" s="3"/>
      <c r="U3" s="226" t="s">
        <v>105</v>
      </c>
      <c r="V3" s="227"/>
      <c r="W3" s="227"/>
      <c r="X3" s="228"/>
      <c r="Y3" s="142"/>
      <c r="AA3" s="229" t="s">
        <v>10</v>
      </c>
      <c r="AB3" s="230"/>
      <c r="AC3" s="230"/>
      <c r="AD3" s="231"/>
      <c r="AE3" s="137"/>
      <c r="AG3" s="232" t="s">
        <v>10</v>
      </c>
      <c r="AH3" s="233"/>
      <c r="AI3" s="233"/>
      <c r="AJ3" s="234"/>
    </row>
    <row r="4" spans="1:37" s="4" customFormat="1" ht="33" customHeight="1" thickBot="1">
      <c r="A4" s="57"/>
      <c r="B4" s="235" t="s">
        <v>11</v>
      </c>
      <c r="C4" s="238" t="s">
        <v>12</v>
      </c>
      <c r="D4" s="241" t="s">
        <v>13</v>
      </c>
      <c r="E4" s="404"/>
      <c r="F4" s="404"/>
      <c r="G4" s="242"/>
      <c r="H4" s="2"/>
      <c r="I4" s="243" t="s">
        <v>14</v>
      </c>
      <c r="J4" s="244"/>
      <c r="K4" s="244" t="s">
        <v>15</v>
      </c>
      <c r="L4" s="245"/>
      <c r="M4" s="111"/>
      <c r="N4" s="6"/>
      <c r="O4" s="246" t="s">
        <v>14</v>
      </c>
      <c r="P4" s="247"/>
      <c r="Q4" s="247" t="s">
        <v>16</v>
      </c>
      <c r="R4" s="248"/>
      <c r="S4" s="117"/>
      <c r="T4" s="6"/>
      <c r="U4" s="249" t="s">
        <v>14</v>
      </c>
      <c r="V4" s="250"/>
      <c r="W4" s="250" t="s">
        <v>15</v>
      </c>
      <c r="X4" s="251"/>
      <c r="Y4" s="121"/>
      <c r="AA4" s="252" t="s">
        <v>14</v>
      </c>
      <c r="AB4" s="253"/>
      <c r="AC4" s="253" t="s">
        <v>16</v>
      </c>
      <c r="AD4" s="254"/>
      <c r="AE4" s="125"/>
      <c r="AG4" s="255" t="s">
        <v>14</v>
      </c>
      <c r="AH4" s="256"/>
      <c r="AI4" s="256" t="s">
        <v>16</v>
      </c>
      <c r="AJ4" s="257"/>
    </row>
    <row r="5" spans="1:37" s="4" customFormat="1" ht="45" customHeight="1" thickBot="1">
      <c r="A5" s="58"/>
      <c r="B5" s="236"/>
      <c r="C5" s="239"/>
      <c r="D5" s="405">
        <f ca="1">+TODAY()</f>
        <v>46074</v>
      </c>
      <c r="E5" s="406"/>
      <c r="F5" s="406"/>
      <c r="G5" s="407"/>
      <c r="H5" s="2"/>
      <c r="I5" s="260" t="s">
        <v>17</v>
      </c>
      <c r="J5" s="143" t="s">
        <v>18</v>
      </c>
      <c r="K5" s="262" t="s">
        <v>19</v>
      </c>
      <c r="L5" s="264" t="s">
        <v>20</v>
      </c>
      <c r="M5" s="112"/>
      <c r="N5" s="2"/>
      <c r="O5" s="266" t="s">
        <v>17</v>
      </c>
      <c r="P5" s="77" t="s">
        <v>21</v>
      </c>
      <c r="Q5" s="268" t="s">
        <v>19</v>
      </c>
      <c r="R5" s="296" t="s">
        <v>20</v>
      </c>
      <c r="S5" s="118"/>
      <c r="T5" s="2"/>
      <c r="U5" s="298" t="s">
        <v>17</v>
      </c>
      <c r="V5" s="140" t="s">
        <v>22</v>
      </c>
      <c r="W5" s="300" t="s">
        <v>19</v>
      </c>
      <c r="X5" s="278" t="s">
        <v>20</v>
      </c>
      <c r="Y5" s="122"/>
      <c r="AA5" s="280" t="s">
        <v>17</v>
      </c>
      <c r="AB5" s="138" t="s">
        <v>22</v>
      </c>
      <c r="AC5" s="282" t="s">
        <v>19</v>
      </c>
      <c r="AD5" s="270" t="s">
        <v>20</v>
      </c>
      <c r="AE5" s="126"/>
      <c r="AG5" s="272" t="s">
        <v>17</v>
      </c>
      <c r="AH5" s="146" t="s">
        <v>22</v>
      </c>
      <c r="AI5" s="274" t="s">
        <v>19</v>
      </c>
      <c r="AJ5" s="276" t="s">
        <v>20</v>
      </c>
    </row>
    <row r="6" spans="1:37" s="4" customFormat="1" ht="30" customHeight="1" thickBot="1">
      <c r="A6" s="59"/>
      <c r="B6" s="237"/>
      <c r="C6" s="240"/>
      <c r="D6" s="141" t="s">
        <v>23</v>
      </c>
      <c r="E6" s="141" t="s">
        <v>24</v>
      </c>
      <c r="F6" s="154" t="s">
        <v>106</v>
      </c>
      <c r="G6" s="154" t="s">
        <v>107</v>
      </c>
      <c r="H6" s="2"/>
      <c r="I6" s="261"/>
      <c r="J6" s="7">
        <v>0.19</v>
      </c>
      <c r="K6" s="263"/>
      <c r="L6" s="265"/>
      <c r="M6" s="112"/>
      <c r="N6" s="2"/>
      <c r="O6" s="267"/>
      <c r="P6" s="78">
        <v>0.19</v>
      </c>
      <c r="Q6" s="269"/>
      <c r="R6" s="297"/>
      <c r="S6" s="118"/>
      <c r="T6" s="2"/>
      <c r="U6" s="299"/>
      <c r="V6" s="108">
        <v>0.19</v>
      </c>
      <c r="W6" s="301"/>
      <c r="X6" s="279"/>
      <c r="Y6" s="122"/>
      <c r="AA6" s="281"/>
      <c r="AB6" s="8">
        <v>0.19</v>
      </c>
      <c r="AC6" s="283"/>
      <c r="AD6" s="271"/>
      <c r="AE6" s="126"/>
      <c r="AG6" s="273"/>
      <c r="AH6" s="92">
        <v>0.19</v>
      </c>
      <c r="AI6" s="275"/>
      <c r="AJ6" s="277"/>
    </row>
    <row r="7" spans="1:37" ht="22.15">
      <c r="A7" s="101"/>
      <c r="B7" s="104">
        <v>1</v>
      </c>
      <c r="C7" s="105" t="s">
        <v>108</v>
      </c>
      <c r="D7" s="106" t="s">
        <v>109</v>
      </c>
      <c r="E7" s="9">
        <v>117782.39</v>
      </c>
      <c r="F7" s="155">
        <v>4000</v>
      </c>
      <c r="G7" s="153">
        <f>+E7*F7</f>
        <v>471129560</v>
      </c>
      <c r="H7" s="107"/>
      <c r="I7" s="65">
        <v>4750</v>
      </c>
      <c r="J7" s="11">
        <f>I7*$J$6</f>
        <v>902.5</v>
      </c>
      <c r="K7" s="11">
        <f>I7+J7</f>
        <v>5652.5</v>
      </c>
      <c r="L7" s="72">
        <f>E7*K7</f>
        <v>665764959.47500002</v>
      </c>
      <c r="M7" s="113">
        <f>+IF(I7-MIN(IF($I7&gt;0,$I7,100000*100000),IF($O7&gt;0,$O7,100000*100000),IF($U7&gt;0,$U7,100000*100000),IF($AA7&gt;0,$AA7,100000*100000),IF($AG7&gt;0,$AG7,100000*100000))&gt;0,I7-MIN(IF($I7&gt;0,$I7,100000*100000),IF($O7&gt;0,$O7,100000*100000),IF($U7&gt;0,$U7,100000*100000),IF($AA7&gt;0,$AA7,100000*100000),IF($AG7&gt;0,$AG7,100000*100000)),0)</f>
        <v>0</v>
      </c>
      <c r="N7" s="12"/>
      <c r="O7" s="65">
        <v>4750</v>
      </c>
      <c r="P7" s="11">
        <f t="shared" ref="P7:P13" si="0">O7*$P$6</f>
        <v>902.5</v>
      </c>
      <c r="Q7" s="79">
        <f>O7+P7</f>
        <v>5652.5</v>
      </c>
      <c r="R7" s="66">
        <f>E7*Q7</f>
        <v>665764959.47500002</v>
      </c>
      <c r="S7" s="113">
        <f>+IF(O7-MIN(IF($I7&gt;0,$I7,100000*100000),IF($O7&gt;0,$O7,100000*100000),IF($U7&gt;0,$U7,100000*100000),IF($AA7&gt;0,$AA7,100000*100000),IF($AG7&gt;0,$AG7,100000*100000))&gt;0,O7-MIN(IF($I7&gt;0,$I7,100000*100000),IF($O7&gt;0,$O7,100000*100000),IF($U7&gt;0,$U7,100000*100000),IF($AA7&gt;0,$AA7,100000*100000),IF($AG7&gt;0,$AG7,100000*100000)),0)</f>
        <v>0</v>
      </c>
      <c r="T7" s="12"/>
      <c r="U7" s="10">
        <f>+I7*1.03</f>
        <v>4892.5</v>
      </c>
      <c r="V7" s="11">
        <f t="shared" ref="V7" si="1">U7*$P$6</f>
        <v>929.57500000000005</v>
      </c>
      <c r="W7" s="10">
        <f t="shared" ref="W7:W13" si="2">U7+V7</f>
        <v>5822.0749999999998</v>
      </c>
      <c r="X7" s="109">
        <f>E7*W7</f>
        <v>685737908.25924993</v>
      </c>
      <c r="Y7" s="113">
        <f>+IF(U7-MIN(IF($I7&gt;0,$I7,100000*100000),IF($O7&gt;0,$O7,100000*100000),IF($U7&gt;0,$U7,100000*100000),IF($AA7&gt;0,$AA7,100000*100000),IF($AG7&gt;0,$AG7,100000*100000))&gt;0,U7-MIN(IF($I7&gt;0,$I7,100000*100000),IF($O7&gt;0,$O7,100000*100000),IF($U7&gt;0,$U7,100000*100000),IF($AA7&gt;0,$AA7,100000*100000),IF($AG7&gt;0,$AG7,100000*100000)),0)</f>
        <v>142.5</v>
      </c>
      <c r="AA7" s="14"/>
      <c r="AB7" s="10">
        <f t="shared" ref="AB7" si="3">AA7*$V$6</f>
        <v>0</v>
      </c>
      <c r="AC7" s="10">
        <f>AA7+AB7</f>
        <v>0</v>
      </c>
      <c r="AD7" s="66">
        <f>E7*AC7</f>
        <v>0</v>
      </c>
      <c r="AE7" s="113">
        <f>+IF(AA7-MIN(IF($I7&gt;0,$I7,100000*100000),IF($O7&gt;0,$O7,100000*100000),IF($U7&gt;0,$U7,100000*100000),IF($AA7&gt;0,$AA7,100000*100000),IF($AG7&gt;0,$AG7,100000*100000))&gt;0,AA7-MIN(IF($I7&gt;0,$I7,100000*100000),IF($O7&gt;0,$O7,100000*100000),IF($U7&gt;0,$U7,100000*100000),IF($AA7&gt;0,$AA7,100000*100000),IF($AG7&gt;0,$AG7,100000*100000)),0)</f>
        <v>0</v>
      </c>
      <c r="AG7" s="14"/>
      <c r="AH7" s="10">
        <f>+AG7*$AH$6</f>
        <v>0</v>
      </c>
      <c r="AI7" s="10">
        <f>+AG7+AH7</f>
        <v>0</v>
      </c>
      <c r="AJ7" s="13">
        <f>+E7*AI7</f>
        <v>0</v>
      </c>
      <c r="AK7" s="113">
        <f>+IF(AG7-MIN(IF($I7&gt;0,$I7,100000*100000),IF($O7&gt;0,$O7,100000*100000),IF($U7&gt;0,$U7,100000*100000),IF($AA7&gt;0,$AA7,100000*100000),IF($AG7&gt;0,$AG7,100000*100000))&gt;0,AG7-MIN(IF($I7&gt;0,$I7,100000*100000),IF($O7&gt;0,$O7,100000*100000),IF($U7&gt;0,$U7,100000*100000),IF($AA7&gt;0,$AA7,100000*100000),IF($AG7&gt;0,$AG7,100000*100000)),0)</f>
        <v>0</v>
      </c>
    </row>
    <row r="8" spans="1:37" s="100" customFormat="1" ht="22.5" thickBot="1">
      <c r="A8" s="96"/>
      <c r="B8" s="97"/>
      <c r="C8" s="103" t="s">
        <v>110</v>
      </c>
      <c r="D8" s="99" t="s">
        <v>109</v>
      </c>
      <c r="E8" s="16">
        <v>11192.55</v>
      </c>
      <c r="F8" s="155">
        <v>5500</v>
      </c>
      <c r="G8" s="151">
        <f t="shared" ref="G8:G10" si="4">+E8*F8</f>
        <v>61559024.999999993</v>
      </c>
      <c r="H8" s="17"/>
      <c r="I8" s="65">
        <v>6500</v>
      </c>
      <c r="J8" s="11">
        <f t="shared" ref="J8:J9" si="5">I8*$J$6</f>
        <v>1235</v>
      </c>
      <c r="K8" s="11">
        <f t="shared" ref="K8:K9" si="6">I8+J8</f>
        <v>7735</v>
      </c>
      <c r="L8" s="72">
        <f t="shared" ref="L8:L9" si="7">E8*K8</f>
        <v>86574374.25</v>
      </c>
      <c r="M8" s="113"/>
      <c r="N8" s="17"/>
      <c r="O8" s="65">
        <v>6500</v>
      </c>
      <c r="P8" s="11">
        <f t="shared" ref="P8:P9" si="8">O8*$P$6</f>
        <v>1235</v>
      </c>
      <c r="Q8" s="79">
        <f t="shared" ref="Q8:Q9" si="9">O8+P8</f>
        <v>7735</v>
      </c>
      <c r="R8" s="66">
        <f t="shared" ref="R8:R9" si="10">E8*Q8</f>
        <v>86574374.25</v>
      </c>
      <c r="S8" s="113"/>
      <c r="T8" s="17"/>
      <c r="U8" s="10">
        <f t="shared" ref="U8:U9" si="11">+I8*1.03</f>
        <v>6695</v>
      </c>
      <c r="V8" s="11">
        <f t="shared" ref="V8:V9" si="12">U8*$P$6</f>
        <v>1272.05</v>
      </c>
      <c r="W8" s="10">
        <f t="shared" ref="W8:W9" si="13">U8+V8</f>
        <v>7967.05</v>
      </c>
      <c r="X8" s="109">
        <f t="shared" ref="X8:X9" si="14">E8*W8</f>
        <v>89171605.477499992</v>
      </c>
      <c r="Y8" s="113"/>
      <c r="AA8" s="14"/>
      <c r="AB8" s="10"/>
      <c r="AC8" s="10"/>
      <c r="AD8" s="66"/>
      <c r="AE8" s="113"/>
      <c r="AG8" s="14"/>
      <c r="AH8" s="10"/>
      <c r="AI8" s="10"/>
      <c r="AJ8" s="13"/>
      <c r="AK8" s="113"/>
    </row>
    <row r="9" spans="1:37" s="100" customFormat="1" ht="22.15">
      <c r="A9" s="101"/>
      <c r="B9" s="102"/>
      <c r="C9" s="103" t="s">
        <v>111</v>
      </c>
      <c r="D9" s="99" t="s">
        <v>109</v>
      </c>
      <c r="E9" s="16">
        <v>4225.3500000000004</v>
      </c>
      <c r="F9" s="156">
        <v>11702</v>
      </c>
      <c r="G9" s="151">
        <f t="shared" si="4"/>
        <v>49445045.700000003</v>
      </c>
      <c r="H9" s="17"/>
      <c r="I9" s="65">
        <v>6000</v>
      </c>
      <c r="J9" s="11">
        <f t="shared" si="5"/>
        <v>1140</v>
      </c>
      <c r="K9" s="11">
        <f t="shared" si="6"/>
        <v>7140</v>
      </c>
      <c r="L9" s="72">
        <f t="shared" si="7"/>
        <v>30168999.000000004</v>
      </c>
      <c r="M9" s="113"/>
      <c r="N9" s="17"/>
      <c r="O9" s="65">
        <v>6000</v>
      </c>
      <c r="P9" s="11">
        <f t="shared" si="8"/>
        <v>1140</v>
      </c>
      <c r="Q9" s="79">
        <f t="shared" si="9"/>
        <v>7140</v>
      </c>
      <c r="R9" s="66">
        <f t="shared" si="10"/>
        <v>30168999.000000004</v>
      </c>
      <c r="S9" s="113"/>
      <c r="T9" s="17"/>
      <c r="U9" s="10">
        <f t="shared" si="11"/>
        <v>6180</v>
      </c>
      <c r="V9" s="11">
        <f t="shared" si="12"/>
        <v>1174.2</v>
      </c>
      <c r="W9" s="10">
        <f t="shared" si="13"/>
        <v>7354.2</v>
      </c>
      <c r="X9" s="109">
        <f t="shared" si="14"/>
        <v>31074068.970000003</v>
      </c>
      <c r="Y9" s="113"/>
      <c r="AA9" s="14"/>
      <c r="AB9" s="10"/>
      <c r="AC9" s="10"/>
      <c r="AD9" s="66"/>
      <c r="AE9" s="113"/>
      <c r="AG9" s="14"/>
      <c r="AH9" s="10"/>
      <c r="AI9" s="10"/>
      <c r="AJ9" s="13"/>
      <c r="AK9" s="113"/>
    </row>
    <row r="10" spans="1:37" s="100" customFormat="1" ht="22.15" hidden="1">
      <c r="A10" s="96"/>
      <c r="B10" s="97"/>
      <c r="C10" s="98"/>
      <c r="D10" s="99"/>
      <c r="E10" s="16"/>
      <c r="F10" s="156">
        <v>44000</v>
      </c>
      <c r="G10" s="151">
        <f t="shared" si="4"/>
        <v>0</v>
      </c>
      <c r="H10" s="17"/>
      <c r="I10" s="65"/>
      <c r="J10" s="11"/>
      <c r="K10" s="11"/>
      <c r="L10" s="72"/>
      <c r="M10" s="113"/>
      <c r="N10" s="17"/>
      <c r="O10" s="65"/>
      <c r="P10" s="11"/>
      <c r="Q10" s="79"/>
      <c r="R10" s="66"/>
      <c r="S10" s="113"/>
      <c r="T10" s="17"/>
      <c r="U10" s="75"/>
      <c r="V10" s="10"/>
      <c r="W10" s="10"/>
      <c r="X10" s="66"/>
      <c r="Y10" s="113"/>
      <c r="AA10" s="14"/>
      <c r="AB10" s="10"/>
      <c r="AC10" s="10"/>
      <c r="AD10" s="66"/>
      <c r="AE10" s="113"/>
      <c r="AG10" s="14"/>
      <c r="AH10" s="10"/>
      <c r="AI10" s="10"/>
      <c r="AJ10" s="13"/>
      <c r="AK10" s="113"/>
    </row>
    <row r="11" spans="1:37" s="100" customFormat="1" ht="22.15" hidden="1">
      <c r="A11" s="101"/>
      <c r="B11" s="102"/>
      <c r="C11" s="98"/>
      <c r="D11" s="99"/>
      <c r="E11" s="16"/>
      <c r="F11" s="156"/>
      <c r="G11" s="151"/>
      <c r="H11" s="17"/>
      <c r="I11" s="67"/>
      <c r="J11" s="11"/>
      <c r="K11" s="11"/>
      <c r="L11" s="72"/>
      <c r="M11" s="113"/>
      <c r="N11" s="17"/>
      <c r="O11" s="65"/>
      <c r="P11" s="11"/>
      <c r="Q11" s="79"/>
      <c r="R11" s="66"/>
      <c r="S11" s="113"/>
      <c r="T11" s="17"/>
      <c r="U11" s="75"/>
      <c r="V11" s="10"/>
      <c r="W11" s="10"/>
      <c r="X11" s="66"/>
      <c r="Y11" s="113"/>
      <c r="AA11" s="14"/>
      <c r="AB11" s="10"/>
      <c r="AC11" s="10"/>
      <c r="AD11" s="66"/>
      <c r="AE11" s="113"/>
      <c r="AG11" s="14"/>
      <c r="AH11" s="10"/>
      <c r="AI11" s="10"/>
      <c r="AJ11" s="13"/>
      <c r="AK11" s="113"/>
    </row>
    <row r="12" spans="1:37" s="100" customFormat="1" ht="22.15" hidden="1">
      <c r="A12" s="96"/>
      <c r="B12" s="97">
        <v>6</v>
      </c>
      <c r="C12" s="98"/>
      <c r="D12" s="99"/>
      <c r="E12" s="16"/>
      <c r="F12" s="156"/>
      <c r="G12" s="151"/>
      <c r="H12" s="17"/>
      <c r="I12" s="65"/>
      <c r="J12" s="11">
        <f t="shared" ref="J12:J13" si="15">I12*$J$6</f>
        <v>0</v>
      </c>
      <c r="K12" s="11">
        <f t="shared" ref="K12:K13" si="16">I12+J12</f>
        <v>0</v>
      </c>
      <c r="L12" s="72">
        <f t="shared" ref="L12:L13" si="17">E12*K12</f>
        <v>0</v>
      </c>
      <c r="M12" s="113">
        <f t="shared" ref="M12:M13" si="18">+IF(I12-MIN(IF($I12&gt;0,$I12,100000*100000),IF($O12&gt;0,$O12,100000*100000),IF($U12&gt;0,$U12,100000*100000),IF($AA12&gt;0,$AA12,100000*100000),IF($AG12&gt;0,$AG12,100000*100000))&gt;0,I12-MIN(IF($I12&gt;0,$I12,100000*100000),IF($O12&gt;0,$O12,100000*100000),IF($U12&gt;0,$U12,100000*100000),IF($AA12&gt;0,$AA12,100000*100000),IF($AG12&gt;0,$AG12,100000*100000)),0)</f>
        <v>0</v>
      </c>
      <c r="N12" s="17"/>
      <c r="O12" s="65"/>
      <c r="P12" s="11">
        <f t="shared" si="0"/>
        <v>0</v>
      </c>
      <c r="Q12" s="79">
        <f t="shared" ref="Q12:Q13" si="19">O12+P12</f>
        <v>0</v>
      </c>
      <c r="R12" s="66">
        <f t="shared" ref="R12:R13" si="20">E12*Q12</f>
        <v>0</v>
      </c>
      <c r="S12" s="113">
        <f t="shared" ref="S12:S13" si="21">+IF(O12-MIN(IF($I12&gt;0,$I12,100000*100000),IF($O12&gt;0,$O12,100000*100000),IF($U12&gt;0,$U12,100000*100000),IF($AA12&gt;0,$AA12,100000*100000),IF($AG12&gt;0,$AG12,100000*100000))&gt;0,O12-MIN(IF($I12&gt;0,$I12,100000*100000),IF($O12&gt;0,$O12,100000*100000),IF($U12&gt;0,$U12,100000*100000),IF($AA12&gt;0,$AA12,100000*100000),IF($AG12&gt;0,$AG12,100000*100000)),0)</f>
        <v>0</v>
      </c>
      <c r="T12" s="17"/>
      <c r="U12" s="110"/>
      <c r="V12" s="10">
        <f t="shared" ref="V12:V13" si="22">U12*$V$6</f>
        <v>0</v>
      </c>
      <c r="W12" s="10">
        <f t="shared" si="2"/>
        <v>0</v>
      </c>
      <c r="X12" s="66">
        <f t="shared" ref="X12:X13" si="23">E12*W12</f>
        <v>0</v>
      </c>
      <c r="Y12" s="113">
        <f t="shared" ref="Y12:Y13" si="24">+IF(U12-MIN(IF($I12&gt;0,$I12,100000*100000),IF($O12&gt;0,$O12,100000*100000),IF($U12&gt;0,$U12,100000*100000),IF($AA12&gt;0,$AA12,100000*100000),IF($AG12&gt;0,$AG12,100000*100000))&gt;0,U12-MIN(IF($I12&gt;0,$I12,100000*100000),IF($O12&gt;0,$O12,100000*100000),IF($U12&gt;0,$U12,100000*100000),IF($AA12&gt;0,$AA12,100000*100000),IF($AG12&gt;0,$AG12,100000*100000)),0)</f>
        <v>0</v>
      </c>
      <c r="AA12" s="14"/>
      <c r="AB12" s="10">
        <f t="shared" ref="AB12:AB13" si="25">+AA12*$AB$6</f>
        <v>0</v>
      </c>
      <c r="AC12" s="10">
        <f t="shared" ref="AC12:AC13" si="26">+AA12+AB12</f>
        <v>0</v>
      </c>
      <c r="AD12" s="66">
        <f t="shared" ref="AD12:AD13" si="27">E12*AC12</f>
        <v>0</v>
      </c>
      <c r="AE12" s="113">
        <f t="shared" ref="AE12:AE13" si="28">+IF(AA12-MIN(IF($I12&gt;0,$I12,100000*100000),IF($O12&gt;0,$O12,100000*100000),IF($U12&gt;0,$U12,100000*100000),IF($AA12&gt;0,$AA12,100000*100000),IF($AG12&gt;0,$AG12,100000*100000))&gt;0,AA12-MIN(IF($I12&gt;0,$I12,100000*100000),IF($O12&gt;0,$O12,100000*100000),IF($U12&gt;0,$U12,100000*100000),IF($AA12&gt;0,$AA12,100000*100000),IF($AG12&gt;0,$AG12,100000*100000)),0)</f>
        <v>0</v>
      </c>
      <c r="AG12" s="14"/>
      <c r="AH12" s="10"/>
      <c r="AI12" s="10"/>
      <c r="AJ12" s="13"/>
      <c r="AK12" s="113">
        <f t="shared" ref="AK12:AK13" si="29">+IF(AG12-MIN(IF($I12&gt;0,$I12,100000*100000),IF($O12&gt;0,$O12,100000*100000),IF($U12&gt;0,$U12,100000*100000),IF($AA12&gt;0,$AA12,100000*100000),IF($AG12&gt;0,$AG12,100000*100000))&gt;0,AG12-MIN(IF($I12&gt;0,$I12,100000*100000),IF($O12&gt;0,$O12,100000*100000),IF($U12&gt;0,$U12,100000*100000),IF($AA12&gt;0,$AA12,100000*100000),IF($AG12&gt;0,$AG12,100000*100000)),0)</f>
        <v>0</v>
      </c>
    </row>
    <row r="13" spans="1:37" s="100" customFormat="1" ht="22.15" hidden="1">
      <c r="A13" s="101"/>
      <c r="B13" s="102">
        <v>7</v>
      </c>
      <c r="C13" s="98"/>
      <c r="D13" s="99"/>
      <c r="E13" s="16"/>
      <c r="F13" s="156"/>
      <c r="G13" s="151"/>
      <c r="H13" s="17"/>
      <c r="I13" s="65"/>
      <c r="J13" s="11">
        <f t="shared" si="15"/>
        <v>0</v>
      </c>
      <c r="K13" s="11">
        <f t="shared" si="16"/>
        <v>0</v>
      </c>
      <c r="L13" s="72">
        <f t="shared" si="17"/>
        <v>0</v>
      </c>
      <c r="M13" s="113">
        <f t="shared" si="18"/>
        <v>0</v>
      </c>
      <c r="N13" s="17"/>
      <c r="O13" s="65"/>
      <c r="P13" s="11">
        <f t="shared" si="0"/>
        <v>0</v>
      </c>
      <c r="Q13" s="79">
        <f t="shared" si="19"/>
        <v>0</v>
      </c>
      <c r="R13" s="66">
        <f t="shared" si="20"/>
        <v>0</v>
      </c>
      <c r="S13" s="113">
        <f t="shared" si="21"/>
        <v>0</v>
      </c>
      <c r="T13" s="17"/>
      <c r="U13" s="76"/>
      <c r="V13" s="10">
        <f t="shared" si="22"/>
        <v>0</v>
      </c>
      <c r="W13" s="10">
        <f t="shared" si="2"/>
        <v>0</v>
      </c>
      <c r="X13" s="66">
        <f t="shared" si="23"/>
        <v>0</v>
      </c>
      <c r="Y13" s="113">
        <f t="shared" si="24"/>
        <v>0</v>
      </c>
      <c r="AA13" s="14"/>
      <c r="AB13" s="10">
        <f t="shared" si="25"/>
        <v>0</v>
      </c>
      <c r="AC13" s="10">
        <f t="shared" si="26"/>
        <v>0</v>
      </c>
      <c r="AD13" s="66">
        <f t="shared" si="27"/>
        <v>0</v>
      </c>
      <c r="AE13" s="113">
        <f t="shared" si="28"/>
        <v>0</v>
      </c>
      <c r="AG13" s="14"/>
      <c r="AH13" s="10"/>
      <c r="AI13" s="10"/>
      <c r="AJ13" s="13"/>
      <c r="AK13" s="113">
        <f t="shared" si="29"/>
        <v>0</v>
      </c>
    </row>
    <row r="14" spans="1:37" ht="22.5" hidden="1" thickBot="1">
      <c r="A14" s="18"/>
      <c r="B14" s="18"/>
      <c r="C14" s="19"/>
      <c r="D14" s="20"/>
      <c r="E14" s="21"/>
      <c r="F14" s="157"/>
      <c r="G14" s="152"/>
      <c r="H14" s="22"/>
      <c r="I14" s="73"/>
      <c r="J14" s="71"/>
      <c r="K14" s="71"/>
      <c r="L14" s="74"/>
      <c r="M14" s="26"/>
      <c r="N14" s="26"/>
      <c r="O14" s="68"/>
      <c r="P14" s="71"/>
      <c r="Q14" s="71"/>
      <c r="R14" s="69"/>
      <c r="S14" s="17"/>
      <c r="T14" s="26"/>
      <c r="U14" s="73"/>
      <c r="V14" s="70"/>
      <c r="W14" s="70"/>
      <c r="X14" s="74"/>
      <c r="Y14" s="26"/>
      <c r="AA14" s="23"/>
      <c r="AB14" s="24"/>
      <c r="AC14" s="24"/>
      <c r="AD14" s="25"/>
      <c r="AE14" s="26"/>
      <c r="AG14" s="23"/>
      <c r="AH14" s="24"/>
      <c r="AI14" s="24"/>
      <c r="AJ14" s="25"/>
    </row>
    <row r="15" spans="1:37" ht="22.5" thickBot="1">
      <c r="A15" s="27"/>
      <c r="B15" s="27"/>
      <c r="C15" s="28"/>
      <c r="D15" s="63"/>
      <c r="E15" s="64"/>
      <c r="F15" s="149"/>
      <c r="G15" s="14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AA15" s="30"/>
      <c r="AB15" s="30"/>
      <c r="AC15" s="30"/>
      <c r="AD15" s="30"/>
      <c r="AE15" s="30"/>
      <c r="AG15" s="30"/>
      <c r="AH15" s="30"/>
      <c r="AI15" s="30"/>
      <c r="AJ15" s="30"/>
    </row>
    <row r="16" spans="1:37" s="4" customFormat="1" ht="25.5">
      <c r="A16" s="61"/>
      <c r="B16" s="27"/>
      <c r="C16" s="284" t="s">
        <v>30</v>
      </c>
      <c r="D16" s="285"/>
      <c r="E16" s="285"/>
      <c r="F16" s="375">
        <f>SUM(G7:G10)</f>
        <v>582133630.70000005</v>
      </c>
      <c r="G16" s="376"/>
      <c r="H16" s="31"/>
      <c r="I16" s="290"/>
      <c r="J16" s="291"/>
      <c r="K16" s="291"/>
      <c r="L16" s="294">
        <f>SUM(L7:L14)</f>
        <v>782508332.72500002</v>
      </c>
      <c r="M16" s="114"/>
      <c r="N16" s="32"/>
      <c r="O16" s="290"/>
      <c r="P16" s="291"/>
      <c r="Q16" s="291"/>
      <c r="R16" s="294">
        <f>SUM(R7:R14)</f>
        <v>782508332.72500002</v>
      </c>
      <c r="S16" s="114"/>
      <c r="T16" s="32"/>
      <c r="U16" s="290"/>
      <c r="V16" s="291"/>
      <c r="W16" s="291"/>
      <c r="X16" s="294">
        <f>SUM(X7:X14)</f>
        <v>805983582.70674992</v>
      </c>
      <c r="Y16" s="114"/>
      <c r="AA16" s="290"/>
      <c r="AB16" s="291"/>
      <c r="AC16" s="291"/>
      <c r="AD16" s="306">
        <f>SUM(AD7:AD15)</f>
        <v>0</v>
      </c>
      <c r="AE16" s="127"/>
      <c r="AG16" s="290"/>
      <c r="AH16" s="291"/>
      <c r="AI16" s="291"/>
      <c r="AJ16" s="308">
        <f>SUM(AJ7:AJ15)</f>
        <v>0</v>
      </c>
    </row>
    <row r="17" spans="1:36" s="4" customFormat="1" ht="25.9" thickBot="1">
      <c r="A17" s="62"/>
      <c r="B17" s="27"/>
      <c r="C17" s="287"/>
      <c r="D17" s="288"/>
      <c r="E17" s="288"/>
      <c r="F17" s="377"/>
      <c r="G17" s="378"/>
      <c r="H17" s="31"/>
      <c r="I17" s="292"/>
      <c r="J17" s="293"/>
      <c r="K17" s="293"/>
      <c r="L17" s="295"/>
      <c r="M17" s="114"/>
      <c r="N17" s="32"/>
      <c r="O17" s="292"/>
      <c r="P17" s="293"/>
      <c r="Q17" s="293"/>
      <c r="R17" s="295"/>
      <c r="S17" s="114"/>
      <c r="T17" s="32"/>
      <c r="U17" s="292"/>
      <c r="V17" s="293"/>
      <c r="W17" s="293"/>
      <c r="X17" s="295"/>
      <c r="Y17" s="114"/>
      <c r="AA17" s="292"/>
      <c r="AB17" s="293"/>
      <c r="AC17" s="293"/>
      <c r="AD17" s="307"/>
      <c r="AE17" s="127"/>
      <c r="AG17" s="292"/>
      <c r="AH17" s="293"/>
      <c r="AI17" s="293"/>
      <c r="AJ17" s="309"/>
    </row>
    <row r="18" spans="1:36" s="4" customFormat="1" ht="8.25" customHeight="1" thickBot="1">
      <c r="A18" s="28"/>
      <c r="B18" s="28"/>
      <c r="C18" s="28"/>
      <c r="D18" s="28"/>
      <c r="E18" s="33"/>
      <c r="F18" s="33"/>
      <c r="G18" s="33"/>
      <c r="H18" s="3"/>
      <c r="I18" s="35"/>
      <c r="J18" s="35"/>
      <c r="K18" s="35"/>
      <c r="L18" s="32"/>
      <c r="M18" s="32"/>
      <c r="N18" s="32"/>
      <c r="O18" s="35"/>
      <c r="P18" s="35"/>
      <c r="Q18" s="35"/>
      <c r="R18" s="32"/>
      <c r="S18" s="32"/>
      <c r="T18" s="32"/>
      <c r="U18" s="35"/>
      <c r="V18" s="35"/>
      <c r="W18" s="35"/>
      <c r="X18" s="32"/>
      <c r="Y18" s="32"/>
      <c r="AA18" s="35"/>
      <c r="AB18" s="35"/>
      <c r="AC18" s="35"/>
      <c r="AD18" s="32"/>
      <c r="AE18" s="32"/>
      <c r="AG18" s="35"/>
      <c r="AH18" s="35"/>
      <c r="AI18" s="35"/>
      <c r="AJ18" s="32"/>
    </row>
    <row r="19" spans="1:36" s="4" customFormat="1" ht="22.5" thickBot="1">
      <c r="A19" s="87"/>
      <c r="B19" s="88" t="s">
        <v>31</v>
      </c>
      <c r="C19" s="88"/>
      <c r="D19" s="88"/>
      <c r="E19" s="89"/>
      <c r="F19" s="28"/>
      <c r="G19" s="28"/>
      <c r="H19" s="36"/>
      <c r="I19" s="310"/>
      <c r="J19" s="311"/>
      <c r="K19" s="311"/>
      <c r="L19" s="37">
        <f>+L16-MIN($L$16,$R$16,$X$16)</f>
        <v>0</v>
      </c>
      <c r="M19" s="115"/>
      <c r="N19" s="38"/>
      <c r="O19" s="310"/>
      <c r="P19" s="311"/>
      <c r="Q19" s="311"/>
      <c r="R19" s="39">
        <f>+R16-MIN($L$16,$R$16,$X$16)</f>
        <v>0</v>
      </c>
      <c r="S19" s="119"/>
      <c r="T19" s="38"/>
      <c r="U19" s="310"/>
      <c r="V19" s="311"/>
      <c r="W19" s="311"/>
      <c r="X19" s="40">
        <f>+X16-MIN($L$16,$R$16,$X$16)</f>
        <v>23475249.981749892</v>
      </c>
      <c r="Y19" s="123"/>
      <c r="AA19" s="310"/>
      <c r="AB19" s="311"/>
      <c r="AC19" s="311"/>
      <c r="AD19" s="41">
        <f>+AD16-MIN($L$16,$R$16,$X$16)</f>
        <v>-782508332.72500002</v>
      </c>
      <c r="AE19" s="128"/>
      <c r="AG19" s="310"/>
      <c r="AH19" s="311"/>
      <c r="AI19" s="311"/>
      <c r="AJ19" s="93">
        <f>+AJ16-MIN($L$16,$R$16,$X$16)</f>
        <v>-782508332.72500002</v>
      </c>
    </row>
    <row r="20" spans="1:36" s="4" customFormat="1" ht="22.5" thickBot="1">
      <c r="A20" s="84"/>
      <c r="B20" s="85" t="s">
        <v>32</v>
      </c>
      <c r="C20" s="85"/>
      <c r="D20" s="85"/>
      <c r="E20" s="86"/>
      <c r="F20" s="46"/>
      <c r="G20" s="46"/>
      <c r="H20" s="36"/>
      <c r="I20" s="312"/>
      <c r="J20" s="313"/>
      <c r="K20" s="313"/>
      <c r="L20" s="42">
        <f>+L19/MIN($L$16,$X$16)</f>
        <v>0</v>
      </c>
      <c r="M20" s="116"/>
      <c r="N20" s="43"/>
      <c r="O20" s="312"/>
      <c r="P20" s="313"/>
      <c r="Q20" s="313"/>
      <c r="R20" s="44">
        <f>+R19/MIN($L$16,$R$16,$X$16)</f>
        <v>0</v>
      </c>
      <c r="S20" s="120"/>
      <c r="T20" s="43"/>
      <c r="U20" s="312"/>
      <c r="V20" s="313"/>
      <c r="W20" s="313"/>
      <c r="X20" s="130">
        <f>+X19/MIN($L$16,$X$16)</f>
        <v>2.999999999999986E-2</v>
      </c>
      <c r="Y20" s="124"/>
      <c r="AA20" s="312"/>
      <c r="AB20" s="313"/>
      <c r="AC20" s="313"/>
      <c r="AD20" s="45">
        <f>+AD19/MIN($L$16,$R$16,$X$16)</f>
        <v>-1</v>
      </c>
      <c r="AE20" s="129"/>
      <c r="AG20" s="312"/>
      <c r="AH20" s="313"/>
      <c r="AI20" s="313"/>
      <c r="AJ20" s="94">
        <f>+AJ19/MIN($L$16,$R$16,$X$16)</f>
        <v>-1</v>
      </c>
    </row>
    <row r="21" spans="1:36" s="4" customFormat="1" ht="7.5" customHeight="1">
      <c r="A21" s="46"/>
      <c r="B21" s="46"/>
      <c r="C21" s="46"/>
      <c r="D21" s="46"/>
      <c r="E21" s="33"/>
      <c r="F21" s="33"/>
      <c r="G21" s="33"/>
      <c r="H21" s="3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AA21" s="47"/>
      <c r="AB21" s="47"/>
      <c r="AC21" s="47"/>
      <c r="AD21" s="47"/>
      <c r="AE21" s="47"/>
      <c r="AG21" s="47"/>
      <c r="AH21" s="47"/>
      <c r="AI21" s="47"/>
      <c r="AJ21" s="47"/>
    </row>
    <row r="22" spans="1:36" ht="9" customHeight="1" thickBot="1">
      <c r="A22" s="48"/>
      <c r="B22" s="82"/>
      <c r="C22" s="82"/>
      <c r="D22" s="82"/>
      <c r="E22" s="82"/>
      <c r="F22" s="82"/>
      <c r="G22" s="82"/>
      <c r="H22" s="2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AA22" s="49"/>
      <c r="AB22" s="49"/>
      <c r="AC22" s="49"/>
      <c r="AD22" s="49"/>
      <c r="AE22" s="49"/>
      <c r="AG22" s="49"/>
      <c r="AH22" s="49"/>
      <c r="AI22" s="49"/>
      <c r="AJ22" s="49"/>
    </row>
    <row r="23" spans="1:36" ht="15" customHeight="1">
      <c r="A23" s="80"/>
      <c r="B23" s="82"/>
      <c r="C23" s="82"/>
      <c r="D23" s="82"/>
      <c r="E23" s="82"/>
      <c r="F23" s="82"/>
      <c r="G23" s="82"/>
      <c r="H23" s="50"/>
      <c r="I23" s="60" t="s">
        <v>33</v>
      </c>
      <c r="J23" s="302" t="s">
        <v>112</v>
      </c>
      <c r="K23" s="302"/>
      <c r="L23" s="303"/>
      <c r="M23" s="133"/>
      <c r="N23" s="133"/>
      <c r="O23" s="60" t="s">
        <v>33</v>
      </c>
      <c r="P23" s="302" t="s">
        <v>35</v>
      </c>
      <c r="Q23" s="302"/>
      <c r="R23" s="303"/>
      <c r="S23" s="133"/>
      <c r="T23" s="133"/>
      <c r="U23" s="60" t="s">
        <v>33</v>
      </c>
      <c r="V23" s="302" t="s">
        <v>35</v>
      </c>
      <c r="W23" s="302"/>
      <c r="X23" s="303"/>
      <c r="Y23" s="133"/>
      <c r="AA23" s="60" t="s">
        <v>33</v>
      </c>
      <c r="AB23" s="302" t="s">
        <v>35</v>
      </c>
      <c r="AC23" s="302"/>
      <c r="AD23" s="303"/>
      <c r="AE23" s="133"/>
      <c r="AG23" s="60" t="s">
        <v>33</v>
      </c>
      <c r="AH23" s="302" t="s">
        <v>35</v>
      </c>
      <c r="AI23" s="302"/>
      <c r="AJ23" s="303"/>
    </row>
    <row r="24" spans="1:36" ht="15" customHeight="1">
      <c r="A24" s="81"/>
      <c r="B24" s="82"/>
      <c r="C24" s="82"/>
      <c r="D24" s="82"/>
      <c r="E24" s="82"/>
      <c r="F24" s="82"/>
      <c r="G24" s="82"/>
      <c r="H24" s="50"/>
      <c r="I24" s="51"/>
      <c r="J24" s="53"/>
      <c r="K24" s="53"/>
      <c r="L24" s="54"/>
      <c r="M24" s="53"/>
      <c r="N24" s="53"/>
      <c r="O24" s="51"/>
      <c r="P24" s="53"/>
      <c r="Q24" s="53"/>
      <c r="R24" s="54"/>
      <c r="S24" s="53"/>
      <c r="T24" s="53"/>
      <c r="U24" s="51"/>
      <c r="V24" s="53"/>
      <c r="W24" s="53"/>
      <c r="X24" s="54"/>
      <c r="Y24" s="53"/>
      <c r="AA24" s="51"/>
      <c r="AB24" s="53"/>
      <c r="AC24" s="53"/>
      <c r="AD24" s="54"/>
      <c r="AE24" s="53"/>
      <c r="AG24" s="51"/>
      <c r="AH24" s="53"/>
      <c r="AI24" s="53"/>
      <c r="AJ24" s="54"/>
    </row>
    <row r="25" spans="1:36" ht="15" customHeight="1">
      <c r="A25" s="81"/>
      <c r="B25" s="82"/>
      <c r="C25" s="82"/>
      <c r="D25" s="82"/>
      <c r="E25" s="82"/>
      <c r="F25" s="82"/>
      <c r="G25" s="82"/>
      <c r="H25" s="50"/>
      <c r="I25" s="51" t="s">
        <v>36</v>
      </c>
      <c r="J25" s="52"/>
      <c r="K25" s="52"/>
      <c r="L25" s="55"/>
      <c r="M25" s="52"/>
      <c r="N25" s="139"/>
      <c r="O25" s="131" t="s">
        <v>36</v>
      </c>
      <c r="P25" s="90"/>
      <c r="Q25" s="90"/>
      <c r="R25" s="91"/>
      <c r="S25" s="90"/>
      <c r="T25" s="139"/>
      <c r="U25" s="131" t="s">
        <v>36</v>
      </c>
      <c r="V25" s="304"/>
      <c r="W25" s="304"/>
      <c r="X25" s="305"/>
      <c r="Y25" s="139"/>
      <c r="AA25" s="131" t="s">
        <v>36</v>
      </c>
      <c r="AB25" s="304"/>
      <c r="AC25" s="304"/>
      <c r="AD25" s="305"/>
      <c r="AE25" s="139"/>
      <c r="AG25" s="131" t="s">
        <v>36</v>
      </c>
      <c r="AH25" s="304"/>
      <c r="AI25" s="304"/>
      <c r="AJ25" s="305"/>
    </row>
    <row r="26" spans="1:36" ht="15" customHeight="1">
      <c r="A26" s="81"/>
      <c r="B26" s="82"/>
      <c r="C26" s="82"/>
      <c r="D26" s="82"/>
      <c r="E26" s="82"/>
      <c r="F26" s="82"/>
      <c r="G26" s="82"/>
      <c r="H26" s="50"/>
      <c r="I26" s="51"/>
      <c r="J26" s="53"/>
      <c r="K26" s="53"/>
      <c r="L26" s="54"/>
      <c r="M26" s="53"/>
      <c r="N26" s="53"/>
      <c r="O26" s="51"/>
      <c r="P26" s="53"/>
      <c r="Q26" s="53"/>
      <c r="R26" s="54"/>
      <c r="S26" s="53"/>
      <c r="T26" s="53"/>
      <c r="U26" s="51"/>
      <c r="V26" s="53"/>
      <c r="W26" s="53"/>
      <c r="X26" s="54"/>
      <c r="Y26" s="53"/>
      <c r="AA26" s="51"/>
      <c r="AB26" s="53"/>
      <c r="AC26" s="53"/>
      <c r="AD26" s="54"/>
      <c r="AE26" s="53"/>
      <c r="AG26" s="51"/>
      <c r="AH26" s="53"/>
      <c r="AI26" s="53"/>
      <c r="AJ26" s="54"/>
    </row>
    <row r="27" spans="1:36" ht="15" customHeight="1">
      <c r="A27" s="81"/>
      <c r="B27" s="82"/>
      <c r="C27" s="95" t="s">
        <v>37</v>
      </c>
      <c r="D27" s="82"/>
      <c r="E27" s="82"/>
      <c r="F27" s="82"/>
      <c r="G27" s="82"/>
      <c r="H27" s="50"/>
      <c r="I27" s="131" t="s">
        <v>38</v>
      </c>
      <c r="J27" s="314"/>
      <c r="K27" s="314"/>
      <c r="L27" s="315"/>
      <c r="M27" s="133"/>
      <c r="N27" s="133"/>
      <c r="O27" s="131" t="s">
        <v>38</v>
      </c>
      <c r="P27" s="314"/>
      <c r="Q27" s="314"/>
      <c r="R27" s="315"/>
      <c r="S27" s="133"/>
      <c r="T27" s="133"/>
      <c r="U27" s="131" t="s">
        <v>38</v>
      </c>
      <c r="V27" s="314"/>
      <c r="W27" s="314"/>
      <c r="X27" s="315"/>
      <c r="Y27" s="133"/>
      <c r="AA27" s="131" t="s">
        <v>38</v>
      </c>
      <c r="AB27" s="314"/>
      <c r="AC27" s="314"/>
      <c r="AD27" s="315"/>
      <c r="AE27" s="133"/>
      <c r="AG27" s="131" t="s">
        <v>38</v>
      </c>
      <c r="AH27" s="314"/>
      <c r="AI27" s="314"/>
      <c r="AJ27" s="315"/>
    </row>
    <row r="28" spans="1:36" ht="15" customHeight="1">
      <c r="A28" s="81"/>
      <c r="B28" s="82"/>
      <c r="C28" s="82" t="s">
        <v>39</v>
      </c>
      <c r="D28" s="82"/>
      <c r="E28" s="82"/>
      <c r="F28" s="82"/>
      <c r="G28" s="82"/>
      <c r="H28" s="50"/>
      <c r="I28" s="51"/>
      <c r="J28" s="52"/>
      <c r="K28" s="52"/>
      <c r="L28" s="55"/>
      <c r="M28" s="52"/>
      <c r="N28" s="52"/>
      <c r="O28" s="51"/>
      <c r="P28" s="52"/>
      <c r="Q28" s="52"/>
      <c r="R28" s="55"/>
      <c r="S28" s="52"/>
      <c r="T28" s="52"/>
      <c r="U28" s="51"/>
      <c r="V28" s="52"/>
      <c r="W28" s="52"/>
      <c r="X28" s="55"/>
      <c r="Y28" s="52"/>
      <c r="AA28" s="51"/>
      <c r="AB28" s="52"/>
      <c r="AC28" s="52"/>
      <c r="AD28" s="55"/>
      <c r="AE28" s="52"/>
      <c r="AG28" s="51"/>
      <c r="AH28" s="52"/>
      <c r="AI28" s="52"/>
      <c r="AJ28" s="55"/>
    </row>
    <row r="29" spans="1:36" ht="15" customHeight="1">
      <c r="A29" s="81"/>
      <c r="B29" s="82"/>
      <c r="C29" s="82" t="s">
        <v>40</v>
      </c>
      <c r="D29" s="82"/>
      <c r="E29" s="82"/>
      <c r="F29" s="82"/>
      <c r="G29" s="82"/>
      <c r="H29" s="50"/>
      <c r="I29" s="316" t="s">
        <v>41</v>
      </c>
      <c r="J29" s="317"/>
      <c r="K29" s="314"/>
      <c r="L29" s="315"/>
      <c r="M29" s="133"/>
      <c r="N29" s="133"/>
      <c r="O29" s="51" t="s">
        <v>41</v>
      </c>
      <c r="P29" s="52"/>
      <c r="Q29" s="52"/>
      <c r="R29" s="55"/>
      <c r="S29" s="52"/>
      <c r="T29" s="133"/>
      <c r="U29" s="316" t="s">
        <v>41</v>
      </c>
      <c r="V29" s="317"/>
      <c r="W29" s="314"/>
      <c r="X29" s="315"/>
      <c r="Y29" s="133"/>
      <c r="AA29" s="316" t="s">
        <v>41</v>
      </c>
      <c r="AB29" s="317"/>
      <c r="AC29" s="314"/>
      <c r="AD29" s="315"/>
      <c r="AE29" s="133"/>
      <c r="AG29" s="316" t="s">
        <v>41</v>
      </c>
      <c r="AH29" s="317"/>
      <c r="AI29" s="314"/>
      <c r="AJ29" s="315"/>
    </row>
    <row r="30" spans="1:36" ht="15" customHeight="1">
      <c r="A30" s="81"/>
      <c r="B30" s="82"/>
      <c r="C30" s="82" t="s">
        <v>42</v>
      </c>
      <c r="D30" s="82"/>
      <c r="E30" s="82"/>
      <c r="F30" s="82"/>
      <c r="G30" s="82"/>
      <c r="H30" s="50"/>
      <c r="I30" s="131"/>
      <c r="J30" s="132"/>
      <c r="K30" s="133"/>
      <c r="L30" s="134"/>
      <c r="M30" s="133"/>
      <c r="N30" s="133"/>
      <c r="O30" s="131"/>
      <c r="P30" s="132"/>
      <c r="Q30" s="133"/>
      <c r="R30" s="134"/>
      <c r="S30" s="133"/>
      <c r="T30" s="133"/>
      <c r="U30" s="131"/>
      <c r="V30" s="132"/>
      <c r="W30" s="133"/>
      <c r="X30" s="134"/>
      <c r="Y30" s="133"/>
      <c r="AA30" s="131"/>
      <c r="AB30" s="132"/>
      <c r="AC30" s="133"/>
      <c r="AD30" s="134"/>
      <c r="AE30" s="133"/>
      <c r="AG30" s="131"/>
      <c r="AH30" s="132"/>
      <c r="AI30" s="133"/>
      <c r="AJ30" s="134"/>
    </row>
    <row r="31" spans="1:36" ht="15" customHeight="1">
      <c r="A31" s="81"/>
      <c r="B31" s="82"/>
      <c r="C31" s="82" t="s">
        <v>43</v>
      </c>
      <c r="D31" s="82"/>
      <c r="E31" s="82"/>
      <c r="F31" s="82"/>
      <c r="G31" s="82"/>
      <c r="H31" s="50"/>
      <c r="I31" s="131" t="s">
        <v>44</v>
      </c>
      <c r="J31" s="52"/>
      <c r="K31" s="52"/>
      <c r="L31" s="55"/>
      <c r="M31" s="52"/>
      <c r="N31" s="135"/>
      <c r="O31" s="51" t="s">
        <v>44</v>
      </c>
      <c r="P31" s="52"/>
      <c r="Q31" s="52"/>
      <c r="R31" s="55"/>
      <c r="S31" s="52"/>
      <c r="T31" s="135"/>
      <c r="U31" s="131" t="s">
        <v>44</v>
      </c>
      <c r="V31" s="318"/>
      <c r="W31" s="318"/>
      <c r="X31" s="319"/>
      <c r="Y31" s="135"/>
      <c r="AA31" s="131" t="s">
        <v>44</v>
      </c>
      <c r="AB31" s="318"/>
      <c r="AC31" s="318"/>
      <c r="AD31" s="319"/>
      <c r="AE31" s="135"/>
      <c r="AG31" s="131" t="s">
        <v>44</v>
      </c>
      <c r="AH31" s="318"/>
      <c r="AI31" s="318"/>
      <c r="AJ31" s="319"/>
    </row>
    <row r="32" spans="1:36" ht="15" customHeight="1">
      <c r="A32" s="81"/>
      <c r="B32" s="82"/>
      <c r="C32" s="82" t="s">
        <v>45</v>
      </c>
      <c r="D32" s="82"/>
      <c r="E32" s="82"/>
      <c r="F32" s="82"/>
      <c r="G32" s="82"/>
      <c r="H32" s="50"/>
      <c r="I32" s="324" t="s">
        <v>113</v>
      </c>
      <c r="J32" s="325"/>
      <c r="K32" s="325"/>
      <c r="L32" s="326"/>
      <c r="M32" s="135"/>
      <c r="N32" s="135"/>
      <c r="O32" s="330" t="s">
        <v>114</v>
      </c>
      <c r="P32" s="328"/>
      <c r="Q32" s="328"/>
      <c r="R32" s="329"/>
      <c r="S32" s="136"/>
      <c r="T32" s="135"/>
      <c r="U32" s="330" t="s">
        <v>114</v>
      </c>
      <c r="V32" s="328"/>
      <c r="W32" s="328"/>
      <c r="X32" s="329"/>
      <c r="Y32" s="136"/>
      <c r="AA32" s="331" t="s">
        <v>49</v>
      </c>
      <c r="AB32" s="332"/>
      <c r="AC32" s="332"/>
      <c r="AD32" s="333"/>
      <c r="AE32" s="136"/>
      <c r="AG32" s="334" t="s">
        <v>50</v>
      </c>
      <c r="AH32" s="335"/>
      <c r="AI32" s="335"/>
      <c r="AJ32" s="336"/>
    </row>
    <row r="33" spans="1:36" ht="15" customHeight="1">
      <c r="A33" s="81"/>
      <c r="B33" s="82"/>
      <c r="C33" s="82" t="s">
        <v>51</v>
      </c>
      <c r="D33" s="82"/>
      <c r="E33" s="82"/>
      <c r="F33" s="82"/>
      <c r="G33" s="82"/>
      <c r="H33" s="50"/>
      <c r="I33" s="324"/>
      <c r="J33" s="325"/>
      <c r="K33" s="325"/>
      <c r="L33" s="326"/>
      <c r="M33" s="135"/>
      <c r="N33" s="135"/>
      <c r="O33" s="330"/>
      <c r="P33" s="328"/>
      <c r="Q33" s="328"/>
      <c r="R33" s="329"/>
      <c r="S33" s="136"/>
      <c r="T33" s="135"/>
      <c r="U33" s="330"/>
      <c r="V33" s="328"/>
      <c r="W33" s="328"/>
      <c r="X33" s="329"/>
      <c r="Y33" s="135"/>
      <c r="AA33" s="323"/>
      <c r="AB33" s="318"/>
      <c r="AC33" s="318"/>
      <c r="AD33" s="319"/>
      <c r="AE33" s="135"/>
      <c r="AG33" s="323"/>
      <c r="AH33" s="318"/>
      <c r="AI33" s="318"/>
      <c r="AJ33" s="319"/>
    </row>
    <row r="34" spans="1:36" ht="15" customHeight="1">
      <c r="A34" s="81"/>
      <c r="B34" s="82"/>
      <c r="C34" s="82"/>
      <c r="D34" s="82"/>
      <c r="E34" s="82"/>
      <c r="F34" s="82"/>
      <c r="G34" s="82"/>
      <c r="H34" s="50"/>
      <c r="I34" s="324"/>
      <c r="J34" s="325"/>
      <c r="K34" s="325"/>
      <c r="L34" s="326"/>
      <c r="M34" s="135"/>
      <c r="N34" s="135"/>
      <c r="O34" s="330"/>
      <c r="P34" s="328"/>
      <c r="Q34" s="328"/>
      <c r="R34" s="329"/>
      <c r="S34" s="136"/>
      <c r="T34" s="135"/>
      <c r="U34" s="330"/>
      <c r="V34" s="328"/>
      <c r="W34" s="328"/>
      <c r="X34" s="329"/>
      <c r="Y34" s="135"/>
      <c r="AA34" s="323"/>
      <c r="AB34" s="318"/>
      <c r="AC34" s="318"/>
      <c r="AD34" s="319"/>
      <c r="AE34" s="135"/>
      <c r="AG34" s="323"/>
      <c r="AH34" s="318"/>
      <c r="AI34" s="318"/>
      <c r="AJ34" s="319"/>
    </row>
    <row r="35" spans="1:36" ht="15" customHeight="1">
      <c r="A35" s="81"/>
      <c r="B35" s="82"/>
      <c r="C35" s="82"/>
      <c r="D35" s="82"/>
      <c r="E35" s="82"/>
      <c r="F35" s="82"/>
      <c r="G35" s="82"/>
      <c r="H35" s="50"/>
      <c r="I35" s="131" t="s">
        <v>52</v>
      </c>
      <c r="J35" s="53"/>
      <c r="K35" s="53"/>
      <c r="L35" s="54"/>
      <c r="M35" s="53"/>
      <c r="N35" s="133"/>
      <c r="O35" s="51" t="s">
        <v>52</v>
      </c>
      <c r="P35" s="52"/>
      <c r="Q35" s="52"/>
      <c r="R35" s="55"/>
      <c r="S35" s="52"/>
      <c r="T35" s="133"/>
      <c r="U35" s="131" t="s">
        <v>52</v>
      </c>
      <c r="V35" s="53"/>
      <c r="W35" s="53"/>
      <c r="X35" s="54"/>
      <c r="Y35" s="53"/>
      <c r="AA35" s="131" t="s">
        <v>52</v>
      </c>
      <c r="AB35" s="314" t="s">
        <v>53</v>
      </c>
      <c r="AC35" s="314"/>
      <c r="AD35" s="315"/>
      <c r="AE35" s="133"/>
      <c r="AG35" s="131" t="s">
        <v>52</v>
      </c>
      <c r="AH35" s="314" t="s">
        <v>53</v>
      </c>
      <c r="AI35" s="314"/>
      <c r="AJ35" s="315"/>
    </row>
    <row r="36" spans="1:36" ht="15" customHeight="1" thickBot="1">
      <c r="A36" s="83"/>
      <c r="B36" s="82"/>
      <c r="C36" s="396"/>
      <c r="D36" s="397"/>
      <c r="E36" s="397"/>
      <c r="F36" s="150"/>
      <c r="G36" s="150"/>
      <c r="H36" s="50"/>
      <c r="I36" s="320"/>
      <c r="J36" s="321"/>
      <c r="K36" s="321"/>
      <c r="L36" s="322"/>
      <c r="M36" s="56"/>
      <c r="N36" s="56"/>
      <c r="O36" s="320"/>
      <c r="P36" s="321"/>
      <c r="Q36" s="321"/>
      <c r="R36" s="322"/>
      <c r="S36" s="56"/>
      <c r="T36" s="56"/>
      <c r="U36" s="320"/>
      <c r="V36" s="321"/>
      <c r="W36" s="321"/>
      <c r="X36" s="322"/>
      <c r="Y36" s="56"/>
      <c r="AA36" s="320"/>
      <c r="AB36" s="321"/>
      <c r="AC36" s="321"/>
      <c r="AD36" s="322"/>
      <c r="AE36" s="56"/>
      <c r="AG36" s="320"/>
      <c r="AH36" s="321"/>
      <c r="AI36" s="321"/>
      <c r="AJ36" s="322"/>
    </row>
    <row r="37" spans="1:36" ht="18.75">
      <c r="A37" s="80"/>
      <c r="B37" s="82"/>
      <c r="C37" s="396"/>
      <c r="D37" s="397"/>
      <c r="E37" s="397"/>
      <c r="F37" s="150"/>
      <c r="G37" s="150"/>
      <c r="H37" s="50"/>
    </row>
    <row r="38" spans="1:36" ht="18.75">
      <c r="A38" s="81"/>
      <c r="B38" s="82"/>
      <c r="C38" s="82"/>
      <c r="D38" s="82"/>
      <c r="E38" s="82"/>
      <c r="F38" s="82"/>
      <c r="G38" s="82"/>
      <c r="H38" s="50"/>
    </row>
  </sheetData>
  <mergeCells count="105">
    <mergeCell ref="AA36:AD36"/>
    <mergeCell ref="AG36:AJ36"/>
    <mergeCell ref="O32:R34"/>
    <mergeCell ref="U32:X34"/>
    <mergeCell ref="AA34:AD34"/>
    <mergeCell ref="AG34:AJ34"/>
    <mergeCell ref="AB35:AD35"/>
    <mergeCell ref="AH35:AJ35"/>
    <mergeCell ref="C36:C37"/>
    <mergeCell ref="D36:E37"/>
    <mergeCell ref="I36:L36"/>
    <mergeCell ref="O36:R36"/>
    <mergeCell ref="U36:X36"/>
    <mergeCell ref="I32:L34"/>
    <mergeCell ref="AA32:AD32"/>
    <mergeCell ref="AG32:AJ32"/>
    <mergeCell ref="AA33:AD33"/>
    <mergeCell ref="AG33:AJ33"/>
    <mergeCell ref="AC29:AD29"/>
    <mergeCell ref="AG29:AH29"/>
    <mergeCell ref="AI29:AJ29"/>
    <mergeCell ref="V31:X31"/>
    <mergeCell ref="AB31:AD31"/>
    <mergeCell ref="AH31:AJ31"/>
    <mergeCell ref="J27:L27"/>
    <mergeCell ref="P27:R27"/>
    <mergeCell ref="V27:X27"/>
    <mergeCell ref="AB27:AD27"/>
    <mergeCell ref="AH27:AJ27"/>
    <mergeCell ref="I29:J29"/>
    <mergeCell ref="K29:L29"/>
    <mergeCell ref="U29:V29"/>
    <mergeCell ref="W29:X29"/>
    <mergeCell ref="AA29:AB29"/>
    <mergeCell ref="J23:L23"/>
    <mergeCell ref="P23:R23"/>
    <mergeCell ref="V23:X23"/>
    <mergeCell ref="AB23:AD23"/>
    <mergeCell ref="AH23:AJ23"/>
    <mergeCell ref="V25:X25"/>
    <mergeCell ref="AB25:AD25"/>
    <mergeCell ref="AH25:AJ25"/>
    <mergeCell ref="X16:X17"/>
    <mergeCell ref="AA16:AC17"/>
    <mergeCell ref="AD16:AD17"/>
    <mergeCell ref="AG16:AI17"/>
    <mergeCell ref="AJ16:AJ17"/>
    <mergeCell ref="I19:K20"/>
    <mergeCell ref="O19:Q20"/>
    <mergeCell ref="U19:W20"/>
    <mergeCell ref="AA19:AC20"/>
    <mergeCell ref="AG19:AI20"/>
    <mergeCell ref="C16:E17"/>
    <mergeCell ref="I16:K17"/>
    <mergeCell ref="L16:L17"/>
    <mergeCell ref="O16:Q17"/>
    <mergeCell ref="R16:R17"/>
    <mergeCell ref="U16:W17"/>
    <mergeCell ref="R5:R6"/>
    <mergeCell ref="U5:U6"/>
    <mergeCell ref="W5:W6"/>
    <mergeCell ref="F16:G17"/>
    <mergeCell ref="AA4:AB4"/>
    <mergeCell ref="AC4:AD4"/>
    <mergeCell ref="AG4:AH4"/>
    <mergeCell ref="AI4:AJ4"/>
    <mergeCell ref="I5:I6"/>
    <mergeCell ref="K5:K6"/>
    <mergeCell ref="L5:L6"/>
    <mergeCell ref="O5:O6"/>
    <mergeCell ref="Q5:Q6"/>
    <mergeCell ref="AD5:AD6"/>
    <mergeCell ref="AG5:AG6"/>
    <mergeCell ref="AI5:AI6"/>
    <mergeCell ref="AJ5:AJ6"/>
    <mergeCell ref="X5:X6"/>
    <mergeCell ref="AA5:AA6"/>
    <mergeCell ref="AC5:AC6"/>
    <mergeCell ref="B4:B6"/>
    <mergeCell ref="C4:C6"/>
    <mergeCell ref="I4:J4"/>
    <mergeCell ref="K4:L4"/>
    <mergeCell ref="O4:P4"/>
    <mergeCell ref="Q4:R4"/>
    <mergeCell ref="U4:V4"/>
    <mergeCell ref="W4:X4"/>
    <mergeCell ref="D4:G4"/>
    <mergeCell ref="D5:G5"/>
    <mergeCell ref="AG1:AJ1"/>
    <mergeCell ref="I2:L2"/>
    <mergeCell ref="O2:R2"/>
    <mergeCell ref="U2:X2"/>
    <mergeCell ref="AA2:AD2"/>
    <mergeCell ref="AG2:AJ2"/>
    <mergeCell ref="B1:D3"/>
    <mergeCell ref="I1:L1"/>
    <mergeCell ref="O1:R1"/>
    <mergeCell ref="U1:X1"/>
    <mergeCell ref="AA1:AD1"/>
    <mergeCell ref="I3:L3"/>
    <mergeCell ref="O3:R3"/>
    <mergeCell ref="U3:X3"/>
    <mergeCell ref="AA3:AD3"/>
    <mergeCell ref="E1:F3"/>
    <mergeCell ref="AG3:AJ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bottomRight" activeCell="H8" sqref="H8"/>
      <selection pane="bottomLeft" activeCell="B12" sqref="B12"/>
      <selection pane="topRight" activeCell="D1" sqref="D1"/>
    </sheetView>
  </sheetViews>
  <sheetFormatPr defaultColWidth="11.42578125" defaultRowHeight="15.75"/>
  <cols>
    <col min="1" max="1" width="5.28515625" style="15" customWidth="1"/>
    <col min="2" max="2" width="8.42578125" style="15" customWidth="1"/>
    <col min="3" max="3" width="43.7109375" style="15" customWidth="1"/>
    <col min="4" max="4" width="20.7109375" style="15" customWidth="1"/>
    <col min="5" max="5" width="29.7109375" style="15" customWidth="1"/>
    <col min="6" max="6" width="3.7109375" style="15" customWidth="1"/>
    <col min="7" max="7" width="17.7109375" style="15" customWidth="1"/>
    <col min="8" max="8" width="18.5703125" style="15" customWidth="1"/>
    <col min="9" max="9" width="16.85546875" style="15" customWidth="1"/>
    <col min="10" max="10" width="23.85546875" style="15" customWidth="1"/>
    <col min="11" max="11" width="19.42578125" style="15" customWidth="1"/>
    <col min="12" max="12" width="3.7109375" style="15" customWidth="1"/>
    <col min="13" max="13" width="19.85546875" style="15" customWidth="1"/>
    <col min="14" max="14" width="17.42578125" style="15" customWidth="1"/>
    <col min="15" max="15" width="16" style="15" customWidth="1"/>
    <col min="16" max="17" width="25.42578125" style="15" customWidth="1"/>
    <col min="18" max="18" width="3.7109375" style="15" hidden="1" customWidth="1"/>
    <col min="19" max="19" width="20.140625" style="15" hidden="1" customWidth="1"/>
    <col min="20" max="20" width="14.42578125" style="15" hidden="1" customWidth="1"/>
    <col min="21" max="21" width="17" style="15" hidden="1" customWidth="1"/>
    <col min="22" max="23" width="22.42578125" style="15" hidden="1" customWidth="1"/>
    <col min="24" max="24" width="2.5703125" style="15" hidden="1" customWidth="1"/>
    <col min="25" max="25" width="24.7109375" style="15" hidden="1" customWidth="1"/>
    <col min="26" max="26" width="14.28515625" style="15" hidden="1" customWidth="1"/>
    <col min="27" max="27" width="18.42578125" style="15" hidden="1" customWidth="1"/>
    <col min="28" max="29" width="23.28515625" style="15" hidden="1" customWidth="1"/>
    <col min="30" max="30" width="11.42578125" style="15" hidden="1" customWidth="1"/>
    <col min="31" max="31" width="24.7109375" style="15" hidden="1" customWidth="1"/>
    <col min="32" max="32" width="17.28515625" style="15" hidden="1" customWidth="1"/>
    <col min="33" max="33" width="18.42578125" style="15" hidden="1" customWidth="1"/>
    <col min="34" max="34" width="23.28515625" style="15" hidden="1" customWidth="1"/>
    <col min="35" max="35" width="17.7109375" style="15" customWidth="1"/>
    <col min="36" max="16384" width="11.42578125" style="15"/>
  </cols>
  <sheetData>
    <row r="1" spans="1:35" s="4" customFormat="1" ht="33" customHeight="1">
      <c r="A1" s="1"/>
      <c r="B1" s="205" t="s">
        <v>115</v>
      </c>
      <c r="C1" s="205"/>
      <c r="D1" s="205"/>
      <c r="E1" s="206" t="s">
        <v>1</v>
      </c>
      <c r="F1" s="2"/>
      <c r="G1" s="208" t="s">
        <v>116</v>
      </c>
      <c r="H1" s="209"/>
      <c r="I1" s="209"/>
      <c r="J1" s="210"/>
      <c r="K1" s="144"/>
      <c r="L1" s="3"/>
      <c r="M1" s="211" t="s">
        <v>117</v>
      </c>
      <c r="N1" s="212"/>
      <c r="O1" s="212"/>
      <c r="P1" s="213"/>
      <c r="Q1" s="145"/>
      <c r="R1" s="3"/>
      <c r="S1" s="214" t="s">
        <v>5</v>
      </c>
      <c r="T1" s="215"/>
      <c r="U1" s="215"/>
      <c r="V1" s="216"/>
      <c r="W1" s="142"/>
      <c r="Y1" s="217" t="s">
        <v>5</v>
      </c>
      <c r="Z1" s="218"/>
      <c r="AA1" s="218"/>
      <c r="AB1" s="219"/>
      <c r="AC1" s="137"/>
      <c r="AE1" s="187" t="s">
        <v>5</v>
      </c>
      <c r="AF1" s="188"/>
      <c r="AG1" s="188"/>
      <c r="AH1" s="189"/>
    </row>
    <row r="2" spans="1:35" s="4" customFormat="1" ht="33" customHeight="1">
      <c r="A2" s="5"/>
      <c r="B2" s="205"/>
      <c r="C2" s="205"/>
      <c r="D2" s="205"/>
      <c r="E2" s="207"/>
      <c r="F2" s="2"/>
      <c r="G2" s="190" t="s">
        <v>102</v>
      </c>
      <c r="H2" s="191"/>
      <c r="I2" s="191"/>
      <c r="J2" s="192"/>
      <c r="K2" s="144"/>
      <c r="L2" s="3"/>
      <c r="M2" s="193" t="s">
        <v>6</v>
      </c>
      <c r="N2" s="194"/>
      <c r="O2" s="194"/>
      <c r="P2" s="195"/>
      <c r="Q2" s="145"/>
      <c r="R2" s="3"/>
      <c r="S2" s="196" t="s">
        <v>6</v>
      </c>
      <c r="T2" s="197"/>
      <c r="U2" s="197"/>
      <c r="V2" s="198"/>
      <c r="W2" s="142"/>
      <c r="Y2" s="199" t="s">
        <v>6</v>
      </c>
      <c r="Z2" s="200"/>
      <c r="AA2" s="200"/>
      <c r="AB2" s="201"/>
      <c r="AC2" s="137"/>
      <c r="AE2" s="202" t="s">
        <v>6</v>
      </c>
      <c r="AF2" s="203"/>
      <c r="AG2" s="203"/>
      <c r="AH2" s="204"/>
    </row>
    <row r="3" spans="1:35" s="4" customFormat="1" ht="33" customHeight="1" thickBot="1">
      <c r="A3" s="5"/>
      <c r="B3" s="205"/>
      <c r="C3" s="205"/>
      <c r="D3" s="205"/>
      <c r="E3" s="207"/>
      <c r="F3" s="2"/>
      <c r="G3" s="220" t="s">
        <v>118</v>
      </c>
      <c r="H3" s="221"/>
      <c r="I3" s="221"/>
      <c r="J3" s="222"/>
      <c r="K3" s="144"/>
      <c r="L3" s="3"/>
      <c r="M3" s="223" t="s">
        <v>119</v>
      </c>
      <c r="N3" s="224"/>
      <c r="O3" s="224"/>
      <c r="P3" s="225"/>
      <c r="Q3" s="145"/>
      <c r="R3" s="3"/>
      <c r="S3" s="226" t="s">
        <v>118</v>
      </c>
      <c r="T3" s="227"/>
      <c r="U3" s="227"/>
      <c r="V3" s="228"/>
      <c r="W3" s="142"/>
      <c r="Y3" s="229" t="s">
        <v>10</v>
      </c>
      <c r="Z3" s="230"/>
      <c r="AA3" s="230"/>
      <c r="AB3" s="231"/>
      <c r="AC3" s="137"/>
      <c r="AE3" s="232" t="s">
        <v>10</v>
      </c>
      <c r="AF3" s="233"/>
      <c r="AG3" s="233"/>
      <c r="AH3" s="234"/>
    </row>
    <row r="4" spans="1:35" s="4" customFormat="1" ht="33" customHeight="1" thickBot="1">
      <c r="A4" s="57"/>
      <c r="B4" s="235" t="s">
        <v>11</v>
      </c>
      <c r="C4" s="238" t="s">
        <v>12</v>
      </c>
      <c r="D4" s="241" t="s">
        <v>13</v>
      </c>
      <c r="E4" s="242"/>
      <c r="F4" s="2"/>
      <c r="G4" s="243" t="s">
        <v>14</v>
      </c>
      <c r="H4" s="244"/>
      <c r="I4" s="244" t="s">
        <v>15</v>
      </c>
      <c r="J4" s="245"/>
      <c r="K4" s="111"/>
      <c r="L4" s="6"/>
      <c r="M4" s="246" t="s">
        <v>14</v>
      </c>
      <c r="N4" s="247"/>
      <c r="O4" s="247" t="s">
        <v>16</v>
      </c>
      <c r="P4" s="248"/>
      <c r="Q4" s="117"/>
      <c r="R4" s="6"/>
      <c r="S4" s="249" t="s">
        <v>14</v>
      </c>
      <c r="T4" s="250"/>
      <c r="U4" s="250" t="s">
        <v>15</v>
      </c>
      <c r="V4" s="251"/>
      <c r="W4" s="121"/>
      <c r="Y4" s="252" t="s">
        <v>14</v>
      </c>
      <c r="Z4" s="253"/>
      <c r="AA4" s="253" t="s">
        <v>16</v>
      </c>
      <c r="AB4" s="254"/>
      <c r="AC4" s="125"/>
      <c r="AE4" s="255" t="s">
        <v>14</v>
      </c>
      <c r="AF4" s="256"/>
      <c r="AG4" s="256" t="s">
        <v>16</v>
      </c>
      <c r="AH4" s="257"/>
    </row>
    <row r="5" spans="1:35" s="4" customFormat="1" ht="45" customHeight="1" thickBot="1">
      <c r="A5" s="58"/>
      <c r="B5" s="236"/>
      <c r="C5" s="239"/>
      <c r="D5" s="258">
        <f ca="1">+TODAY()</f>
        <v>46074</v>
      </c>
      <c r="E5" s="259"/>
      <c r="F5" s="2"/>
      <c r="G5" s="260" t="s">
        <v>17</v>
      </c>
      <c r="H5" s="143" t="s">
        <v>18</v>
      </c>
      <c r="I5" s="262" t="s">
        <v>19</v>
      </c>
      <c r="J5" s="264" t="s">
        <v>20</v>
      </c>
      <c r="K5" s="112"/>
      <c r="L5" s="2"/>
      <c r="M5" s="266" t="s">
        <v>17</v>
      </c>
      <c r="N5" s="77" t="s">
        <v>21</v>
      </c>
      <c r="O5" s="268" t="s">
        <v>19</v>
      </c>
      <c r="P5" s="296" t="s">
        <v>20</v>
      </c>
      <c r="Q5" s="118"/>
      <c r="R5" s="2"/>
      <c r="S5" s="298" t="s">
        <v>17</v>
      </c>
      <c r="T5" s="140" t="s">
        <v>22</v>
      </c>
      <c r="U5" s="300" t="s">
        <v>19</v>
      </c>
      <c r="V5" s="278" t="s">
        <v>20</v>
      </c>
      <c r="W5" s="122"/>
      <c r="Y5" s="280" t="s">
        <v>17</v>
      </c>
      <c r="Z5" s="138" t="s">
        <v>22</v>
      </c>
      <c r="AA5" s="282" t="s">
        <v>19</v>
      </c>
      <c r="AB5" s="270" t="s">
        <v>20</v>
      </c>
      <c r="AC5" s="126"/>
      <c r="AE5" s="272" t="s">
        <v>17</v>
      </c>
      <c r="AF5" s="146" t="s">
        <v>22</v>
      </c>
      <c r="AG5" s="274" t="s">
        <v>19</v>
      </c>
      <c r="AH5" s="276" t="s">
        <v>20</v>
      </c>
    </row>
    <row r="6" spans="1:35" s="4" customFormat="1" ht="30" customHeight="1" thickBot="1">
      <c r="A6" s="59"/>
      <c r="B6" s="237"/>
      <c r="C6" s="240"/>
      <c r="D6" s="141" t="s">
        <v>23</v>
      </c>
      <c r="E6" s="141" t="s">
        <v>24</v>
      </c>
      <c r="F6" s="2"/>
      <c r="G6" s="261"/>
      <c r="H6" s="7">
        <v>0.05</v>
      </c>
      <c r="I6" s="263"/>
      <c r="J6" s="265"/>
      <c r="K6" s="112"/>
      <c r="L6" s="2"/>
      <c r="M6" s="267"/>
      <c r="N6" s="78">
        <v>0.05</v>
      </c>
      <c r="O6" s="269"/>
      <c r="P6" s="297"/>
      <c r="Q6" s="118"/>
      <c r="R6" s="2"/>
      <c r="S6" s="299"/>
      <c r="T6" s="108">
        <v>0.19</v>
      </c>
      <c r="U6" s="301"/>
      <c r="V6" s="279"/>
      <c r="W6" s="122"/>
      <c r="Y6" s="281"/>
      <c r="Z6" s="8">
        <v>0.19</v>
      </c>
      <c r="AA6" s="283"/>
      <c r="AB6" s="271"/>
      <c r="AC6" s="126"/>
      <c r="AE6" s="273"/>
      <c r="AF6" s="92">
        <v>0.19</v>
      </c>
      <c r="AG6" s="275"/>
      <c r="AH6" s="277"/>
    </row>
    <row r="7" spans="1:35" ht="22.15">
      <c r="A7" s="101"/>
      <c r="B7" s="104">
        <v>1</v>
      </c>
      <c r="C7" s="105" t="s">
        <v>120</v>
      </c>
      <c r="D7" s="106" t="s">
        <v>121</v>
      </c>
      <c r="E7" s="9">
        <v>50</v>
      </c>
      <c r="F7" s="107"/>
      <c r="G7" s="65">
        <v>9000</v>
      </c>
      <c r="H7" s="11">
        <f>G7*$H$6</f>
        <v>450</v>
      </c>
      <c r="I7" s="11">
        <f>G7+H7</f>
        <v>9450</v>
      </c>
      <c r="J7" s="72">
        <f>E7*I7</f>
        <v>472500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0</v>
      </c>
      <c r="L7" s="12"/>
      <c r="M7" s="65">
        <v>9259</v>
      </c>
      <c r="N7" s="11">
        <f>M7*$H$6</f>
        <v>462.95000000000005</v>
      </c>
      <c r="O7" s="79">
        <f>M7+N7</f>
        <v>9721.9500000000007</v>
      </c>
      <c r="P7" s="66">
        <f>E7*O7</f>
        <v>486097.50000000006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259</v>
      </c>
      <c r="R7" s="12"/>
      <c r="S7" s="10"/>
      <c r="T7" s="10"/>
      <c r="U7" s="10">
        <f t="shared" ref="U7" si="0">S7+T7</f>
        <v>0</v>
      </c>
      <c r="V7" s="109">
        <f>E7*U7</f>
        <v>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Y7" s="14"/>
      <c r="Z7" s="10">
        <f t="shared" ref="Z7" si="1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>
        <f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spans="1:35" s="100" customFormat="1" ht="22.15">
      <c r="A8" s="96"/>
      <c r="B8" s="97"/>
      <c r="C8" s="103"/>
      <c r="D8" s="99"/>
      <c r="E8" s="16"/>
      <c r="F8" s="17"/>
      <c r="G8" s="65"/>
      <c r="H8" s="11"/>
      <c r="I8" s="11"/>
      <c r="J8" s="72"/>
      <c r="K8" s="113"/>
      <c r="L8" s="17"/>
      <c r="M8" s="65"/>
      <c r="N8" s="11"/>
      <c r="O8" s="79"/>
      <c r="P8" s="66"/>
      <c r="Q8" s="113"/>
      <c r="R8" s="17"/>
      <c r="S8" s="10"/>
      <c r="T8" s="10"/>
      <c r="U8" s="10"/>
      <c r="V8" s="109"/>
      <c r="W8" s="113"/>
      <c r="Y8" s="14"/>
      <c r="Z8" s="10"/>
      <c r="AA8" s="10"/>
      <c r="AB8" s="66"/>
      <c r="AC8" s="113"/>
      <c r="AE8" s="14"/>
      <c r="AF8" s="10"/>
      <c r="AG8" s="10"/>
      <c r="AH8" s="13"/>
      <c r="AI8" s="113"/>
    </row>
    <row r="9" spans="1:35" s="100" customFormat="1" ht="22.15" hidden="1">
      <c r="A9" s="101"/>
      <c r="B9" s="102"/>
      <c r="C9" s="103"/>
      <c r="D9" s="99"/>
      <c r="E9" s="16"/>
      <c r="F9" s="17"/>
      <c r="G9" s="65"/>
      <c r="H9" s="11"/>
      <c r="I9" s="11"/>
      <c r="J9" s="72"/>
      <c r="K9" s="113"/>
      <c r="L9" s="17"/>
      <c r="M9" s="65"/>
      <c r="N9" s="11"/>
      <c r="O9" s="79"/>
      <c r="P9" s="66"/>
      <c r="Q9" s="113"/>
      <c r="R9" s="17"/>
      <c r="S9" s="75"/>
      <c r="T9" s="10"/>
      <c r="U9" s="10"/>
      <c r="V9" s="66"/>
      <c r="W9" s="113"/>
      <c r="Y9" s="14"/>
      <c r="Z9" s="10"/>
      <c r="AA9" s="10"/>
      <c r="AB9" s="66"/>
      <c r="AC9" s="113"/>
      <c r="AE9" s="14"/>
      <c r="AF9" s="10"/>
      <c r="AG9" s="10"/>
      <c r="AH9" s="13"/>
      <c r="AI9" s="113"/>
    </row>
    <row r="10" spans="1:35" s="100" customFormat="1" ht="22.5" hidden="1" thickBot="1">
      <c r="A10" s="96"/>
      <c r="B10" s="97"/>
      <c r="C10" s="98"/>
      <c r="D10" s="99"/>
      <c r="E10" s="16"/>
      <c r="F10" s="17"/>
      <c r="G10" s="65"/>
      <c r="H10" s="11"/>
      <c r="I10" s="11"/>
      <c r="J10" s="72"/>
      <c r="K10" s="113"/>
      <c r="L10" s="17"/>
      <c r="M10" s="65"/>
      <c r="N10" s="11"/>
      <c r="O10" s="79"/>
      <c r="P10" s="66"/>
      <c r="Q10" s="113"/>
      <c r="R10" s="17"/>
      <c r="S10" s="75"/>
      <c r="T10" s="10"/>
      <c r="U10" s="10"/>
      <c r="V10" s="66"/>
      <c r="W10" s="113"/>
      <c r="Y10" s="14"/>
      <c r="Z10" s="10"/>
      <c r="AA10" s="10"/>
      <c r="AB10" s="66"/>
      <c r="AC10" s="113"/>
      <c r="AE10" s="14"/>
      <c r="AF10" s="10"/>
      <c r="AG10" s="10"/>
      <c r="AH10" s="13"/>
      <c r="AI10" s="113"/>
    </row>
    <row r="11" spans="1:35" s="100" customFormat="1" ht="22.15" hidden="1">
      <c r="A11" s="101"/>
      <c r="B11" s="102"/>
      <c r="C11" s="98"/>
      <c r="D11" s="99"/>
      <c r="E11" s="16"/>
      <c r="F11" s="17"/>
      <c r="G11" s="67"/>
      <c r="H11" s="11"/>
      <c r="I11" s="11"/>
      <c r="J11" s="72"/>
      <c r="K11" s="113"/>
      <c r="L11" s="17"/>
      <c r="M11" s="65"/>
      <c r="N11" s="11"/>
      <c r="O11" s="79"/>
      <c r="P11" s="66"/>
      <c r="Q11" s="113"/>
      <c r="R11" s="17"/>
      <c r="S11" s="75"/>
      <c r="T11" s="10"/>
      <c r="U11" s="10"/>
      <c r="V11" s="66"/>
      <c r="W11" s="113"/>
      <c r="Y11" s="14"/>
      <c r="Z11" s="10"/>
      <c r="AA11" s="10"/>
      <c r="AB11" s="66"/>
      <c r="AC11" s="113"/>
      <c r="AE11" s="14"/>
      <c r="AF11" s="10"/>
      <c r="AG11" s="10"/>
      <c r="AH11" s="13"/>
      <c r="AI11" s="113"/>
    </row>
    <row r="12" spans="1:35" ht="22.5" thickBot="1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>
      <c r="A14" s="61"/>
      <c r="B14" s="27"/>
      <c r="C14" s="284" t="s">
        <v>30</v>
      </c>
      <c r="D14" s="285"/>
      <c r="E14" s="286"/>
      <c r="F14" s="31"/>
      <c r="G14" s="290"/>
      <c r="H14" s="291"/>
      <c r="I14" s="291"/>
      <c r="J14" s="294">
        <f>SUM(J7:J12)</f>
        <v>472500</v>
      </c>
      <c r="K14" s="114"/>
      <c r="L14" s="32"/>
      <c r="M14" s="290"/>
      <c r="N14" s="291"/>
      <c r="O14" s="291"/>
      <c r="P14" s="294">
        <f>SUM(P7:P12)</f>
        <v>486097.50000000006</v>
      </c>
      <c r="Q14" s="114"/>
      <c r="R14" s="32"/>
      <c r="S14" s="290"/>
      <c r="T14" s="291"/>
      <c r="U14" s="291"/>
      <c r="V14" s="294">
        <f>SUM(V7:V12)</f>
        <v>0</v>
      </c>
      <c r="W14" s="114"/>
      <c r="Y14" s="290"/>
      <c r="Z14" s="291"/>
      <c r="AA14" s="291"/>
      <c r="AB14" s="306">
        <f>SUM(AB7:AB13)</f>
        <v>0</v>
      </c>
      <c r="AC14" s="127"/>
      <c r="AE14" s="290"/>
      <c r="AF14" s="291"/>
      <c r="AG14" s="291"/>
      <c r="AH14" s="308">
        <f>SUM(AH7:AH13)</f>
        <v>0</v>
      </c>
    </row>
    <row r="15" spans="1:35" s="4" customFormat="1" ht="25.9" thickBot="1">
      <c r="A15" s="62"/>
      <c r="B15" s="27"/>
      <c r="C15" s="287"/>
      <c r="D15" s="288"/>
      <c r="E15" s="289"/>
      <c r="F15" s="31"/>
      <c r="G15" s="292"/>
      <c r="H15" s="293"/>
      <c r="I15" s="293"/>
      <c r="J15" s="295"/>
      <c r="K15" s="114"/>
      <c r="L15" s="32"/>
      <c r="M15" s="292"/>
      <c r="N15" s="293"/>
      <c r="O15" s="293"/>
      <c r="P15" s="295"/>
      <c r="Q15" s="114"/>
      <c r="R15" s="32"/>
      <c r="S15" s="292"/>
      <c r="T15" s="293"/>
      <c r="U15" s="293"/>
      <c r="V15" s="295"/>
      <c r="W15" s="114"/>
      <c r="Y15" s="292"/>
      <c r="Z15" s="293"/>
      <c r="AA15" s="293"/>
      <c r="AB15" s="307"/>
      <c r="AC15" s="127"/>
      <c r="AE15" s="292"/>
      <c r="AF15" s="293"/>
      <c r="AG15" s="293"/>
      <c r="AH15" s="309"/>
    </row>
    <row r="16" spans="1:35" s="4" customFormat="1" ht="8.25" customHeight="1" thickBot="1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>
      <c r="A17" s="87"/>
      <c r="B17" s="88" t="s">
        <v>31</v>
      </c>
      <c r="C17" s="88"/>
      <c r="D17" s="88"/>
      <c r="E17" s="89"/>
      <c r="F17" s="36"/>
      <c r="G17" s="310"/>
      <c r="H17" s="311"/>
      <c r="I17" s="311"/>
      <c r="J17" s="37">
        <f>+J14-MIN($J$14,$P$14)</f>
        <v>0</v>
      </c>
      <c r="K17" s="115"/>
      <c r="L17" s="38"/>
      <c r="M17" s="310"/>
      <c r="N17" s="311"/>
      <c r="O17" s="311"/>
      <c r="P17" s="39">
        <f>+P14-MIN($J$14,$P$14)</f>
        <v>13597.500000000058</v>
      </c>
      <c r="Q17" s="119"/>
      <c r="R17" s="38"/>
      <c r="S17" s="310"/>
      <c r="T17" s="311"/>
      <c r="U17" s="311"/>
      <c r="V17" s="40">
        <f>+V14-MIN($J$14,$P$14,$V$14)</f>
        <v>0</v>
      </c>
      <c r="W17" s="123"/>
      <c r="Y17" s="310"/>
      <c r="Z17" s="311"/>
      <c r="AA17" s="311"/>
      <c r="AB17" s="41">
        <f>+AB14-MIN($J$14,$P$14,$V$14)</f>
        <v>0</v>
      </c>
      <c r="AC17" s="128"/>
      <c r="AE17" s="310"/>
      <c r="AF17" s="311"/>
      <c r="AG17" s="311"/>
      <c r="AH17" s="93">
        <f>+AH14-MIN($J$14,$P$14,$V$14)</f>
        <v>0</v>
      </c>
    </row>
    <row r="18" spans="1:34" s="4" customFormat="1" ht="22.5" thickBot="1">
      <c r="A18" s="84"/>
      <c r="B18" s="85" t="s">
        <v>32</v>
      </c>
      <c r="C18" s="85"/>
      <c r="D18" s="85"/>
      <c r="E18" s="86"/>
      <c r="F18" s="36"/>
      <c r="G18" s="312"/>
      <c r="H18" s="313"/>
      <c r="I18" s="313"/>
      <c r="J18" s="42">
        <f>+J17/MIN($J$14,$P$14)</f>
        <v>0</v>
      </c>
      <c r="K18" s="116"/>
      <c r="L18" s="43"/>
      <c r="M18" s="312"/>
      <c r="N18" s="313"/>
      <c r="O18" s="313"/>
      <c r="P18" s="44">
        <f>+P17/MIN($J$14,$P$14)</f>
        <v>2.8777777777777902E-2</v>
      </c>
      <c r="Q18" s="120"/>
      <c r="R18" s="43"/>
      <c r="S18" s="312"/>
      <c r="T18" s="313"/>
      <c r="U18" s="313"/>
      <c r="V18" s="130" t="e">
        <f>+V17/MIN($J$14,$V$14)</f>
        <v>#DIV/0!</v>
      </c>
      <c r="W18" s="124"/>
      <c r="Y18" s="312"/>
      <c r="Z18" s="313"/>
      <c r="AA18" s="313"/>
      <c r="AB18" s="45" t="e">
        <f>+AB17/MIN($J$14,$P$14,$V$14)</f>
        <v>#DIV/0!</v>
      </c>
      <c r="AC18" s="129"/>
      <c r="AE18" s="312"/>
      <c r="AF18" s="313"/>
      <c r="AG18" s="313"/>
      <c r="AH18" s="94" t="e">
        <f>+AH17/MIN($J$14,$P$14,$V$14)</f>
        <v>#DIV/0!</v>
      </c>
    </row>
    <row r="19" spans="1:34" s="4" customFormat="1" ht="7.5" customHeight="1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>
      <c r="A21" s="80"/>
      <c r="B21" s="82"/>
      <c r="C21" s="82"/>
      <c r="D21" s="82"/>
      <c r="E21" s="82"/>
      <c r="F21" s="50"/>
      <c r="G21" s="60" t="s">
        <v>33</v>
      </c>
      <c r="H21" s="302" t="s">
        <v>35</v>
      </c>
      <c r="I21" s="302"/>
      <c r="J21" s="303"/>
      <c r="K21" s="133"/>
      <c r="L21" s="133"/>
      <c r="M21" s="60" t="s">
        <v>33</v>
      </c>
      <c r="N21" s="302" t="s">
        <v>35</v>
      </c>
      <c r="O21" s="302"/>
      <c r="P21" s="303"/>
      <c r="Q21" s="133"/>
      <c r="R21" s="133"/>
      <c r="S21" s="60" t="s">
        <v>33</v>
      </c>
      <c r="T21" s="302" t="s">
        <v>35</v>
      </c>
      <c r="U21" s="302"/>
      <c r="V21" s="303"/>
      <c r="W21" s="133"/>
      <c r="Y21" s="60" t="s">
        <v>33</v>
      </c>
      <c r="Z21" s="302" t="s">
        <v>35</v>
      </c>
      <c r="AA21" s="302"/>
      <c r="AB21" s="303"/>
      <c r="AC21" s="133"/>
      <c r="AE21" s="60" t="s">
        <v>33</v>
      </c>
      <c r="AF21" s="302" t="s">
        <v>35</v>
      </c>
      <c r="AG21" s="302"/>
      <c r="AH21" s="303"/>
    </row>
    <row r="22" spans="1:34" ht="15" customHeight="1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304"/>
      <c r="U23" s="304"/>
      <c r="V23" s="305"/>
      <c r="W23" s="139"/>
      <c r="Y23" s="131" t="s">
        <v>36</v>
      </c>
      <c r="Z23" s="304"/>
      <c r="AA23" s="304"/>
      <c r="AB23" s="305"/>
      <c r="AC23" s="139"/>
      <c r="AE23" s="131" t="s">
        <v>36</v>
      </c>
      <c r="AF23" s="304"/>
      <c r="AG23" s="304"/>
      <c r="AH23" s="305"/>
    </row>
    <row r="24" spans="1:34" ht="15" customHeight="1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>
      <c r="A25" s="81"/>
      <c r="B25" s="82"/>
      <c r="C25" s="95" t="s">
        <v>37</v>
      </c>
      <c r="D25" s="82"/>
      <c r="E25" s="82"/>
      <c r="F25" s="50"/>
      <c r="G25" s="131" t="s">
        <v>38</v>
      </c>
      <c r="H25" s="314"/>
      <c r="I25" s="314"/>
      <c r="J25" s="315"/>
      <c r="K25" s="133"/>
      <c r="L25" s="133"/>
      <c r="M25" s="131" t="s">
        <v>38</v>
      </c>
      <c r="N25" s="314"/>
      <c r="O25" s="314"/>
      <c r="P25" s="315"/>
      <c r="Q25" s="133"/>
      <c r="R25" s="133"/>
      <c r="S25" s="131" t="s">
        <v>38</v>
      </c>
      <c r="T25" s="314"/>
      <c r="U25" s="314"/>
      <c r="V25" s="315"/>
      <c r="W25" s="133"/>
      <c r="Y25" s="131" t="s">
        <v>38</v>
      </c>
      <c r="Z25" s="314"/>
      <c r="AA25" s="314"/>
      <c r="AB25" s="315"/>
      <c r="AC25" s="133"/>
      <c r="AE25" s="131" t="s">
        <v>38</v>
      </c>
      <c r="AF25" s="314"/>
      <c r="AG25" s="314"/>
      <c r="AH25" s="315"/>
    </row>
    <row r="26" spans="1:34" ht="15" customHeight="1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>
      <c r="A27" s="81"/>
      <c r="B27" s="82"/>
      <c r="C27" s="82" t="s">
        <v>40</v>
      </c>
      <c r="D27" s="82"/>
      <c r="E27" s="82"/>
      <c r="F27" s="50"/>
      <c r="G27" s="316" t="s">
        <v>41</v>
      </c>
      <c r="H27" s="317"/>
      <c r="I27" s="314"/>
      <c r="J27" s="315"/>
      <c r="K27" s="133"/>
      <c r="L27" s="133"/>
      <c r="M27" s="51" t="s">
        <v>41</v>
      </c>
      <c r="N27" s="52"/>
      <c r="O27" s="52"/>
      <c r="P27" s="55"/>
      <c r="Q27" s="52"/>
      <c r="R27" s="133"/>
      <c r="S27" s="316" t="s">
        <v>41</v>
      </c>
      <c r="T27" s="317"/>
      <c r="U27" s="314"/>
      <c r="V27" s="315"/>
      <c r="W27" s="133"/>
      <c r="Y27" s="316" t="s">
        <v>41</v>
      </c>
      <c r="Z27" s="317"/>
      <c r="AA27" s="314"/>
      <c r="AB27" s="315"/>
      <c r="AC27" s="133"/>
      <c r="AE27" s="316" t="s">
        <v>41</v>
      </c>
      <c r="AF27" s="317"/>
      <c r="AG27" s="314"/>
      <c r="AH27" s="315"/>
    </row>
    <row r="28" spans="1:34" ht="15" customHeight="1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18"/>
      <c r="U29" s="318"/>
      <c r="V29" s="319"/>
      <c r="W29" s="135"/>
      <c r="Y29" s="131" t="s">
        <v>44</v>
      </c>
      <c r="Z29" s="318"/>
      <c r="AA29" s="318"/>
      <c r="AB29" s="319"/>
      <c r="AC29" s="135"/>
      <c r="AE29" s="131" t="s">
        <v>44</v>
      </c>
      <c r="AF29" s="318"/>
      <c r="AG29" s="318"/>
      <c r="AH29" s="319"/>
    </row>
    <row r="30" spans="1:34" ht="15" customHeight="1">
      <c r="A30" s="81"/>
      <c r="B30" s="82"/>
      <c r="C30" s="82" t="s">
        <v>45</v>
      </c>
      <c r="D30" s="82"/>
      <c r="E30" s="82"/>
      <c r="F30" s="50"/>
      <c r="G30" s="324"/>
      <c r="H30" s="325"/>
      <c r="I30" s="325"/>
      <c r="J30" s="326"/>
      <c r="K30" s="135"/>
      <c r="L30" s="135"/>
      <c r="M30" s="331"/>
      <c r="N30" s="332"/>
      <c r="O30" s="332"/>
      <c r="P30" s="333"/>
      <c r="Q30" s="136"/>
      <c r="R30" s="135"/>
      <c r="S30" s="331"/>
      <c r="T30" s="332"/>
      <c r="U30" s="332"/>
      <c r="V30" s="333"/>
      <c r="W30" s="136"/>
      <c r="Y30" s="331" t="s">
        <v>49</v>
      </c>
      <c r="Z30" s="332"/>
      <c r="AA30" s="332"/>
      <c r="AB30" s="333"/>
      <c r="AC30" s="136"/>
      <c r="AE30" s="334" t="s">
        <v>50</v>
      </c>
      <c r="AF30" s="335"/>
      <c r="AG30" s="335"/>
      <c r="AH30" s="336"/>
    </row>
    <row r="31" spans="1:34" ht="15" customHeight="1">
      <c r="A31" s="81"/>
      <c r="B31" s="82"/>
      <c r="C31" s="82" t="s">
        <v>51</v>
      </c>
      <c r="D31" s="82"/>
      <c r="E31" s="82"/>
      <c r="F31" s="50"/>
      <c r="G31" s="324"/>
      <c r="H31" s="325"/>
      <c r="I31" s="325"/>
      <c r="J31" s="326"/>
      <c r="K31" s="135"/>
      <c r="L31" s="135"/>
      <c r="M31" s="331"/>
      <c r="N31" s="332"/>
      <c r="O31" s="332"/>
      <c r="P31" s="333"/>
      <c r="Q31" s="136"/>
      <c r="R31" s="135"/>
      <c r="S31" s="323"/>
      <c r="T31" s="318"/>
      <c r="U31" s="318"/>
      <c r="V31" s="319"/>
      <c r="W31" s="135"/>
      <c r="Y31" s="323"/>
      <c r="Z31" s="318"/>
      <c r="AA31" s="318"/>
      <c r="AB31" s="319"/>
      <c r="AC31" s="135"/>
      <c r="AE31" s="323"/>
      <c r="AF31" s="318"/>
      <c r="AG31" s="318"/>
      <c r="AH31" s="319"/>
    </row>
    <row r="32" spans="1:34" ht="15" customHeight="1">
      <c r="A32" s="81"/>
      <c r="B32" s="82"/>
      <c r="C32" s="82"/>
      <c r="D32" s="82"/>
      <c r="E32" s="82"/>
      <c r="F32" s="50"/>
      <c r="G32" s="324"/>
      <c r="H32" s="325"/>
      <c r="I32" s="325"/>
      <c r="J32" s="326"/>
      <c r="K32" s="135"/>
      <c r="L32" s="135"/>
      <c r="M32" s="331"/>
      <c r="N32" s="332"/>
      <c r="O32" s="332"/>
      <c r="P32" s="333"/>
      <c r="Q32" s="136"/>
      <c r="R32" s="135"/>
      <c r="S32" s="323"/>
      <c r="T32" s="318"/>
      <c r="U32" s="318"/>
      <c r="V32" s="319"/>
      <c r="W32" s="135"/>
      <c r="Y32" s="323"/>
      <c r="Z32" s="318"/>
      <c r="AA32" s="318"/>
      <c r="AB32" s="319"/>
      <c r="AC32" s="135"/>
      <c r="AE32" s="323"/>
      <c r="AF32" s="318"/>
      <c r="AG32" s="318"/>
      <c r="AH32" s="319"/>
    </row>
    <row r="33" spans="1:34" ht="15" customHeight="1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14" t="s">
        <v>53</v>
      </c>
      <c r="AA33" s="314"/>
      <c r="AB33" s="315"/>
      <c r="AC33" s="133"/>
      <c r="AE33" s="131" t="s">
        <v>52</v>
      </c>
      <c r="AF33" s="314" t="s">
        <v>53</v>
      </c>
      <c r="AG33" s="314"/>
      <c r="AH33" s="315"/>
    </row>
    <row r="34" spans="1:34" ht="15" customHeight="1" thickBot="1">
      <c r="A34" s="83"/>
      <c r="B34" s="82"/>
      <c r="C34" s="82"/>
      <c r="D34" s="82"/>
      <c r="E34" s="82"/>
      <c r="F34" s="50"/>
      <c r="G34" s="320"/>
      <c r="H34" s="321"/>
      <c r="I34" s="321"/>
      <c r="J34" s="322"/>
      <c r="K34" s="56"/>
      <c r="L34" s="56"/>
      <c r="M34" s="320"/>
      <c r="N34" s="321"/>
      <c r="O34" s="321"/>
      <c r="P34" s="322"/>
      <c r="Q34" s="56"/>
      <c r="R34" s="56"/>
      <c r="S34" s="320"/>
      <c r="T34" s="321"/>
      <c r="U34" s="321"/>
      <c r="V34" s="322"/>
      <c r="W34" s="56"/>
      <c r="Y34" s="320"/>
      <c r="Z34" s="321"/>
      <c r="AA34" s="321"/>
      <c r="AB34" s="322"/>
      <c r="AC34" s="56"/>
      <c r="AE34" s="320"/>
      <c r="AF34" s="321"/>
      <c r="AG34" s="321"/>
      <c r="AH34" s="322"/>
    </row>
    <row r="35" spans="1:34" ht="18.75">
      <c r="A35" s="80"/>
      <c r="B35" s="82"/>
      <c r="F35" s="50"/>
    </row>
    <row r="36" spans="1:34" ht="18.75">
      <c r="A36" s="81"/>
      <c r="B36" s="82"/>
      <c r="F36" s="50"/>
    </row>
  </sheetData>
  <mergeCells count="106">
    <mergeCell ref="S32:V32"/>
    <mergeCell ref="Y32:AB32"/>
    <mergeCell ref="AE32:AH32"/>
    <mergeCell ref="Z33:AB33"/>
    <mergeCell ref="AF33:AH33"/>
    <mergeCell ref="G34:J34"/>
    <mergeCell ref="M34:P34"/>
    <mergeCell ref="S34:V34"/>
    <mergeCell ref="Y34:AB34"/>
    <mergeCell ref="AE34:AH34"/>
    <mergeCell ref="G30:J32"/>
    <mergeCell ref="M30:P30"/>
    <mergeCell ref="S30:V30"/>
    <mergeCell ref="Y30:AB30"/>
    <mergeCell ref="AE30:AH30"/>
    <mergeCell ref="M31:P31"/>
    <mergeCell ref="S31:V31"/>
    <mergeCell ref="Y31:AB31"/>
    <mergeCell ref="AE31:AH31"/>
    <mergeCell ref="M32:P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bottomRight" activeCell="D6" sqref="D6"/>
      <selection pane="bottomLeft" activeCell="B12" sqref="B12"/>
      <selection pane="topRight" activeCell="D1" sqref="D1"/>
    </sheetView>
  </sheetViews>
  <sheetFormatPr defaultColWidth="11.42578125" defaultRowHeight="15.75"/>
  <cols>
    <col min="1" max="1" width="5.28515625" style="15" customWidth="1"/>
    <col min="2" max="2" width="8.42578125" style="15" customWidth="1"/>
    <col min="3" max="3" width="43.7109375" style="15" customWidth="1"/>
    <col min="4" max="4" width="20.7109375" style="15" customWidth="1"/>
    <col min="5" max="5" width="29.7109375" style="15" customWidth="1"/>
    <col min="6" max="6" width="3.7109375" style="15" customWidth="1"/>
    <col min="7" max="7" width="17.7109375" style="15" customWidth="1"/>
    <col min="8" max="8" width="18.5703125" style="15" customWidth="1"/>
    <col min="9" max="9" width="16.85546875" style="15" customWidth="1"/>
    <col min="10" max="10" width="23.85546875" style="15" customWidth="1"/>
    <col min="11" max="11" width="19.42578125" style="15" customWidth="1"/>
    <col min="12" max="12" width="3.7109375" style="15" customWidth="1"/>
    <col min="13" max="13" width="19.85546875" style="15" customWidth="1"/>
    <col min="14" max="14" width="17.42578125" style="15" customWidth="1"/>
    <col min="15" max="15" width="16" style="15" customWidth="1"/>
    <col min="16" max="17" width="25.42578125" style="15" customWidth="1"/>
    <col min="18" max="18" width="3.7109375" style="15" customWidth="1"/>
    <col min="19" max="19" width="20.140625" style="15" customWidth="1"/>
    <col min="20" max="20" width="14.42578125" style="15" customWidth="1"/>
    <col min="21" max="21" width="17" style="15" customWidth="1"/>
    <col min="22" max="22" width="22.42578125" style="15" bestFit="1" customWidth="1"/>
    <col min="23" max="23" width="22.42578125" style="15" customWidth="1"/>
    <col min="24" max="24" width="2.5703125" style="15" hidden="1" customWidth="1"/>
    <col min="25" max="25" width="24.7109375" style="15" hidden="1" customWidth="1"/>
    <col min="26" max="26" width="14.28515625" style="15" hidden="1" customWidth="1"/>
    <col min="27" max="27" width="18.42578125" style="15" hidden="1" customWidth="1"/>
    <col min="28" max="29" width="23.28515625" style="15" hidden="1" customWidth="1"/>
    <col min="30" max="30" width="11.42578125" style="15" hidden="1" customWidth="1"/>
    <col min="31" max="31" width="24.7109375" style="15" hidden="1" customWidth="1"/>
    <col min="32" max="32" width="17.28515625" style="15" hidden="1" customWidth="1"/>
    <col min="33" max="33" width="18.42578125" style="15" hidden="1" customWidth="1"/>
    <col min="34" max="34" width="23.28515625" style="15" hidden="1" customWidth="1"/>
    <col min="35" max="35" width="17.7109375" style="15" customWidth="1"/>
    <col min="36" max="16384" width="11.42578125" style="15"/>
  </cols>
  <sheetData>
    <row r="1" spans="1:35" s="4" customFormat="1" ht="33" customHeight="1">
      <c r="A1" s="1"/>
      <c r="B1" s="205" t="s">
        <v>122</v>
      </c>
      <c r="C1" s="205"/>
      <c r="D1" s="205"/>
      <c r="E1" s="206" t="s">
        <v>1</v>
      </c>
      <c r="F1" s="2"/>
      <c r="G1" s="208" t="s">
        <v>123</v>
      </c>
      <c r="H1" s="209"/>
      <c r="I1" s="209"/>
      <c r="J1" s="210"/>
      <c r="K1" s="144"/>
      <c r="L1" s="3"/>
      <c r="M1" s="211" t="s">
        <v>124</v>
      </c>
      <c r="N1" s="212"/>
      <c r="O1" s="212"/>
      <c r="P1" s="213"/>
      <c r="Q1" s="145"/>
      <c r="R1" s="3"/>
      <c r="S1" s="214" t="s">
        <v>125</v>
      </c>
      <c r="T1" s="215"/>
      <c r="U1" s="215"/>
      <c r="V1" s="216"/>
      <c r="W1" s="142"/>
      <c r="Y1" s="217" t="s">
        <v>5</v>
      </c>
      <c r="Z1" s="218"/>
      <c r="AA1" s="218"/>
      <c r="AB1" s="219"/>
      <c r="AC1" s="137"/>
      <c r="AE1" s="187" t="s">
        <v>5</v>
      </c>
      <c r="AF1" s="188"/>
      <c r="AG1" s="188"/>
      <c r="AH1" s="189"/>
    </row>
    <row r="2" spans="1:35" s="4" customFormat="1" ht="33" customHeight="1">
      <c r="A2" s="5"/>
      <c r="B2" s="205"/>
      <c r="C2" s="205"/>
      <c r="D2" s="205"/>
      <c r="E2" s="207"/>
      <c r="F2" s="2"/>
      <c r="G2" s="190" t="s">
        <v>6</v>
      </c>
      <c r="H2" s="191"/>
      <c r="I2" s="191"/>
      <c r="J2" s="192"/>
      <c r="K2" s="144"/>
      <c r="L2" s="3"/>
      <c r="M2" s="193" t="s">
        <v>6</v>
      </c>
      <c r="N2" s="194"/>
      <c r="O2" s="194"/>
      <c r="P2" s="195"/>
      <c r="Q2" s="145"/>
      <c r="R2" s="3"/>
      <c r="S2" s="196" t="s">
        <v>6</v>
      </c>
      <c r="T2" s="197"/>
      <c r="U2" s="197"/>
      <c r="V2" s="198"/>
      <c r="W2" s="142"/>
      <c r="Y2" s="199" t="s">
        <v>6</v>
      </c>
      <c r="Z2" s="200"/>
      <c r="AA2" s="200"/>
      <c r="AB2" s="201"/>
      <c r="AC2" s="137"/>
      <c r="AE2" s="202" t="s">
        <v>6</v>
      </c>
      <c r="AF2" s="203"/>
      <c r="AG2" s="203"/>
      <c r="AH2" s="204"/>
    </row>
    <row r="3" spans="1:35" s="4" customFormat="1" ht="33" customHeight="1" thickBot="1">
      <c r="A3" s="5"/>
      <c r="B3" s="205"/>
      <c r="C3" s="205"/>
      <c r="D3" s="205"/>
      <c r="E3" s="207"/>
      <c r="F3" s="2"/>
      <c r="G3" s="220" t="s">
        <v>118</v>
      </c>
      <c r="H3" s="221"/>
      <c r="I3" s="221"/>
      <c r="J3" s="222"/>
      <c r="K3" s="144"/>
      <c r="L3" s="3"/>
      <c r="M3" s="223" t="s">
        <v>119</v>
      </c>
      <c r="N3" s="224"/>
      <c r="O3" s="224"/>
      <c r="P3" s="225"/>
      <c r="Q3" s="145"/>
      <c r="R3" s="3"/>
      <c r="S3" s="226" t="s">
        <v>118</v>
      </c>
      <c r="T3" s="227"/>
      <c r="U3" s="227"/>
      <c r="V3" s="228"/>
      <c r="W3" s="142"/>
      <c r="Y3" s="229" t="s">
        <v>10</v>
      </c>
      <c r="Z3" s="230"/>
      <c r="AA3" s="230"/>
      <c r="AB3" s="231"/>
      <c r="AC3" s="137"/>
      <c r="AE3" s="232" t="s">
        <v>10</v>
      </c>
      <c r="AF3" s="233"/>
      <c r="AG3" s="233"/>
      <c r="AH3" s="234"/>
    </row>
    <row r="4" spans="1:35" s="4" customFormat="1" ht="33" customHeight="1" thickBot="1">
      <c r="A4" s="57"/>
      <c r="B4" s="235" t="s">
        <v>11</v>
      </c>
      <c r="C4" s="238" t="s">
        <v>12</v>
      </c>
      <c r="D4" s="241" t="s">
        <v>13</v>
      </c>
      <c r="E4" s="242"/>
      <c r="F4" s="2"/>
      <c r="G4" s="243" t="s">
        <v>14</v>
      </c>
      <c r="H4" s="244"/>
      <c r="I4" s="244" t="s">
        <v>15</v>
      </c>
      <c r="J4" s="245"/>
      <c r="K4" s="111"/>
      <c r="L4" s="6"/>
      <c r="M4" s="246" t="s">
        <v>14</v>
      </c>
      <c r="N4" s="247"/>
      <c r="O4" s="247" t="s">
        <v>16</v>
      </c>
      <c r="P4" s="248"/>
      <c r="Q4" s="117"/>
      <c r="R4" s="6"/>
      <c r="S4" s="249" t="s">
        <v>14</v>
      </c>
      <c r="T4" s="250"/>
      <c r="U4" s="250" t="s">
        <v>15</v>
      </c>
      <c r="V4" s="251"/>
      <c r="W4" s="121"/>
      <c r="Y4" s="252" t="s">
        <v>14</v>
      </c>
      <c r="Z4" s="253"/>
      <c r="AA4" s="253" t="s">
        <v>16</v>
      </c>
      <c r="AB4" s="254"/>
      <c r="AC4" s="125"/>
      <c r="AE4" s="255" t="s">
        <v>14</v>
      </c>
      <c r="AF4" s="256"/>
      <c r="AG4" s="256" t="s">
        <v>16</v>
      </c>
      <c r="AH4" s="257"/>
    </row>
    <row r="5" spans="1:35" s="4" customFormat="1" ht="45" customHeight="1" thickBot="1">
      <c r="A5" s="58"/>
      <c r="B5" s="236"/>
      <c r="C5" s="239"/>
      <c r="D5" s="258">
        <f ca="1">+TODAY()</f>
        <v>46074</v>
      </c>
      <c r="E5" s="259"/>
      <c r="F5" s="2"/>
      <c r="G5" s="260" t="s">
        <v>17</v>
      </c>
      <c r="H5" s="143" t="s">
        <v>18</v>
      </c>
      <c r="I5" s="262" t="s">
        <v>19</v>
      </c>
      <c r="J5" s="264" t="s">
        <v>20</v>
      </c>
      <c r="K5" s="112"/>
      <c r="L5" s="2"/>
      <c r="M5" s="266" t="s">
        <v>17</v>
      </c>
      <c r="N5" s="77" t="s">
        <v>21</v>
      </c>
      <c r="O5" s="268" t="s">
        <v>19</v>
      </c>
      <c r="P5" s="296" t="s">
        <v>20</v>
      </c>
      <c r="Q5" s="118"/>
      <c r="R5" s="2"/>
      <c r="S5" s="298" t="s">
        <v>17</v>
      </c>
      <c r="T5" s="140" t="s">
        <v>22</v>
      </c>
      <c r="U5" s="300" t="s">
        <v>19</v>
      </c>
      <c r="V5" s="278" t="s">
        <v>20</v>
      </c>
      <c r="W5" s="122"/>
      <c r="Y5" s="280" t="s">
        <v>17</v>
      </c>
      <c r="Z5" s="138" t="s">
        <v>22</v>
      </c>
      <c r="AA5" s="282" t="s">
        <v>19</v>
      </c>
      <c r="AB5" s="270" t="s">
        <v>20</v>
      </c>
      <c r="AC5" s="126"/>
      <c r="AE5" s="272" t="s">
        <v>17</v>
      </c>
      <c r="AF5" s="146" t="s">
        <v>22</v>
      </c>
      <c r="AG5" s="274" t="s">
        <v>19</v>
      </c>
      <c r="AH5" s="276" t="s">
        <v>20</v>
      </c>
    </row>
    <row r="6" spans="1:35" s="4" customFormat="1" ht="30" customHeight="1" thickBot="1">
      <c r="A6" s="59"/>
      <c r="B6" s="237"/>
      <c r="C6" s="240"/>
      <c r="D6" s="141" t="s">
        <v>23</v>
      </c>
      <c r="E6" s="141" t="s">
        <v>24</v>
      </c>
      <c r="F6" s="2"/>
      <c r="G6" s="261"/>
      <c r="H6" s="7">
        <v>0.19</v>
      </c>
      <c r="I6" s="263"/>
      <c r="J6" s="265"/>
      <c r="K6" s="112"/>
      <c r="L6" s="2"/>
      <c r="M6" s="267"/>
      <c r="N6" s="78">
        <v>0.19</v>
      </c>
      <c r="O6" s="269"/>
      <c r="P6" s="297"/>
      <c r="Q6" s="118"/>
      <c r="R6" s="2"/>
      <c r="S6" s="299"/>
      <c r="T6" s="108">
        <v>0.19</v>
      </c>
      <c r="U6" s="301"/>
      <c r="V6" s="279"/>
      <c r="W6" s="122"/>
      <c r="Y6" s="281"/>
      <c r="Z6" s="8">
        <v>0.19</v>
      </c>
      <c r="AA6" s="283"/>
      <c r="AB6" s="271"/>
      <c r="AC6" s="126"/>
      <c r="AE6" s="273"/>
      <c r="AF6" s="92">
        <v>0.19</v>
      </c>
      <c r="AG6" s="275"/>
      <c r="AH6" s="277"/>
    </row>
    <row r="7" spans="1:35" ht="22.15">
      <c r="A7" s="101"/>
      <c r="B7" s="104">
        <v>1</v>
      </c>
      <c r="C7" s="105" t="s">
        <v>126</v>
      </c>
      <c r="D7" s="106" t="s">
        <v>127</v>
      </c>
      <c r="E7" s="9">
        <v>100</v>
      </c>
      <c r="F7" s="107"/>
      <c r="G7" s="65">
        <v>2475</v>
      </c>
      <c r="H7" s="11">
        <f>G7*$H$6</f>
        <v>470.25</v>
      </c>
      <c r="I7" s="11">
        <f>G7+H7</f>
        <v>2945.25</v>
      </c>
      <c r="J7" s="72">
        <f>E7*I7</f>
        <v>294525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160</v>
      </c>
      <c r="L7" s="12"/>
      <c r="M7" s="65">
        <v>2315</v>
      </c>
      <c r="N7" s="11">
        <f>M7*$H$6</f>
        <v>439.85</v>
      </c>
      <c r="O7" s="79">
        <f>M7+N7</f>
        <v>2754.85</v>
      </c>
      <c r="P7" s="66">
        <f>E7*O7</f>
        <v>275485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0</v>
      </c>
      <c r="R7" s="12"/>
      <c r="S7" s="10">
        <v>2900</v>
      </c>
      <c r="T7" s="11">
        <f>S7*$H$6</f>
        <v>551</v>
      </c>
      <c r="U7" s="10">
        <f t="shared" ref="U7:U11" si="0">S7+T7</f>
        <v>3451</v>
      </c>
      <c r="V7" s="109">
        <f>E7*U7</f>
        <v>345100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585</v>
      </c>
      <c r="Y7" s="14"/>
      <c r="Z7" s="10">
        <f t="shared" ref="Z7:Z8" si="1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>
        <f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spans="1:35" s="100" customFormat="1" ht="22.5" hidden="1" thickBot="1">
      <c r="A8" s="96"/>
      <c r="B8" s="97">
        <v>2</v>
      </c>
      <c r="C8" s="103"/>
      <c r="D8" s="99"/>
      <c r="E8" s="16"/>
      <c r="F8" s="17"/>
      <c r="G8" s="65"/>
      <c r="H8" s="11">
        <f t="shared" ref="H8:H11" si="2">G8*$H$6</f>
        <v>0</v>
      </c>
      <c r="I8" s="11">
        <f t="shared" ref="I8:I11" si="3">G8+H8</f>
        <v>0</v>
      </c>
      <c r="J8" s="72">
        <f>E8*I8</f>
        <v>0</v>
      </c>
      <c r="K8" s="113">
        <f t="shared" ref="K8:K11" si="4">+IF(G8-MIN(IF($G8&gt;0,$G8,100000*100000),IF($M8&gt;0,$M8,100000*100000),IF($S8&gt;0,$S8,100000*100000),IF($Y8&gt;0,$Y8,100000*100000),IF($AE8&gt;0,$AE8,100000*100000))&gt;0,G8-MIN(IF($G8&gt;0,$G8,100000*100000),IF($M8&gt;0,$M8,100000*100000),IF($S8&gt;0,$S8,100000*100000),IF($Y8&gt;0,$Y8,100000*100000),IF($AE8&gt;0,$AE8,100000*100000)),0)</f>
        <v>0</v>
      </c>
      <c r="L8" s="17"/>
      <c r="M8" s="65"/>
      <c r="N8" s="11">
        <f t="shared" ref="N8:N11" si="5">M8*$N$6</f>
        <v>0</v>
      </c>
      <c r="O8" s="79">
        <f t="shared" ref="O8:O11" si="6">M8+N8</f>
        <v>0</v>
      </c>
      <c r="P8" s="66">
        <f t="shared" ref="P8:P11" si="7">E8*O8</f>
        <v>0</v>
      </c>
      <c r="Q8" s="113">
        <f t="shared" ref="Q8:Q11" si="8">+IF(M8-MIN(IF($G8&gt;0,$G8,100000*100000),IF($M8&gt;0,$M8,100000*100000),IF($S8&gt;0,$S8,100000*100000),IF($Y8&gt;0,$Y8,100000*100000),IF($AE8&gt;0,$AE8,100000*100000))&gt;0,M8-MIN(IF($G8&gt;0,$G8,100000*100000),IF($M8&gt;0,$M8,100000*100000),IF($S8&gt;0,$S8,100000*100000),IF($Y8&gt;0,$Y8,100000*100000),IF($AE8&gt;0,$AE8,100000*100000)),0)</f>
        <v>0</v>
      </c>
      <c r="R8" s="17"/>
      <c r="S8" s="10"/>
      <c r="T8" s="10">
        <f t="shared" ref="T8:T11" si="9">S8*$T$6</f>
        <v>0</v>
      </c>
      <c r="U8" s="10">
        <f t="shared" si="0"/>
        <v>0</v>
      </c>
      <c r="V8" s="109">
        <f>E8*U8</f>
        <v>0</v>
      </c>
      <c r="W8" s="113">
        <f t="shared" ref="W8:W11" si="10">+IF(S8-MIN(IF($G8&gt;0,$G8,100000*100000),IF($M8&gt;0,$M8,100000*100000),IF($S8&gt;0,$S8,100000*100000),IF($Y8&gt;0,$Y8,100000*100000),IF($AE8&gt;0,$AE8,100000*100000))&gt;0,S8-MIN(IF($G8&gt;0,$G8,100000*100000),IF($M8&gt;0,$M8,100000*100000),IF($S8&gt;0,$S8,100000*100000),IF($Y8&gt;0,$Y8,100000*100000),IF($AE8&gt;0,$AE8,100000*100000)),0)</f>
        <v>0</v>
      </c>
      <c r="Y8" s="14"/>
      <c r="Z8" s="10">
        <f t="shared" si="1"/>
        <v>0</v>
      </c>
      <c r="AA8" s="10">
        <f t="shared" ref="AA8" si="11">Y8+Z8</f>
        <v>0</v>
      </c>
      <c r="AB8" s="66">
        <f t="shared" ref="AB8:AB11" si="12">E8*AA8</f>
        <v>0</v>
      </c>
      <c r="AC8" s="113">
        <f t="shared" ref="AC8:AC11" si="13">+IF(Y8-MIN(IF($G8&gt;0,$G8,100000*100000),IF($M8&gt;0,$M8,100000*100000),IF($S8&gt;0,$S8,100000*100000),IF($Y8&gt;0,$Y8,100000*100000),IF($AE8&gt;0,$AE8,100000*100000))&gt;0,Y8-MIN(IF($G8&gt;0,$G8,100000*100000),IF($M8&gt;0,$M8,100000*100000),IF($S8&gt;0,$S8,100000*100000),IF($Y8&gt;0,$Y8,100000*100000),IF($AE8&gt;0,$AE8,100000*100000)),0)</f>
        <v>0</v>
      </c>
      <c r="AE8" s="14"/>
      <c r="AF8" s="10">
        <f>+AE8*$AF$6</f>
        <v>0</v>
      </c>
      <c r="AG8" s="10">
        <f>+AE8+AF8</f>
        <v>0</v>
      </c>
      <c r="AH8" s="13">
        <f>+E8*AG8</f>
        <v>0</v>
      </c>
      <c r="AI8" s="113">
        <f t="shared" ref="AI8:AI11" si="14">+IF(AE8-MIN(IF($G8&gt;0,$G8,100000*100000),IF($M8&gt;0,$M8,100000*100000),IF($S8&gt;0,$S8,100000*100000),IF($Y8&gt;0,$Y8,100000*100000),IF($AE8&gt;0,$AE8,100000*100000))&gt;0,AE8-MIN(IF($G8&gt;0,$G8,100000*100000),IF($M8&gt;0,$M8,100000*100000),IF($S8&gt;0,$S8,100000*100000),IF($Y8&gt;0,$Y8,100000*100000),IF($AE8&gt;0,$AE8,100000*100000)),0)</f>
        <v>0</v>
      </c>
    </row>
    <row r="9" spans="1:35" s="100" customFormat="1" ht="22.15" hidden="1">
      <c r="A9" s="101"/>
      <c r="B9" s="102">
        <v>3</v>
      </c>
      <c r="C9" s="103"/>
      <c r="D9" s="99"/>
      <c r="E9" s="16"/>
      <c r="F9" s="17"/>
      <c r="G9" s="65"/>
      <c r="H9" s="11"/>
      <c r="I9" s="11"/>
      <c r="J9" s="72">
        <f>E9*I9</f>
        <v>0</v>
      </c>
      <c r="K9" s="113">
        <f t="shared" si="4"/>
        <v>0</v>
      </c>
      <c r="L9" s="17"/>
      <c r="M9" s="65"/>
      <c r="N9" s="11">
        <f t="shared" si="5"/>
        <v>0</v>
      </c>
      <c r="O9" s="79">
        <f t="shared" si="6"/>
        <v>0</v>
      </c>
      <c r="P9" s="66">
        <f t="shared" si="7"/>
        <v>0</v>
      </c>
      <c r="Q9" s="113">
        <f t="shared" si="8"/>
        <v>0</v>
      </c>
      <c r="R9" s="17"/>
      <c r="S9" s="75"/>
      <c r="T9" s="10">
        <f t="shared" si="9"/>
        <v>0</v>
      </c>
      <c r="U9" s="10">
        <f t="shared" si="0"/>
        <v>0</v>
      </c>
      <c r="V9" s="66">
        <f>E9*U9</f>
        <v>0</v>
      </c>
      <c r="W9" s="113">
        <f t="shared" si="10"/>
        <v>0</v>
      </c>
      <c r="Y9" s="14"/>
      <c r="Z9" s="10">
        <f>+Y9*$Z$6</f>
        <v>0</v>
      </c>
      <c r="AA9" s="10">
        <f>+Y9+Z9</f>
        <v>0</v>
      </c>
      <c r="AB9" s="66">
        <f t="shared" si="12"/>
        <v>0</v>
      </c>
      <c r="AC9" s="113">
        <f t="shared" si="13"/>
        <v>0</v>
      </c>
      <c r="AE9" s="14"/>
      <c r="AF9" s="10"/>
      <c r="AG9" s="10"/>
      <c r="AH9" s="13"/>
      <c r="AI9" s="113">
        <f t="shared" si="14"/>
        <v>0</v>
      </c>
    </row>
    <row r="10" spans="1:35" s="100" customFormat="1" ht="22.5" hidden="1" thickBot="1">
      <c r="A10" s="96"/>
      <c r="B10" s="97">
        <v>4</v>
      </c>
      <c r="C10" s="98"/>
      <c r="D10" s="99"/>
      <c r="E10" s="16"/>
      <c r="F10" s="17"/>
      <c r="G10" s="65"/>
      <c r="H10" s="11">
        <f t="shared" si="2"/>
        <v>0</v>
      </c>
      <c r="I10" s="11">
        <f t="shared" si="3"/>
        <v>0</v>
      </c>
      <c r="J10" s="72">
        <f>E10*I10</f>
        <v>0</v>
      </c>
      <c r="K10" s="113">
        <f t="shared" si="4"/>
        <v>0</v>
      </c>
      <c r="L10" s="17"/>
      <c r="M10" s="65"/>
      <c r="N10" s="11">
        <f t="shared" si="5"/>
        <v>0</v>
      </c>
      <c r="O10" s="79">
        <f t="shared" si="6"/>
        <v>0</v>
      </c>
      <c r="P10" s="66">
        <f t="shared" si="7"/>
        <v>0</v>
      </c>
      <c r="Q10" s="113">
        <f t="shared" si="8"/>
        <v>0</v>
      </c>
      <c r="R10" s="17"/>
      <c r="S10" s="75"/>
      <c r="T10" s="10">
        <f t="shared" si="9"/>
        <v>0</v>
      </c>
      <c r="U10" s="10">
        <f t="shared" si="0"/>
        <v>0</v>
      </c>
      <c r="V10" s="66">
        <f>E10*U10</f>
        <v>0</v>
      </c>
      <c r="W10" s="113">
        <f t="shared" si="10"/>
        <v>0</v>
      </c>
      <c r="Y10" s="14"/>
      <c r="Z10" s="10">
        <f t="shared" ref="Z10:Z11" si="15">+Y10*$Z$6</f>
        <v>0</v>
      </c>
      <c r="AA10" s="10">
        <f t="shared" ref="AA10:AA11" si="16">+Y10+Z10</f>
        <v>0</v>
      </c>
      <c r="AB10" s="66">
        <f t="shared" si="12"/>
        <v>0</v>
      </c>
      <c r="AC10" s="113">
        <f t="shared" si="13"/>
        <v>0</v>
      </c>
      <c r="AE10" s="14"/>
      <c r="AF10" s="10"/>
      <c r="AG10" s="10"/>
      <c r="AH10" s="13"/>
      <c r="AI10" s="113">
        <f t="shared" si="14"/>
        <v>0</v>
      </c>
    </row>
    <row r="11" spans="1:35" s="100" customFormat="1" ht="22.15" hidden="1">
      <c r="A11" s="101"/>
      <c r="B11" s="102">
        <v>5</v>
      </c>
      <c r="C11" s="98"/>
      <c r="D11" s="99"/>
      <c r="E11" s="16"/>
      <c r="F11" s="17"/>
      <c r="G11" s="67"/>
      <c r="H11" s="11">
        <f t="shared" si="2"/>
        <v>0</v>
      </c>
      <c r="I11" s="11">
        <f t="shared" si="3"/>
        <v>0</v>
      </c>
      <c r="J11" s="72">
        <f t="shared" ref="J11" si="17">E11*I11</f>
        <v>0</v>
      </c>
      <c r="K11" s="113">
        <f t="shared" si="4"/>
        <v>0</v>
      </c>
      <c r="L11" s="17"/>
      <c r="M11" s="65"/>
      <c r="N11" s="11">
        <f t="shared" si="5"/>
        <v>0</v>
      </c>
      <c r="O11" s="79">
        <f t="shared" si="6"/>
        <v>0</v>
      </c>
      <c r="P11" s="66">
        <f t="shared" si="7"/>
        <v>0</v>
      </c>
      <c r="Q11" s="113">
        <f t="shared" si="8"/>
        <v>0</v>
      </c>
      <c r="R11" s="17"/>
      <c r="S11" s="75"/>
      <c r="T11" s="10">
        <f t="shared" si="9"/>
        <v>0</v>
      </c>
      <c r="U11" s="10">
        <f t="shared" si="0"/>
        <v>0</v>
      </c>
      <c r="V11" s="66">
        <f t="shared" ref="V11" si="18">E11*U11</f>
        <v>0</v>
      </c>
      <c r="W11" s="113">
        <f t="shared" si="10"/>
        <v>0</v>
      </c>
      <c r="Y11" s="14"/>
      <c r="Z11" s="10">
        <f t="shared" si="15"/>
        <v>0</v>
      </c>
      <c r="AA11" s="10">
        <f t="shared" si="16"/>
        <v>0</v>
      </c>
      <c r="AB11" s="66">
        <f t="shared" si="12"/>
        <v>0</v>
      </c>
      <c r="AC11" s="113">
        <f t="shared" si="13"/>
        <v>0</v>
      </c>
      <c r="AE11" s="14"/>
      <c r="AF11" s="10"/>
      <c r="AG11" s="10"/>
      <c r="AH11" s="13"/>
      <c r="AI11" s="113">
        <f t="shared" si="14"/>
        <v>0</v>
      </c>
    </row>
    <row r="12" spans="1:35" ht="22.5" thickBot="1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>
      <c r="A14" s="61"/>
      <c r="B14" s="27"/>
      <c r="C14" s="284" t="s">
        <v>30</v>
      </c>
      <c r="D14" s="285"/>
      <c r="E14" s="286"/>
      <c r="F14" s="31"/>
      <c r="G14" s="290"/>
      <c r="H14" s="291"/>
      <c r="I14" s="291"/>
      <c r="J14" s="294">
        <f>SUM(J7:J12)</f>
        <v>294525</v>
      </c>
      <c r="K14" s="114"/>
      <c r="L14" s="32"/>
      <c r="M14" s="290"/>
      <c r="N14" s="291"/>
      <c r="O14" s="291"/>
      <c r="P14" s="294">
        <f>SUM(P7:P12)</f>
        <v>275485</v>
      </c>
      <c r="Q14" s="114"/>
      <c r="R14" s="32"/>
      <c r="S14" s="290"/>
      <c r="T14" s="291"/>
      <c r="U14" s="291"/>
      <c r="V14" s="294">
        <f>SUM(V7:V12)</f>
        <v>345100</v>
      </c>
      <c r="W14" s="114"/>
      <c r="Y14" s="290"/>
      <c r="Z14" s="291"/>
      <c r="AA14" s="291"/>
      <c r="AB14" s="306">
        <f>SUM(AB7:AB13)</f>
        <v>0</v>
      </c>
      <c r="AC14" s="127"/>
      <c r="AE14" s="290"/>
      <c r="AF14" s="291"/>
      <c r="AG14" s="291"/>
      <c r="AH14" s="308">
        <f>SUM(AH7:AH13)</f>
        <v>0</v>
      </c>
    </row>
    <row r="15" spans="1:35" s="4" customFormat="1" ht="25.9" thickBot="1">
      <c r="A15" s="62"/>
      <c r="B15" s="27"/>
      <c r="C15" s="287"/>
      <c r="D15" s="288"/>
      <c r="E15" s="289"/>
      <c r="F15" s="31"/>
      <c r="G15" s="292"/>
      <c r="H15" s="293"/>
      <c r="I15" s="293"/>
      <c r="J15" s="295"/>
      <c r="K15" s="114"/>
      <c r="L15" s="32"/>
      <c r="M15" s="292"/>
      <c r="N15" s="293"/>
      <c r="O15" s="293"/>
      <c r="P15" s="295"/>
      <c r="Q15" s="114"/>
      <c r="R15" s="32"/>
      <c r="S15" s="292"/>
      <c r="T15" s="293"/>
      <c r="U15" s="293"/>
      <c r="V15" s="295"/>
      <c r="W15" s="114"/>
      <c r="Y15" s="292"/>
      <c r="Z15" s="293"/>
      <c r="AA15" s="293"/>
      <c r="AB15" s="307"/>
      <c r="AC15" s="127"/>
      <c r="AE15" s="292"/>
      <c r="AF15" s="293"/>
      <c r="AG15" s="293"/>
      <c r="AH15" s="309"/>
    </row>
    <row r="16" spans="1:35" s="4" customFormat="1" ht="8.25" customHeight="1" thickBot="1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>
      <c r="A17" s="87"/>
      <c r="B17" s="88" t="s">
        <v>31</v>
      </c>
      <c r="C17" s="88"/>
      <c r="D17" s="88"/>
      <c r="E17" s="89"/>
      <c r="F17" s="36"/>
      <c r="G17" s="310"/>
      <c r="H17" s="311"/>
      <c r="I17" s="311"/>
      <c r="J17" s="37">
        <f>+J14-MIN($J$14,$P$14,$V$14)</f>
        <v>19040</v>
      </c>
      <c r="K17" s="115"/>
      <c r="L17" s="38"/>
      <c r="M17" s="310"/>
      <c r="N17" s="311"/>
      <c r="O17" s="311"/>
      <c r="P17" s="39">
        <f>+P14-MIN($J$14,$P$14,$V$14)</f>
        <v>0</v>
      </c>
      <c r="Q17" s="119"/>
      <c r="R17" s="38"/>
      <c r="S17" s="310"/>
      <c r="T17" s="311"/>
      <c r="U17" s="311"/>
      <c r="V17" s="40">
        <f>+V14-MIN($J$14,$P$14,$V$14)</f>
        <v>69615</v>
      </c>
      <c r="W17" s="123"/>
      <c r="Y17" s="310"/>
      <c r="Z17" s="311"/>
      <c r="AA17" s="311"/>
      <c r="AB17" s="41">
        <f>+AB14-MIN($J$14,$P$14,$V$14)</f>
        <v>-275485</v>
      </c>
      <c r="AC17" s="128"/>
      <c r="AE17" s="310"/>
      <c r="AF17" s="311"/>
      <c r="AG17" s="311"/>
      <c r="AH17" s="93">
        <f>+AH14-MIN($J$14,$P$14,$V$14)</f>
        <v>-275485</v>
      </c>
    </row>
    <row r="18" spans="1:34" s="4" customFormat="1" ht="22.5" thickBot="1">
      <c r="A18" s="84"/>
      <c r="B18" s="85" t="s">
        <v>32</v>
      </c>
      <c r="C18" s="85"/>
      <c r="D18" s="85"/>
      <c r="E18" s="86"/>
      <c r="F18" s="36"/>
      <c r="G18" s="312"/>
      <c r="H18" s="313"/>
      <c r="I18" s="313"/>
      <c r="J18" s="42">
        <f>+J17/MIN($J$14,$V$14)</f>
        <v>6.4646464646464646E-2</v>
      </c>
      <c r="K18" s="116"/>
      <c r="L18" s="43"/>
      <c r="M18" s="312"/>
      <c r="N18" s="313"/>
      <c r="O18" s="313"/>
      <c r="P18" s="44">
        <f>+P17/MIN($J$14,$P$14,$V$14)</f>
        <v>0</v>
      </c>
      <c r="Q18" s="120"/>
      <c r="R18" s="43"/>
      <c r="S18" s="312"/>
      <c r="T18" s="313"/>
      <c r="U18" s="313"/>
      <c r="V18" s="130">
        <f>+V17/MIN($J$14,$V$14)</f>
        <v>0.23636363636363636</v>
      </c>
      <c r="W18" s="124"/>
      <c r="Y18" s="312"/>
      <c r="Z18" s="313"/>
      <c r="AA18" s="313"/>
      <c r="AB18" s="45">
        <f>+AB17/MIN($J$14,$P$14,$V$14)</f>
        <v>-1</v>
      </c>
      <c r="AC18" s="129"/>
      <c r="AE18" s="312"/>
      <c r="AF18" s="313"/>
      <c r="AG18" s="313"/>
      <c r="AH18" s="94">
        <f>+AH17/MIN($J$14,$P$14,$V$14)</f>
        <v>-1</v>
      </c>
    </row>
    <row r="19" spans="1:34" s="4" customFormat="1" ht="7.5" customHeight="1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>
      <c r="A21" s="80"/>
      <c r="B21" s="82"/>
      <c r="C21" s="82"/>
      <c r="D21" s="82"/>
      <c r="E21" s="82"/>
      <c r="F21" s="50"/>
      <c r="G21" s="60" t="s">
        <v>33</v>
      </c>
      <c r="H21" s="302" t="s">
        <v>35</v>
      </c>
      <c r="I21" s="302"/>
      <c r="J21" s="303"/>
      <c r="K21" s="133"/>
      <c r="L21" s="133"/>
      <c r="M21" s="60" t="s">
        <v>33</v>
      </c>
      <c r="N21" s="302" t="s">
        <v>35</v>
      </c>
      <c r="O21" s="302"/>
      <c r="P21" s="303"/>
      <c r="Q21" s="133"/>
      <c r="R21" s="133"/>
      <c r="S21" s="60" t="s">
        <v>33</v>
      </c>
      <c r="T21" s="302" t="s">
        <v>35</v>
      </c>
      <c r="U21" s="302"/>
      <c r="V21" s="303"/>
      <c r="W21" s="133"/>
      <c r="Y21" s="60" t="s">
        <v>33</v>
      </c>
      <c r="Z21" s="302" t="s">
        <v>35</v>
      </c>
      <c r="AA21" s="302"/>
      <c r="AB21" s="303"/>
      <c r="AC21" s="133"/>
      <c r="AE21" s="60" t="s">
        <v>33</v>
      </c>
      <c r="AF21" s="302" t="s">
        <v>35</v>
      </c>
      <c r="AG21" s="302"/>
      <c r="AH21" s="303"/>
    </row>
    <row r="22" spans="1:34" ht="15" customHeight="1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304"/>
      <c r="U23" s="304"/>
      <c r="V23" s="305"/>
      <c r="W23" s="139"/>
      <c r="Y23" s="131" t="s">
        <v>36</v>
      </c>
      <c r="Z23" s="304"/>
      <c r="AA23" s="304"/>
      <c r="AB23" s="305"/>
      <c r="AC23" s="139"/>
      <c r="AE23" s="131" t="s">
        <v>36</v>
      </c>
      <c r="AF23" s="304"/>
      <c r="AG23" s="304"/>
      <c r="AH23" s="305"/>
    </row>
    <row r="24" spans="1:34" ht="15" customHeight="1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>
      <c r="A25" s="81"/>
      <c r="B25" s="82"/>
      <c r="C25" s="95" t="s">
        <v>37</v>
      </c>
      <c r="D25" s="82"/>
      <c r="E25" s="82"/>
      <c r="F25" s="50"/>
      <c r="G25" s="131" t="s">
        <v>38</v>
      </c>
      <c r="H25" s="314"/>
      <c r="I25" s="314"/>
      <c r="J25" s="315"/>
      <c r="K25" s="133"/>
      <c r="L25" s="133"/>
      <c r="M25" s="131" t="s">
        <v>38</v>
      </c>
      <c r="N25" s="314"/>
      <c r="O25" s="314"/>
      <c r="P25" s="315"/>
      <c r="Q25" s="133"/>
      <c r="R25" s="133"/>
      <c r="S25" s="131" t="s">
        <v>38</v>
      </c>
      <c r="T25" s="314"/>
      <c r="U25" s="314"/>
      <c r="V25" s="315"/>
      <c r="W25" s="133"/>
      <c r="Y25" s="131" t="s">
        <v>38</v>
      </c>
      <c r="Z25" s="314"/>
      <c r="AA25" s="314"/>
      <c r="AB25" s="315"/>
      <c r="AC25" s="133"/>
      <c r="AE25" s="131" t="s">
        <v>38</v>
      </c>
      <c r="AF25" s="314"/>
      <c r="AG25" s="314"/>
      <c r="AH25" s="315"/>
    </row>
    <row r="26" spans="1:34" ht="15" customHeight="1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>
      <c r="A27" s="81"/>
      <c r="B27" s="82"/>
      <c r="C27" s="82" t="s">
        <v>40</v>
      </c>
      <c r="D27" s="82"/>
      <c r="E27" s="82"/>
      <c r="F27" s="50"/>
      <c r="G27" s="316" t="s">
        <v>41</v>
      </c>
      <c r="H27" s="317"/>
      <c r="I27" s="314"/>
      <c r="J27" s="315"/>
      <c r="K27" s="133"/>
      <c r="L27" s="133"/>
      <c r="M27" s="51" t="s">
        <v>41</v>
      </c>
      <c r="N27" s="52"/>
      <c r="O27" s="52"/>
      <c r="P27" s="55"/>
      <c r="Q27" s="52"/>
      <c r="R27" s="133"/>
      <c r="S27" s="316" t="s">
        <v>41</v>
      </c>
      <c r="T27" s="317"/>
      <c r="U27" s="314"/>
      <c r="V27" s="315"/>
      <c r="W27" s="133"/>
      <c r="Y27" s="316" t="s">
        <v>41</v>
      </c>
      <c r="Z27" s="317"/>
      <c r="AA27" s="314"/>
      <c r="AB27" s="315"/>
      <c r="AC27" s="133"/>
      <c r="AE27" s="316" t="s">
        <v>41</v>
      </c>
      <c r="AF27" s="317"/>
      <c r="AG27" s="314"/>
      <c r="AH27" s="315"/>
    </row>
    <row r="28" spans="1:34" ht="15" customHeight="1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18"/>
      <c r="U29" s="318"/>
      <c r="V29" s="319"/>
      <c r="W29" s="135"/>
      <c r="Y29" s="131" t="s">
        <v>44</v>
      </c>
      <c r="Z29" s="318"/>
      <c r="AA29" s="318"/>
      <c r="AB29" s="319"/>
      <c r="AC29" s="135"/>
      <c r="AE29" s="131" t="s">
        <v>44</v>
      </c>
      <c r="AF29" s="318"/>
      <c r="AG29" s="318"/>
      <c r="AH29" s="319"/>
    </row>
    <row r="30" spans="1:34" ht="15" customHeight="1">
      <c r="A30" s="81"/>
      <c r="B30" s="82"/>
      <c r="C30" s="82" t="s">
        <v>45</v>
      </c>
      <c r="D30" s="82"/>
      <c r="E30" s="82"/>
      <c r="F30" s="50"/>
      <c r="G30" s="324"/>
      <c r="H30" s="325"/>
      <c r="I30" s="325"/>
      <c r="J30" s="326"/>
      <c r="K30" s="135"/>
      <c r="L30" s="135"/>
      <c r="M30" s="331"/>
      <c r="N30" s="332"/>
      <c r="O30" s="332"/>
      <c r="P30" s="333"/>
      <c r="Q30" s="136"/>
      <c r="R30" s="135"/>
      <c r="S30" s="331"/>
      <c r="T30" s="332"/>
      <c r="U30" s="332"/>
      <c r="V30" s="333"/>
      <c r="W30" s="136"/>
      <c r="Y30" s="331" t="s">
        <v>49</v>
      </c>
      <c r="Z30" s="332"/>
      <c r="AA30" s="332"/>
      <c r="AB30" s="333"/>
      <c r="AC30" s="136"/>
      <c r="AE30" s="334" t="s">
        <v>50</v>
      </c>
      <c r="AF30" s="335"/>
      <c r="AG30" s="335"/>
      <c r="AH30" s="336"/>
    </row>
    <row r="31" spans="1:34" ht="15" customHeight="1">
      <c r="A31" s="81"/>
      <c r="B31" s="82"/>
      <c r="C31" s="82" t="s">
        <v>51</v>
      </c>
      <c r="D31" s="82"/>
      <c r="E31" s="82"/>
      <c r="F31" s="50"/>
      <c r="G31" s="324"/>
      <c r="H31" s="325"/>
      <c r="I31" s="325"/>
      <c r="J31" s="326"/>
      <c r="K31" s="135"/>
      <c r="L31" s="135"/>
      <c r="M31" s="331"/>
      <c r="N31" s="332"/>
      <c r="O31" s="332"/>
      <c r="P31" s="333"/>
      <c r="Q31" s="136"/>
      <c r="R31" s="135"/>
      <c r="S31" s="323"/>
      <c r="T31" s="318"/>
      <c r="U31" s="318"/>
      <c r="V31" s="319"/>
      <c r="W31" s="135"/>
      <c r="Y31" s="323"/>
      <c r="Z31" s="318"/>
      <c r="AA31" s="318"/>
      <c r="AB31" s="319"/>
      <c r="AC31" s="135"/>
      <c r="AE31" s="323"/>
      <c r="AF31" s="318"/>
      <c r="AG31" s="318"/>
      <c r="AH31" s="319"/>
    </row>
    <row r="32" spans="1:34" ht="15" customHeight="1">
      <c r="A32" s="81"/>
      <c r="B32" s="82"/>
      <c r="C32" s="82"/>
      <c r="D32" s="82"/>
      <c r="E32" s="82"/>
      <c r="F32" s="50"/>
      <c r="G32" s="324"/>
      <c r="H32" s="325"/>
      <c r="I32" s="325"/>
      <c r="J32" s="326"/>
      <c r="K32" s="135"/>
      <c r="L32" s="135"/>
      <c r="M32" s="331"/>
      <c r="N32" s="332"/>
      <c r="O32" s="332"/>
      <c r="P32" s="333"/>
      <c r="Q32" s="136"/>
      <c r="R32" s="135"/>
      <c r="S32" s="323"/>
      <c r="T32" s="318"/>
      <c r="U32" s="318"/>
      <c r="V32" s="319"/>
      <c r="W32" s="135"/>
      <c r="Y32" s="323"/>
      <c r="Z32" s="318"/>
      <c r="AA32" s="318"/>
      <c r="AB32" s="319"/>
      <c r="AC32" s="135"/>
      <c r="AE32" s="323"/>
      <c r="AF32" s="318"/>
      <c r="AG32" s="318"/>
      <c r="AH32" s="319"/>
    </row>
    <row r="33" spans="1:34" ht="15" customHeight="1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14" t="s">
        <v>53</v>
      </c>
      <c r="AA33" s="314"/>
      <c r="AB33" s="315"/>
      <c r="AC33" s="133"/>
      <c r="AE33" s="131" t="s">
        <v>52</v>
      </c>
      <c r="AF33" s="314" t="s">
        <v>53</v>
      </c>
      <c r="AG33" s="314"/>
      <c r="AH33" s="315"/>
    </row>
    <row r="34" spans="1:34" ht="15" customHeight="1" thickBot="1">
      <c r="A34" s="83"/>
      <c r="B34" s="82"/>
      <c r="C34" s="82"/>
      <c r="D34" s="82"/>
      <c r="E34" s="82"/>
      <c r="F34" s="50"/>
      <c r="G34" s="320"/>
      <c r="H34" s="321"/>
      <c r="I34" s="321"/>
      <c r="J34" s="322"/>
      <c r="K34" s="56"/>
      <c r="L34" s="56"/>
      <c r="M34" s="320"/>
      <c r="N34" s="321"/>
      <c r="O34" s="321"/>
      <c r="P34" s="322"/>
      <c r="Q34" s="56"/>
      <c r="R34" s="56"/>
      <c r="S34" s="320"/>
      <c r="T34" s="321"/>
      <c r="U34" s="321"/>
      <c r="V34" s="322"/>
      <c r="W34" s="56"/>
      <c r="Y34" s="320"/>
      <c r="Z34" s="321"/>
      <c r="AA34" s="321"/>
      <c r="AB34" s="322"/>
      <c r="AC34" s="56"/>
      <c r="AE34" s="320"/>
      <c r="AF34" s="321"/>
      <c r="AG34" s="321"/>
      <c r="AH34" s="322"/>
    </row>
    <row r="35" spans="1:34" ht="18.75">
      <c r="A35" s="80"/>
      <c r="B35" s="82"/>
      <c r="F35" s="50"/>
    </row>
    <row r="36" spans="1:34" ht="18.75">
      <c r="A36" s="81"/>
      <c r="B36" s="82"/>
      <c r="F36" s="50"/>
    </row>
  </sheetData>
  <mergeCells count="106">
    <mergeCell ref="S32:V32"/>
    <mergeCell ref="Y32:AB32"/>
    <mergeCell ref="AE32:AH32"/>
    <mergeCell ref="Z33:AB33"/>
    <mergeCell ref="AF33:AH33"/>
    <mergeCell ref="G34:J34"/>
    <mergeCell ref="M34:P34"/>
    <mergeCell ref="S34:V34"/>
    <mergeCell ref="Y34:AB34"/>
    <mergeCell ref="AE34:AH34"/>
    <mergeCell ref="G30:J32"/>
    <mergeCell ref="M30:P30"/>
    <mergeCell ref="S30:V30"/>
    <mergeCell ref="Y30:AB30"/>
    <mergeCell ref="AE30:AH30"/>
    <mergeCell ref="M31:P31"/>
    <mergeCell ref="S31:V31"/>
    <mergeCell ref="Y31:AB31"/>
    <mergeCell ref="AE31:AH31"/>
    <mergeCell ref="M32:P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53D38D6F2F34CA3A81450F48BD0BA" ma:contentTypeVersion="17" ma:contentTypeDescription="Crear nuevo documento." ma:contentTypeScope="" ma:versionID="e8285cebfc64b7458f96d88951b93982">
  <xsd:schema xmlns:xsd="http://www.w3.org/2001/XMLSchema" xmlns:xs="http://www.w3.org/2001/XMLSchema" xmlns:p="http://schemas.microsoft.com/office/2006/metadata/properties" xmlns:ns2="3cabfbfa-22c1-4162-9775-2b67678c8080" xmlns:ns3="670bfb97-fe35-4d64-8485-05bb5b6f9e89" targetNamespace="http://schemas.microsoft.com/office/2006/metadata/properties" ma:root="true" ma:fieldsID="234b979776fa6fb54a90a5c7e81cf88c" ns2:_="" ns3:_="">
    <xsd:import namespace="3cabfbfa-22c1-4162-9775-2b67678c8080"/>
    <xsd:import namespace="670bfb97-fe35-4d64-8485-05bb5b6f9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usuario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bfbfa-22c1-4162-9775-2b67678c8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a4174269-05ed-46f5-8424-ac65241c1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s" ma:index="23" nillable="true" ma:displayName="usuarios" ma:format="Dropdown" ma:list="UserInfo" ma:SharePointGroup="0" ma:internalName="usuario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bfb97-fe35-4d64-8485-05bb5b6f9e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bf90d49-a99d-481c-8813-378ef4fa6095}" ma:internalName="TaxCatchAll" ma:showField="CatchAllData" ma:web="670bfb97-fe35-4d64-8485-05bb5b6f9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bfbfa-22c1-4162-9775-2b67678c8080">
      <Terms xmlns="http://schemas.microsoft.com/office/infopath/2007/PartnerControls"/>
    </lcf76f155ced4ddcb4097134ff3c332f>
    <TaxCatchAll xmlns="670bfb97-fe35-4d64-8485-05bb5b6f9e89" xsi:nil="true"/>
    <SharedWithUsers xmlns="670bfb97-fe35-4d64-8485-05bb5b6f9e89">
      <UserInfo>
        <DisplayName/>
        <AccountId xsi:nil="true"/>
        <AccountType/>
      </UserInfo>
    </SharedWithUsers>
    <MediaLengthInSeconds xmlns="3cabfbfa-22c1-4162-9775-2b67678c8080" xsi:nil="true"/>
    <usuarios xmlns="3cabfbfa-22c1-4162-9775-2b67678c8080">
      <UserInfo>
        <DisplayName/>
        <AccountId xsi:nil="true"/>
        <AccountType/>
      </UserInfo>
    </usuarios>
  </documentManagement>
</p:properties>
</file>

<file path=customXml/itemProps1.xml><?xml version="1.0" encoding="utf-8"?>
<ds:datastoreItem xmlns:ds="http://schemas.openxmlformats.org/officeDocument/2006/customXml" ds:itemID="{B87DF179-1BC9-45F6-8C7B-00B424ABAC01}"/>
</file>

<file path=customXml/itemProps2.xml><?xml version="1.0" encoding="utf-8"?>
<ds:datastoreItem xmlns:ds="http://schemas.openxmlformats.org/officeDocument/2006/customXml" ds:itemID="{72282C94-3456-4727-8936-C9D5C85F68D0}"/>
</file>

<file path=customXml/itemProps3.xml><?xml version="1.0" encoding="utf-8"?>
<ds:datastoreItem xmlns:ds="http://schemas.openxmlformats.org/officeDocument/2006/customXml" ds:itemID="{4AA9D031-99EC-4C65-B6F4-E3340AAB0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Angel Galan Pulido</dc:creator>
  <cp:keywords/>
  <dc:description/>
  <cp:lastModifiedBy>MARIA PAULINA  VANEGAS GOMEZ</cp:lastModifiedBy>
  <cp:revision/>
  <dcterms:created xsi:type="dcterms:W3CDTF">2013-11-13T14:37:59Z</dcterms:created>
  <dcterms:modified xsi:type="dcterms:W3CDTF">2026-02-21T13:51:39Z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0x010100CEA53D38D6F2F34CA3A81450F48BD0BA</vt:lpwstr>
  </property>
  <property fmtid="{D5CDD505-2E9C-101B-9397-08002B2CF9AE}" pid="3" name="MediaServiceImageTags">
    <vt:lpwstr/>
  </property>
  <property fmtid="{D5CDD505-2E9C-101B-9397-08002B2CF9AE}" pid="4" name="Order">
    <vt:r8>32582600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