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genierosdeantioquia2.sharepoint.com/sites/INGANT/2025/Planeación y Control/FCOT 538-2022 Mant Ant Nutresa (Original)/8. Cuadros Comparativos/2026/Insumos_/"/>
    </mc:Choice>
  </mc:AlternateContent>
  <xr:revisionPtr revIDLastSave="3" documentId="14_{D964636A-A79C-4EB7-ADF4-20AE8AC9A98E}" xr6:coauthVersionLast="47" xr6:coauthVersionMax="47" xr10:uidLastSave="{7EF92B1A-2EE3-4A97-A6AC-2C52E8F66101}"/>
  <bookViews>
    <workbookView xWindow="-108" yWindow="-108" windowWidth="23256" windowHeight="12456" xr2:uid="{00000000-000D-0000-FFFF-FFFF00000000}"/>
  </bookViews>
  <sheets>
    <sheet name="Cuadro comparativo" sheetId="7" r:id="rId1"/>
    <sheet name="DANIEL HERNEY OCAMPO " sheetId="8" r:id="rId2"/>
    <sheet name="VCOMPLEMENTO" sheetId="9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7" l="1"/>
  <c r="E12" i="7"/>
  <c r="E14" i="7"/>
  <c r="E20" i="7" l="1"/>
  <c r="G20" i="7"/>
  <c r="I20" i="7"/>
  <c r="K20" i="7"/>
  <c r="M20" i="7"/>
  <c r="O20" i="7"/>
  <c r="E21" i="7"/>
  <c r="G21" i="7"/>
  <c r="I21" i="7"/>
  <c r="K21" i="7"/>
  <c r="M21" i="7"/>
  <c r="O21" i="7"/>
  <c r="E22" i="7"/>
  <c r="G22" i="7"/>
  <c r="I22" i="7"/>
  <c r="K22" i="7"/>
  <c r="M22" i="7"/>
  <c r="O22" i="7"/>
  <c r="E23" i="7"/>
  <c r="G23" i="7"/>
  <c r="I23" i="7"/>
  <c r="K23" i="7"/>
  <c r="M23" i="7"/>
  <c r="O23" i="7"/>
  <c r="P23" i="7" s="1"/>
  <c r="P20" i="7" l="1"/>
  <c r="P21" i="7"/>
  <c r="P22" i="7"/>
  <c r="E25" i="7"/>
  <c r="G25" i="7"/>
  <c r="I25" i="7"/>
  <c r="K25" i="7"/>
  <c r="M25" i="7"/>
  <c r="O25" i="7"/>
  <c r="E26" i="7"/>
  <c r="G26" i="7"/>
  <c r="I26" i="7"/>
  <c r="K26" i="7"/>
  <c r="M26" i="7"/>
  <c r="O26" i="7"/>
  <c r="F39" i="7"/>
  <c r="H39" i="7"/>
  <c r="J39" i="7"/>
  <c r="L39" i="7"/>
  <c r="D39" i="7"/>
  <c r="P25" i="7" l="1"/>
  <c r="P26" i="7"/>
  <c r="F51" i="7"/>
  <c r="H51" i="7"/>
  <c r="J51" i="7"/>
  <c r="L51" i="7"/>
  <c r="D51" i="7"/>
  <c r="R13" i="7"/>
  <c r="R14" i="7" s="1"/>
  <c r="R15" i="7" s="1"/>
  <c r="R16" i="7" s="1"/>
  <c r="R17" i="7" s="1"/>
  <c r="R18" i="7" s="1"/>
  <c r="R19" i="7" s="1"/>
  <c r="R20" i="7" s="1"/>
  <c r="O16" i="7"/>
  <c r="P16" i="7" s="1"/>
  <c r="O17" i="7"/>
  <c r="P17" i="7" s="1"/>
  <c r="O18" i="7"/>
  <c r="P18" i="7" s="1"/>
  <c r="O19" i="7"/>
  <c r="P19" i="7" s="1"/>
  <c r="O24" i="7"/>
  <c r="P24" i="7" s="1"/>
  <c r="O15" i="7"/>
  <c r="P15" i="7" s="1"/>
  <c r="O13" i="7"/>
  <c r="P13" i="7" s="1"/>
  <c r="O14" i="7"/>
  <c r="P14" i="7" s="1"/>
  <c r="O12" i="7"/>
  <c r="P12" i="7" s="1"/>
  <c r="M24" i="7"/>
  <c r="K24" i="7"/>
  <c r="I24" i="7"/>
  <c r="G24" i="7"/>
  <c r="E24" i="7"/>
  <c r="M12" i="7"/>
  <c r="M13" i="7"/>
  <c r="M14" i="7"/>
  <c r="M15" i="7"/>
  <c r="M16" i="7"/>
  <c r="K12" i="7"/>
  <c r="K13" i="7"/>
  <c r="K14" i="7"/>
  <c r="K15" i="7"/>
  <c r="I13" i="7"/>
  <c r="I14" i="7"/>
  <c r="I15" i="7"/>
  <c r="I16" i="7"/>
  <c r="G14" i="7"/>
  <c r="G15" i="7"/>
  <c r="E13" i="7"/>
  <c r="E15" i="7"/>
  <c r="E16" i="7"/>
  <c r="E17" i="7"/>
  <c r="E18" i="7"/>
  <c r="R21" i="7" l="1"/>
  <c r="P28" i="7"/>
  <c r="P30" i="7" s="1"/>
  <c r="P31" i="7" s="1"/>
  <c r="R22" i="7" l="1"/>
  <c r="P29" i="7"/>
  <c r="R23" i="7" l="1"/>
  <c r="I19" i="7"/>
  <c r="M17" i="7"/>
  <c r="M18" i="7"/>
  <c r="M19" i="7"/>
  <c r="K16" i="7"/>
  <c r="K17" i="7"/>
  <c r="K18" i="7"/>
  <c r="K19" i="7"/>
  <c r="I12" i="7"/>
  <c r="I17" i="7"/>
  <c r="I18" i="7"/>
  <c r="G12" i="7"/>
  <c r="G16" i="7"/>
  <c r="G17" i="7"/>
  <c r="G18" i="7"/>
  <c r="G19" i="7"/>
  <c r="E19" i="7"/>
  <c r="R24" i="7" l="1"/>
  <c r="I28" i="7"/>
  <c r="M28" i="7"/>
  <c r="M30" i="7" s="1"/>
  <c r="M31" i="7" s="1"/>
  <c r="E28" i="7"/>
  <c r="K28" i="7"/>
  <c r="K29" i="7" s="1"/>
  <c r="G28" i="7"/>
  <c r="G30" i="7" l="1"/>
  <c r="G31" i="7" s="1"/>
  <c r="I29" i="7"/>
  <c r="I30" i="7"/>
  <c r="I31" i="7" s="1"/>
  <c r="E30" i="7"/>
  <c r="E31" i="7" s="1"/>
  <c r="R25" i="7"/>
  <c r="M29" i="7"/>
  <c r="E29" i="7"/>
  <c r="G29" i="7"/>
  <c r="R26" i="7" l="1"/>
  <c r="R27" i="7" l="1"/>
  <c r="R28" i="7" l="1"/>
  <c r="R29" i="7" l="1"/>
  <c r="R30" i="7" l="1"/>
  <c r="R31" i="7" l="1"/>
  <c r="R32" i="7" l="1"/>
  <c r="R33" i="7" l="1"/>
  <c r="R34" i="7" l="1"/>
  <c r="R35" i="7" l="1"/>
  <c r="R36" i="7" l="1"/>
  <c r="R37" i="7" l="1"/>
  <c r="R38" i="7" l="1"/>
  <c r="R39" i="7" l="1"/>
  <c r="Q16" i="7" s="1"/>
  <c r="N16" i="7" s="1"/>
  <c r="Q38" i="7"/>
  <c r="Q14" i="7"/>
  <c r="N14" i="7" s="1"/>
  <c r="Q12" i="7"/>
  <c r="N12" i="7" s="1"/>
  <c r="Q13" i="7"/>
  <c r="N13" i="7" s="1"/>
  <c r="Q31" i="7"/>
  <c r="Q28" i="7"/>
  <c r="Q18" i="7"/>
  <c r="N18" i="7" s="1"/>
  <c r="Q19" i="7"/>
  <c r="N19" i="7" s="1"/>
  <c r="Q34" i="7" l="1"/>
  <c r="Q29" i="7"/>
  <c r="Q33" i="7"/>
  <c r="Q30" i="7"/>
  <c r="Q17" i="7"/>
  <c r="N17" i="7" s="1"/>
  <c r="Q27" i="7"/>
  <c r="Q15" i="7"/>
  <c r="N15" i="7" s="1"/>
  <c r="Q32" i="7"/>
  <c r="Q20" i="7"/>
  <c r="N20" i="7" s="1"/>
  <c r="Q21" i="7"/>
  <c r="N21" i="7" s="1"/>
  <c r="Q22" i="7"/>
  <c r="N22" i="7" s="1"/>
  <c r="Q23" i="7"/>
  <c r="N23" i="7" s="1"/>
  <c r="Q24" i="7"/>
  <c r="N24" i="7" s="1"/>
  <c r="Q39" i="7"/>
  <c r="Q25" i="7"/>
  <c r="N25" i="7" s="1"/>
  <c r="Q36" i="7"/>
  <c r="Q35" i="7"/>
  <c r="Q37" i="7"/>
  <c r="Q26" i="7"/>
  <c r="N26" i="7" s="1"/>
  <c r="D46" i="7" l="1"/>
  <c r="H46" i="7"/>
  <c r="F46" i="7"/>
  <c r="B48" i="7" l="1"/>
</calcChain>
</file>

<file path=xl/sharedStrings.xml><?xml version="1.0" encoding="utf-8"?>
<sst xmlns="http://schemas.openxmlformats.org/spreadsheetml/2006/main" count="104" uniqueCount="75">
  <si>
    <t>CUADRO COMPARATIVO DE PROVEEDORES</t>
  </si>
  <si>
    <t>FF:</t>
  </si>
  <si>
    <t>Código</t>
  </si>
  <si>
    <t>IA-FO-PC013</t>
  </si>
  <si>
    <t>Versión</t>
  </si>
  <si>
    <t>Depto.:</t>
  </si>
  <si>
    <t>Ingeniería</t>
  </si>
  <si>
    <t>Área:</t>
  </si>
  <si>
    <t>Planeación y control</t>
  </si>
  <si>
    <t>Fecha:</t>
  </si>
  <si>
    <t>Proyecto:</t>
  </si>
  <si>
    <t>Dirección:</t>
  </si>
  <si>
    <t>N° Cotización:</t>
  </si>
  <si>
    <t xml:space="preserve">Responsable: </t>
  </si>
  <si>
    <t>Cargo:</t>
  </si>
  <si>
    <t>CUADRO COMPARATIVO DE</t>
  </si>
  <si>
    <t>Descripción del producto</t>
  </si>
  <si>
    <t>Cant.</t>
  </si>
  <si>
    <t>Und.</t>
  </si>
  <si>
    <t>Costos objetivos</t>
  </si>
  <si>
    <t>Valor unitario</t>
  </si>
  <si>
    <t>Subtotal</t>
  </si>
  <si>
    <t>Proveedor</t>
  </si>
  <si>
    <t>Menor valor</t>
  </si>
  <si>
    <t>N/A</t>
  </si>
  <si>
    <t>Descuento</t>
  </si>
  <si>
    <t xml:space="preserve">Iva 19% </t>
  </si>
  <si>
    <t>Total</t>
  </si>
  <si>
    <t>Transporte</t>
  </si>
  <si>
    <t>Incluido</t>
  </si>
  <si>
    <t xml:space="preserve">Iva sobre utilidad (19%) </t>
  </si>
  <si>
    <t>Formas de pago</t>
  </si>
  <si>
    <t>Tiempo de entrega</t>
  </si>
  <si>
    <t>Observaciones</t>
  </si>
  <si>
    <t>Información del proveedor</t>
  </si>
  <si>
    <t xml:space="preserve">Nombre o razón social </t>
  </si>
  <si>
    <t>Cédula o NIT</t>
  </si>
  <si>
    <t>Ciudad</t>
  </si>
  <si>
    <t>Dirección</t>
  </si>
  <si>
    <t>Teléfono</t>
  </si>
  <si>
    <t>Nombre de contacto</t>
  </si>
  <si>
    <t>Correo electrónico</t>
  </si>
  <si>
    <t xml:space="preserve">Participación (%) </t>
  </si>
  <si>
    <t>Decisión final</t>
  </si>
  <si>
    <t>Reponsable de la decisión</t>
  </si>
  <si>
    <t>EDUAR TABORDA</t>
  </si>
  <si>
    <t xml:space="preserve">Amoblamiento </t>
  </si>
  <si>
    <t>MTTO ZENÚ</t>
  </si>
  <si>
    <t>KEVEN VILLA</t>
  </si>
  <si>
    <t>RESIDENTE DE OBRA</t>
  </si>
  <si>
    <t>ARAÑA PARA SILLA</t>
  </si>
  <si>
    <t>ASIENTO SILLA</t>
  </si>
  <si>
    <t>DESCANSA BRAZOS</t>
  </si>
  <si>
    <t>DESCANSA PIES ARO PARA BUTACO</t>
  </si>
  <si>
    <t>ESPALDAR DE SILLA EN POLIURETANO</t>
  </si>
  <si>
    <t>GATO HIDRAULICO SILLA CORTO</t>
  </si>
  <si>
    <t>GATO HIDRAULICO SILLA LARGO</t>
  </si>
  <si>
    <t>GUARDAPOLVO TELESCOPIO</t>
  </si>
  <si>
    <t>MECANISMO CONTACTO SILLA</t>
  </si>
  <si>
    <t>NIVELADOR DE PISO</t>
  </si>
  <si>
    <t>PATA NIVELADORA</t>
  </si>
  <si>
    <t>PERILLA ASIENTO / ESPALDAR</t>
  </si>
  <si>
    <t>PERILLA CONTACTO PARA SILLA</t>
  </si>
  <si>
    <t>PLATO PARA ASIENTO SILLA</t>
  </si>
  <si>
    <t>RODACHINAS</t>
  </si>
  <si>
    <t xml:space="preserve">DANIEL HERNEY OCAMPO </t>
  </si>
  <si>
    <t xml:space="preserve">V COMPLEMENTO </t>
  </si>
  <si>
    <t xml:space="preserve">COMERCIAL6@VCOMPLEMENTOS.COM </t>
  </si>
  <si>
    <t xml:space="preserve">Medellín </t>
  </si>
  <si>
    <t>CR 44A 40 39</t>
  </si>
  <si>
    <t>Daniel / Blanca ospina</t>
  </si>
  <si>
    <t>Medellín</t>
  </si>
  <si>
    <t>cr 51a 3 sur 37</t>
  </si>
  <si>
    <t xml:space="preserve">Doris </t>
  </si>
  <si>
    <t>tapiceriaapolo1@gmail.com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</si>
</sst>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\ * #,##0_-;\-&quot;$&quot;\ * #,##0_-;_-&quot;$&quot;\ * &quot;-&quot;_-;_-@_-"/>
    <numFmt numFmtId="164" formatCode="_-&quot;$&quot;* #,##0.00_-;\-&quot;$&quot;* #,##0.00_-;_-&quot;$&quot;* &quot;-&quot;??_-;_-@_-"/>
    <numFmt numFmtId="165" formatCode="_ * #,##0.00_ ;_ * \-#,##0.00_ ;_ * &quot;-&quot;??_ ;_ @_ "/>
    <numFmt numFmtId="166" formatCode="&quot;$&quot;\ #,##0.00"/>
    <numFmt numFmtId="167" formatCode="&quot;$&quot;\ #,##0"/>
    <numFmt numFmtId="168" formatCode="_ &quot;$&quot;\ * #,##0.00_ ;_ &quot;$&quot;\ * \-#,##0.00_ ;_ &quot;$&quot;\ * &quot;-&quot;??_ ;_ @_ "/>
    <numFmt numFmtId="169" formatCode="_ * #,##0_ ;_ * \-#,##0_ ;_ * &quot;-&quot;_ ;_ @_ "/>
    <numFmt numFmtId="170" formatCode="&quot;$&quot;#,##0.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u/>
      <sz val="8"/>
      <color theme="10"/>
      <name val="Calibri"/>
      <family val="2"/>
      <scheme val="minor"/>
    </font>
    <font>
      <u/>
      <sz val="8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9" fontId="1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 applyAlignment="1">
      <alignment horizontal="left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2" fontId="5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42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42" fontId="5" fillId="5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70" fontId="6" fillId="0" borderId="0" xfId="0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166" fontId="5" fillId="0" borderId="1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70" fontId="5" fillId="0" borderId="1" xfId="0" applyNumberFormat="1" applyFont="1" applyBorder="1" applyAlignment="1">
      <alignment vertical="center"/>
    </xf>
    <xf numFmtId="167" fontId="5" fillId="2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horizontal="center" vertical="center"/>
    </xf>
    <xf numFmtId="9" fontId="5" fillId="0" borderId="1" xfId="8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6" fontId="5" fillId="0" borderId="0" xfId="0" applyNumberFormat="1" applyFont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quotePrefix="1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166" fontId="5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9" fontId="10" fillId="0" borderId="1" xfId="8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10" fillId="0" borderId="1" xfId="3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164" fontId="5" fillId="0" borderId="1" xfId="7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3" fillId="0" borderId="1" xfId="3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</cellXfs>
  <cellStyles count="9">
    <cellStyle name="Hipervínculo" xfId="3" builtinId="8"/>
    <cellStyle name="Millares [0] 2" xfId="6" xr:uid="{00000000-0005-0000-0000-000001000000}"/>
    <cellStyle name="Millares 2" xfId="1" xr:uid="{00000000-0005-0000-0000-000002000000}"/>
    <cellStyle name="Moneda" xfId="7" builtinId="4"/>
    <cellStyle name="Moneda 2" xfId="5" xr:uid="{00000000-0005-0000-0000-000004000000}"/>
    <cellStyle name="Normal" xfId="0" builtinId="0"/>
    <cellStyle name="Normal 2" xfId="4" xr:uid="{00000000-0005-0000-0000-000006000000}"/>
    <cellStyle name="Normal 2 2" xfId="2" xr:uid="{00000000-0005-0000-0000-000007000000}"/>
    <cellStyle name="Porcentaje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200025</xdr:rowOff>
    </xdr:from>
    <xdr:to>
      <xdr:col>10</xdr:col>
      <xdr:colOff>438150</xdr:colOff>
      <xdr:row>2</xdr:row>
      <xdr:rowOff>123825</xdr:rowOff>
    </xdr:to>
    <xdr:sp macro="[0]!Insertar" textlink="">
      <xdr:nvSpPr>
        <xdr:cNvPr id="4" name="Rectángulo: esquina dobla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68150" y="200025"/>
          <a:ext cx="304800" cy="381000"/>
        </a:xfrm>
        <a:prstGeom prst="folded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10</xdr:col>
      <xdr:colOff>457200</xdr:colOff>
      <xdr:row>0</xdr:row>
      <xdr:rowOff>209550</xdr:rowOff>
    </xdr:from>
    <xdr:to>
      <xdr:col>11</xdr:col>
      <xdr:colOff>1009650</xdr:colOff>
      <xdr:row>2</xdr:row>
      <xdr:rowOff>66675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192000" y="209550"/>
          <a:ext cx="1600200" cy="314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900" b="1">
              <a:latin typeface="Arial" panose="020B0604020202020204" pitchFamily="34" charset="0"/>
              <a:cs typeface="Arial" panose="020B0604020202020204" pitchFamily="34" charset="0"/>
            </a:rPr>
            <a:t>INSERTAR</a:t>
          </a:r>
          <a:r>
            <a:rPr lang="es-CO" sz="900" b="1" baseline="0">
              <a:latin typeface="Arial" panose="020B0604020202020204" pitchFamily="34" charset="0"/>
              <a:cs typeface="Arial" panose="020B0604020202020204" pitchFamily="34" charset="0"/>
            </a:rPr>
            <a:t> ACTIVIDAD</a:t>
          </a:r>
          <a:endParaRPr lang="es-CO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809625</xdr:colOff>
      <xdr:row>0</xdr:row>
      <xdr:rowOff>47627</xdr:rowOff>
    </xdr:from>
    <xdr:to>
      <xdr:col>1</xdr:col>
      <xdr:colOff>349425</xdr:colOff>
      <xdr:row>2</xdr:row>
      <xdr:rowOff>190501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7183A9-AD74-4CD3-8689-9B645486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47627"/>
          <a:ext cx="2094405" cy="600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632460</xdr:colOff>
      <xdr:row>1</xdr:row>
      <xdr:rowOff>7620</xdr:rowOff>
    </xdr:from>
    <xdr:to>
      <xdr:col>8</xdr:col>
      <xdr:colOff>640630</xdr:colOff>
      <xdr:row>35</xdr:row>
      <xdr:rowOff>53883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DA1610-8C64-B3AA-F1D1-6AE64D7C1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" y="190500"/>
          <a:ext cx="6348010" cy="62641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106680</xdr:rowOff>
    </xdr:from>
    <xdr:to>
      <xdr:col>9</xdr:col>
      <xdr:colOff>511166</xdr:colOff>
      <xdr:row>31</xdr:row>
      <xdr:rowOff>8103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001CD08-0FCD-0AAF-0DAE-B5F651261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100" y="106680"/>
          <a:ext cx="7224386" cy="55707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piceriaapolo1@gmail.com" TargetMode="External"/><Relationship Id="rId1" Type="http://schemas.openxmlformats.org/officeDocument/2006/relationships/hyperlink" Target="mailto:COMERCIAL6@VCOMPLEMENTOS.COM%20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52"/>
  <sheetViews>
    <sheetView showGridLines="0" tabSelected="1" zoomScaleNormal="100" zoomScaleSheetLayoutView="9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A15" sqref="A15"/>
    </sheetView>
  </sheetViews>
  <sheetFormatPr baseColWidth="10" defaultColWidth="11.44140625" defaultRowHeight="11.4" x14ac:dyDescent="0.3"/>
  <cols>
    <col min="1" max="1" width="37.33203125" style="15" customWidth="1"/>
    <col min="2" max="3" width="9.44140625" style="15" customWidth="1"/>
    <col min="4" max="11" width="13.88671875" style="15" customWidth="1"/>
    <col min="12" max="13" width="15.6640625" style="15" hidden="1" customWidth="1"/>
    <col min="14" max="16" width="15.6640625" style="15" customWidth="1"/>
    <col min="17" max="17" width="11.44140625" style="15" hidden="1" customWidth="1"/>
    <col min="18" max="18" width="15" style="15" hidden="1" customWidth="1"/>
    <col min="19" max="16384" width="11.44140625" style="15"/>
  </cols>
  <sheetData>
    <row r="1" spans="1:18" s="3" customFormat="1" ht="18" customHeight="1" x14ac:dyDescent="0.3">
      <c r="A1" s="44"/>
      <c r="B1" s="45"/>
      <c r="C1" s="50" t="s">
        <v>0</v>
      </c>
      <c r="D1" s="51"/>
      <c r="E1" s="51"/>
      <c r="F1" s="51"/>
      <c r="G1" s="51"/>
      <c r="H1" s="51"/>
      <c r="I1" s="5" t="s">
        <v>1</v>
      </c>
      <c r="J1" s="2">
        <v>43655</v>
      </c>
    </row>
    <row r="2" spans="1:18" s="3" customFormat="1" ht="18" customHeight="1" x14ac:dyDescent="0.3">
      <c r="A2" s="46"/>
      <c r="B2" s="47"/>
      <c r="C2" s="51"/>
      <c r="D2" s="51"/>
      <c r="E2" s="51"/>
      <c r="F2" s="51"/>
      <c r="G2" s="51"/>
      <c r="H2" s="51"/>
      <c r="I2" s="5" t="s">
        <v>2</v>
      </c>
      <c r="J2" s="5" t="s">
        <v>3</v>
      </c>
    </row>
    <row r="3" spans="1:18" s="3" customFormat="1" ht="18" customHeight="1" x14ac:dyDescent="0.3">
      <c r="A3" s="48"/>
      <c r="B3" s="49"/>
      <c r="C3" s="51"/>
      <c r="D3" s="51"/>
      <c r="E3" s="51"/>
      <c r="F3" s="51"/>
      <c r="G3" s="51"/>
      <c r="H3" s="51"/>
      <c r="I3" s="5" t="s">
        <v>4</v>
      </c>
      <c r="J3" s="5">
        <v>1</v>
      </c>
    </row>
    <row r="4" spans="1:18" s="3" customFormat="1" ht="18" customHeight="1" x14ac:dyDescent="0.3">
      <c r="A4" s="36" t="s">
        <v>5</v>
      </c>
      <c r="B4" s="36"/>
      <c r="C4" s="36" t="s">
        <v>6</v>
      </c>
      <c r="D4" s="36"/>
      <c r="E4" s="5" t="s">
        <v>7</v>
      </c>
      <c r="F4" s="42" t="s">
        <v>8</v>
      </c>
      <c r="G4" s="43"/>
      <c r="H4" s="57"/>
      <c r="I4" s="5" t="s">
        <v>9</v>
      </c>
      <c r="J4" s="2"/>
    </row>
    <row r="5" spans="1:18" s="3" customFormat="1" ht="13.2" x14ac:dyDescent="0.3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8" ht="27" customHeight="1" x14ac:dyDescent="0.3">
      <c r="A6" s="13" t="s">
        <v>10</v>
      </c>
      <c r="B6" s="32" t="s">
        <v>47</v>
      </c>
      <c r="C6" s="33"/>
      <c r="D6" s="33"/>
      <c r="E6" s="13" t="s">
        <v>11</v>
      </c>
      <c r="F6" s="34"/>
      <c r="G6" s="35"/>
      <c r="H6" s="35"/>
      <c r="I6" s="13" t="s">
        <v>12</v>
      </c>
      <c r="J6" s="36"/>
      <c r="K6" s="36"/>
      <c r="L6" s="36"/>
      <c r="M6" s="36"/>
      <c r="N6" s="6"/>
      <c r="O6" s="62"/>
      <c r="P6" s="62"/>
    </row>
    <row r="7" spans="1:18" ht="13.2" x14ac:dyDescent="0.3">
      <c r="A7" s="13" t="s">
        <v>13</v>
      </c>
      <c r="B7" s="33" t="s">
        <v>48</v>
      </c>
      <c r="C7" s="33"/>
      <c r="D7" s="33"/>
      <c r="E7" s="33"/>
      <c r="F7" s="13" t="s">
        <v>14</v>
      </c>
      <c r="G7" s="33" t="s">
        <v>49</v>
      </c>
      <c r="H7" s="33"/>
      <c r="I7" s="33"/>
      <c r="J7" s="33"/>
      <c r="K7" s="33"/>
      <c r="L7" s="33"/>
      <c r="M7" s="33"/>
      <c r="N7" s="1"/>
    </row>
    <row r="8" spans="1:18" ht="13.2" x14ac:dyDescent="0.3">
      <c r="A8" s="42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16"/>
    </row>
    <row r="9" spans="1:18" ht="15" customHeight="1" x14ac:dyDescent="0.3">
      <c r="A9" s="38" t="s">
        <v>15</v>
      </c>
      <c r="B9" s="38"/>
      <c r="C9" s="38"/>
      <c r="D9" s="39" t="s">
        <v>46</v>
      </c>
      <c r="E9" s="39"/>
      <c r="F9" s="39"/>
      <c r="G9" s="39"/>
      <c r="H9" s="39"/>
      <c r="I9" s="39"/>
      <c r="J9" s="39"/>
      <c r="K9" s="39"/>
      <c r="L9" s="39"/>
      <c r="M9" s="39"/>
      <c r="N9" s="1"/>
    </row>
    <row r="10" spans="1:18" s="17" customFormat="1" ht="12" x14ac:dyDescent="0.3">
      <c r="A10" s="40" t="s">
        <v>16</v>
      </c>
      <c r="B10" s="41" t="s">
        <v>17</v>
      </c>
      <c r="C10" s="41" t="s">
        <v>18</v>
      </c>
      <c r="D10" s="40" t="s">
        <v>65</v>
      </c>
      <c r="E10" s="40"/>
      <c r="F10" s="40" t="s">
        <v>66</v>
      </c>
      <c r="G10" s="40"/>
      <c r="H10" s="40"/>
      <c r="I10" s="40"/>
      <c r="J10" s="40"/>
      <c r="K10" s="40"/>
      <c r="L10" s="40"/>
      <c r="M10" s="40"/>
      <c r="N10" s="40" t="s">
        <v>19</v>
      </c>
      <c r="O10" s="40"/>
      <c r="P10" s="40"/>
    </row>
    <row r="11" spans="1:18" s="17" customFormat="1" ht="12" x14ac:dyDescent="0.3">
      <c r="A11" s="40"/>
      <c r="B11" s="41"/>
      <c r="C11" s="41"/>
      <c r="D11" s="11" t="s">
        <v>20</v>
      </c>
      <c r="E11" s="11" t="s">
        <v>21</v>
      </c>
      <c r="F11" s="11" t="s">
        <v>20</v>
      </c>
      <c r="G11" s="11" t="s">
        <v>21</v>
      </c>
      <c r="H11" s="11" t="s">
        <v>20</v>
      </c>
      <c r="I11" s="11" t="s">
        <v>21</v>
      </c>
      <c r="J11" s="11" t="s">
        <v>20</v>
      </c>
      <c r="K11" s="11" t="s">
        <v>21</v>
      </c>
      <c r="L11" s="11" t="s">
        <v>20</v>
      </c>
      <c r="M11" s="11" t="s">
        <v>21</v>
      </c>
      <c r="N11" s="11" t="s">
        <v>22</v>
      </c>
      <c r="O11" s="11" t="s">
        <v>23</v>
      </c>
      <c r="P11" s="11" t="s">
        <v>21</v>
      </c>
      <c r="R11" s="18"/>
    </row>
    <row r="12" spans="1:18" ht="18.600000000000001" customHeight="1" x14ac:dyDescent="0.3">
      <c r="A12" s="9" t="s">
        <v>50</v>
      </c>
      <c r="B12" s="7">
        <v>1</v>
      </c>
      <c r="C12" s="7" t="s">
        <v>18</v>
      </c>
      <c r="D12" s="4">
        <v>70000</v>
      </c>
      <c r="E12" s="12">
        <f>+D12*B12</f>
        <v>70000</v>
      </c>
      <c r="F12" s="4">
        <v>75000</v>
      </c>
      <c r="G12" s="12">
        <f t="shared" ref="G12:G26" si="0">B12*F12</f>
        <v>75000</v>
      </c>
      <c r="H12" s="8"/>
      <c r="I12" s="12">
        <f t="shared" ref="I12:I26" si="1">H12*B12</f>
        <v>0</v>
      </c>
      <c r="J12" s="8"/>
      <c r="K12" s="12">
        <f t="shared" ref="K12:K15" si="2">J12*B12</f>
        <v>0</v>
      </c>
      <c r="L12" s="4"/>
      <c r="M12" s="12">
        <f t="shared" ref="M12:M16" si="3">L12*B12</f>
        <v>0</v>
      </c>
      <c r="N12" s="14" t="str">
        <f>+HLOOKUP(O12,A12:M39,Q12,FALSE)</f>
        <v xml:space="preserve">DANIEL HERNEY OCAMPO </v>
      </c>
      <c r="O12" s="4">
        <f>+MIN(D12,F12,H12,J12,L12)</f>
        <v>70000</v>
      </c>
      <c r="P12" s="4">
        <f>O12*B12</f>
        <v>70000</v>
      </c>
      <c r="Q12" s="15">
        <f>+COUNT(R12:R39)</f>
        <v>28</v>
      </c>
      <c r="R12" s="19">
        <v>1</v>
      </c>
    </row>
    <row r="13" spans="1:18" ht="18.600000000000001" customHeight="1" x14ac:dyDescent="0.3">
      <c r="A13" s="9" t="s">
        <v>51</v>
      </c>
      <c r="B13" s="7">
        <v>1</v>
      </c>
      <c r="C13" s="7" t="s">
        <v>18</v>
      </c>
      <c r="D13" s="4">
        <v>80000</v>
      </c>
      <c r="E13" s="12">
        <f t="shared" ref="E13:E26" si="4">+D13*B13</f>
        <v>80000</v>
      </c>
      <c r="F13" s="4">
        <v>85000</v>
      </c>
      <c r="G13" s="12">
        <f t="shared" si="0"/>
        <v>85000</v>
      </c>
      <c r="H13" s="8"/>
      <c r="I13" s="12">
        <f t="shared" si="1"/>
        <v>0</v>
      </c>
      <c r="J13" s="8"/>
      <c r="K13" s="12">
        <f t="shared" si="2"/>
        <v>0</v>
      </c>
      <c r="L13" s="4"/>
      <c r="M13" s="12">
        <f t="shared" si="3"/>
        <v>0</v>
      </c>
      <c r="N13" s="14" t="str">
        <f>+HLOOKUP(O13,A13:M40,Q13,FALSE)</f>
        <v xml:space="preserve">DANIEL HERNEY OCAMPO </v>
      </c>
      <c r="O13" s="4">
        <f t="shared" ref="O13:O24" si="5">+MIN(D13,F13,H13,J13,L13)</f>
        <v>80000</v>
      </c>
      <c r="P13" s="4">
        <f t="shared" ref="P13:P24" si="6">O13*B13</f>
        <v>80000</v>
      </c>
      <c r="Q13" s="15">
        <f>+COUNT(R13:R40)</f>
        <v>27</v>
      </c>
      <c r="R13" s="19">
        <f>1+R12</f>
        <v>2</v>
      </c>
    </row>
    <row r="14" spans="1:18" ht="18.600000000000001" customHeight="1" x14ac:dyDescent="0.3">
      <c r="A14" s="9" t="s">
        <v>52</v>
      </c>
      <c r="B14" s="7">
        <v>1</v>
      </c>
      <c r="C14" s="7" t="s">
        <v>18</v>
      </c>
      <c r="D14" s="4">
        <v>80000</v>
      </c>
      <c r="E14" s="12">
        <f>+D14*B14</f>
        <v>80000</v>
      </c>
      <c r="F14" s="4">
        <v>100000</v>
      </c>
      <c r="G14" s="12">
        <f t="shared" si="0"/>
        <v>100000</v>
      </c>
      <c r="H14" s="8"/>
      <c r="I14" s="12">
        <f t="shared" si="1"/>
        <v>0</v>
      </c>
      <c r="J14" s="8"/>
      <c r="K14" s="12">
        <f t="shared" si="2"/>
        <v>0</v>
      </c>
      <c r="L14" s="4"/>
      <c r="M14" s="12">
        <f t="shared" si="3"/>
        <v>0</v>
      </c>
      <c r="N14" s="14" t="str">
        <f>+HLOOKUP(O14,A14:M41,Q14,FALSE)</f>
        <v xml:space="preserve">DANIEL HERNEY OCAMPO </v>
      </c>
      <c r="O14" s="4">
        <f t="shared" si="5"/>
        <v>80000</v>
      </c>
      <c r="P14" s="4">
        <f t="shared" si="6"/>
        <v>80000</v>
      </c>
      <c r="Q14" s="15">
        <f>+COUNT(R14:R41)</f>
        <v>26</v>
      </c>
      <c r="R14" s="19">
        <f t="shared" ref="R14:R39" si="7">1+R13</f>
        <v>3</v>
      </c>
    </row>
    <row r="15" spans="1:18" ht="18.600000000000001" customHeight="1" x14ac:dyDescent="0.3">
      <c r="A15" s="9" t="s">
        <v>53</v>
      </c>
      <c r="B15" s="7">
        <v>1</v>
      </c>
      <c r="C15" s="7" t="s">
        <v>18</v>
      </c>
      <c r="D15" s="4">
        <v>70000</v>
      </c>
      <c r="E15" s="12">
        <f t="shared" si="4"/>
        <v>70000</v>
      </c>
      <c r="F15" s="4">
        <v>85000</v>
      </c>
      <c r="G15" s="12">
        <f t="shared" si="0"/>
        <v>85000</v>
      </c>
      <c r="H15" s="8"/>
      <c r="I15" s="12">
        <f t="shared" si="1"/>
        <v>0</v>
      </c>
      <c r="J15" s="8"/>
      <c r="K15" s="12">
        <f t="shared" si="2"/>
        <v>0</v>
      </c>
      <c r="L15" s="4"/>
      <c r="M15" s="12">
        <f t="shared" si="3"/>
        <v>0</v>
      </c>
      <c r="N15" s="14" t="str">
        <f>+HLOOKUP(O15,A15:M43,Q15,FALSE)</f>
        <v xml:space="preserve">DANIEL HERNEY OCAMPO </v>
      </c>
      <c r="O15" s="4">
        <f t="shared" si="5"/>
        <v>70000</v>
      </c>
      <c r="P15" s="4">
        <f t="shared" si="6"/>
        <v>70000</v>
      </c>
      <c r="Q15" s="15">
        <f>+COUNT(R15:R43)</f>
        <v>25</v>
      </c>
      <c r="R15" s="19">
        <f t="shared" si="7"/>
        <v>4</v>
      </c>
    </row>
    <row r="16" spans="1:18" ht="18.600000000000001" customHeight="1" x14ac:dyDescent="0.3">
      <c r="A16" s="9" t="s">
        <v>54</v>
      </c>
      <c r="B16" s="7">
        <v>1</v>
      </c>
      <c r="C16" s="7" t="s">
        <v>18</v>
      </c>
      <c r="D16" s="4">
        <v>230000</v>
      </c>
      <c r="E16" s="12">
        <f t="shared" si="4"/>
        <v>230000</v>
      </c>
      <c r="F16" s="4">
        <v>80000</v>
      </c>
      <c r="G16" s="12">
        <f t="shared" si="0"/>
        <v>80000</v>
      </c>
      <c r="H16" s="8"/>
      <c r="I16" s="12">
        <f t="shared" si="1"/>
        <v>0</v>
      </c>
      <c r="J16" s="8"/>
      <c r="K16" s="12">
        <f t="shared" ref="K16:K26" si="8">+J16*B16</f>
        <v>0</v>
      </c>
      <c r="L16" s="4"/>
      <c r="M16" s="12">
        <f t="shared" si="3"/>
        <v>0</v>
      </c>
      <c r="N16" s="14" t="str">
        <f>+HLOOKUP(O16,A16:M44,Q16,FALSE)</f>
        <v xml:space="preserve">V COMPLEMENTO </v>
      </c>
      <c r="O16" s="4">
        <f t="shared" si="5"/>
        <v>80000</v>
      </c>
      <c r="P16" s="4">
        <f t="shared" si="6"/>
        <v>80000</v>
      </c>
      <c r="Q16" s="15">
        <f>+COUNT(R16:R44)</f>
        <v>24</v>
      </c>
      <c r="R16" s="19">
        <f t="shared" si="7"/>
        <v>5</v>
      </c>
    </row>
    <row r="17" spans="1:18" ht="18.600000000000001" customHeight="1" x14ac:dyDescent="0.3">
      <c r="A17" s="9" t="s">
        <v>55</v>
      </c>
      <c r="B17" s="7">
        <v>1</v>
      </c>
      <c r="C17" s="7" t="s">
        <v>18</v>
      </c>
      <c r="D17" s="4">
        <v>50000</v>
      </c>
      <c r="E17" s="12">
        <f t="shared" si="4"/>
        <v>50000</v>
      </c>
      <c r="F17" s="4">
        <v>35000</v>
      </c>
      <c r="G17" s="12">
        <f t="shared" si="0"/>
        <v>35000</v>
      </c>
      <c r="H17" s="8"/>
      <c r="I17" s="12">
        <f t="shared" si="1"/>
        <v>0</v>
      </c>
      <c r="J17" s="8"/>
      <c r="K17" s="12">
        <f t="shared" si="8"/>
        <v>0</v>
      </c>
      <c r="L17" s="4"/>
      <c r="M17" s="12">
        <f t="shared" ref="M17:M26" si="9">L17*B17</f>
        <v>0</v>
      </c>
      <c r="N17" s="14" t="str">
        <f>+HLOOKUP(O17,A17:M46,Q17,FALSE)</f>
        <v xml:space="preserve">V COMPLEMENTO </v>
      </c>
      <c r="O17" s="4">
        <f t="shared" si="5"/>
        <v>35000</v>
      </c>
      <c r="P17" s="4">
        <f t="shared" si="6"/>
        <v>35000</v>
      </c>
      <c r="Q17" s="15">
        <f>+COUNT(R17:R46)</f>
        <v>23</v>
      </c>
      <c r="R17" s="19">
        <f t="shared" si="7"/>
        <v>6</v>
      </c>
    </row>
    <row r="18" spans="1:18" ht="18.600000000000001" customHeight="1" x14ac:dyDescent="0.3">
      <c r="A18" s="9" t="s">
        <v>56</v>
      </c>
      <c r="B18" s="7">
        <v>1</v>
      </c>
      <c r="C18" s="7" t="s">
        <v>18</v>
      </c>
      <c r="D18" s="4">
        <v>60000</v>
      </c>
      <c r="E18" s="12">
        <f t="shared" si="4"/>
        <v>60000</v>
      </c>
      <c r="F18" s="4">
        <v>65000</v>
      </c>
      <c r="G18" s="12">
        <f t="shared" si="0"/>
        <v>65000</v>
      </c>
      <c r="H18" s="8"/>
      <c r="I18" s="12">
        <f t="shared" si="1"/>
        <v>0</v>
      </c>
      <c r="J18" s="8"/>
      <c r="K18" s="12">
        <f t="shared" si="8"/>
        <v>0</v>
      </c>
      <c r="L18" s="4"/>
      <c r="M18" s="12">
        <f t="shared" si="9"/>
        <v>0</v>
      </c>
      <c r="N18" s="14" t="str">
        <f>+HLOOKUP(O18,A18:M47,Q18,FALSE)</f>
        <v xml:space="preserve">DANIEL HERNEY OCAMPO </v>
      </c>
      <c r="O18" s="4">
        <f t="shared" si="5"/>
        <v>60000</v>
      </c>
      <c r="P18" s="4">
        <f t="shared" si="6"/>
        <v>60000</v>
      </c>
      <c r="Q18" s="15">
        <f>+COUNT(R18:R47)</f>
        <v>22</v>
      </c>
      <c r="R18" s="19">
        <f t="shared" si="7"/>
        <v>7</v>
      </c>
    </row>
    <row r="19" spans="1:18" ht="18.600000000000001" customHeight="1" x14ac:dyDescent="0.3">
      <c r="A19" s="9" t="s">
        <v>57</v>
      </c>
      <c r="B19" s="7">
        <v>1</v>
      </c>
      <c r="C19" s="7" t="s">
        <v>18</v>
      </c>
      <c r="D19" s="4">
        <v>12000</v>
      </c>
      <c r="E19" s="12">
        <f t="shared" si="4"/>
        <v>12000</v>
      </c>
      <c r="F19" s="4"/>
      <c r="G19" s="12">
        <f t="shared" si="0"/>
        <v>0</v>
      </c>
      <c r="H19" s="8"/>
      <c r="I19" s="12">
        <f t="shared" si="1"/>
        <v>0</v>
      </c>
      <c r="J19" s="8"/>
      <c r="K19" s="12">
        <f t="shared" si="8"/>
        <v>0</v>
      </c>
      <c r="L19" s="4"/>
      <c r="M19" s="12">
        <f t="shared" si="9"/>
        <v>0</v>
      </c>
      <c r="N19" s="14" t="str">
        <f>+HLOOKUP(O19,A19:M48,Q19,FALSE)</f>
        <v xml:space="preserve">DANIEL HERNEY OCAMPO </v>
      </c>
      <c r="O19" s="4">
        <f t="shared" si="5"/>
        <v>12000</v>
      </c>
      <c r="P19" s="4">
        <f t="shared" si="6"/>
        <v>12000</v>
      </c>
      <c r="Q19" s="15">
        <f>+COUNT(R19:R48)</f>
        <v>21</v>
      </c>
      <c r="R19" s="19">
        <f t="shared" si="7"/>
        <v>8</v>
      </c>
    </row>
    <row r="20" spans="1:18" ht="18.600000000000001" customHeight="1" x14ac:dyDescent="0.3">
      <c r="A20" s="9" t="s">
        <v>58</v>
      </c>
      <c r="B20" s="7">
        <v>1</v>
      </c>
      <c r="C20" s="7" t="s">
        <v>18</v>
      </c>
      <c r="D20" s="4">
        <v>60000</v>
      </c>
      <c r="E20" s="12">
        <f t="shared" si="4"/>
        <v>60000</v>
      </c>
      <c r="F20" s="4">
        <v>95000</v>
      </c>
      <c r="G20" s="12">
        <f t="shared" si="0"/>
        <v>95000</v>
      </c>
      <c r="H20" s="8"/>
      <c r="I20" s="12">
        <f t="shared" si="1"/>
        <v>0</v>
      </c>
      <c r="J20" s="8"/>
      <c r="K20" s="12">
        <f t="shared" si="8"/>
        <v>0</v>
      </c>
      <c r="L20" s="4"/>
      <c r="M20" s="12">
        <f t="shared" si="9"/>
        <v>0</v>
      </c>
      <c r="N20" s="14" t="str">
        <f>+HLOOKUP(O20,A20:M49,Q20,FALSE)</f>
        <v xml:space="preserve">DANIEL HERNEY OCAMPO </v>
      </c>
      <c r="O20" s="4">
        <f t="shared" ref="O20" si="10">+MIN(D20,F20,H20,J20,L20)</f>
        <v>60000</v>
      </c>
      <c r="P20" s="4">
        <f t="shared" ref="P20" si="11">O20*B20</f>
        <v>60000</v>
      </c>
      <c r="Q20" s="15">
        <f t="shared" ref="Q20:Q25" si="12">+COUNT(R20:R49)</f>
        <v>20</v>
      </c>
      <c r="R20" s="19">
        <f t="shared" si="7"/>
        <v>9</v>
      </c>
    </row>
    <row r="21" spans="1:18" ht="18.600000000000001" customHeight="1" x14ac:dyDescent="0.3">
      <c r="A21" s="9" t="s">
        <v>59</v>
      </c>
      <c r="B21" s="7">
        <v>1</v>
      </c>
      <c r="C21" s="7" t="s">
        <v>18</v>
      </c>
      <c r="D21" s="4">
        <v>10000</v>
      </c>
      <c r="E21" s="12">
        <f t="shared" si="4"/>
        <v>10000</v>
      </c>
      <c r="F21" s="4">
        <v>20000</v>
      </c>
      <c r="G21" s="12">
        <f t="shared" si="0"/>
        <v>20000</v>
      </c>
      <c r="H21" s="8"/>
      <c r="I21" s="12">
        <f t="shared" si="1"/>
        <v>0</v>
      </c>
      <c r="J21" s="8"/>
      <c r="K21" s="12">
        <f t="shared" si="8"/>
        <v>0</v>
      </c>
      <c r="L21" s="4"/>
      <c r="M21" s="12">
        <f t="shared" si="9"/>
        <v>0</v>
      </c>
      <c r="N21" s="14" t="str">
        <f>+HLOOKUP(O21,A21:M49,Q21,FALSE)</f>
        <v xml:space="preserve">DANIEL HERNEY OCAMPO </v>
      </c>
      <c r="O21" s="4">
        <f t="shared" ref="O21" si="13">+MIN(D21,F21,H21,J21,L21)</f>
        <v>10000</v>
      </c>
      <c r="P21" s="4">
        <f t="shared" ref="P21" si="14">O21*B21</f>
        <v>10000</v>
      </c>
      <c r="Q21" s="15">
        <f t="shared" si="12"/>
        <v>19</v>
      </c>
      <c r="R21" s="19">
        <f t="shared" si="7"/>
        <v>10</v>
      </c>
    </row>
    <row r="22" spans="1:18" ht="18.600000000000001" customHeight="1" x14ac:dyDescent="0.3">
      <c r="A22" s="9" t="s">
        <v>60</v>
      </c>
      <c r="B22" s="7">
        <v>1</v>
      </c>
      <c r="C22" s="7" t="s">
        <v>18</v>
      </c>
      <c r="D22" s="4"/>
      <c r="E22" s="12">
        <f t="shared" si="4"/>
        <v>0</v>
      </c>
      <c r="F22" s="4"/>
      <c r="G22" s="12">
        <f t="shared" si="0"/>
        <v>0</v>
      </c>
      <c r="H22" s="8"/>
      <c r="I22" s="12">
        <f t="shared" si="1"/>
        <v>0</v>
      </c>
      <c r="J22" s="8"/>
      <c r="K22" s="12">
        <f t="shared" si="8"/>
        <v>0</v>
      </c>
      <c r="L22" s="4"/>
      <c r="M22" s="12">
        <f t="shared" si="9"/>
        <v>0</v>
      </c>
      <c r="N22" s="14">
        <f>+HLOOKUP(O22,A22:M49,Q22,FALSE)</f>
        <v>0</v>
      </c>
      <c r="O22" s="4">
        <f t="shared" ref="O22" si="15">+MIN(D22,F22,H22,J22,L22)</f>
        <v>0</v>
      </c>
      <c r="P22" s="4">
        <f t="shared" ref="P22" si="16">O22*B22</f>
        <v>0</v>
      </c>
      <c r="Q22" s="15">
        <f t="shared" si="12"/>
        <v>18</v>
      </c>
      <c r="R22" s="19">
        <f t="shared" si="7"/>
        <v>11</v>
      </c>
    </row>
    <row r="23" spans="1:18" ht="18.600000000000001" customHeight="1" x14ac:dyDescent="0.3">
      <c r="A23" s="9" t="s">
        <v>61</v>
      </c>
      <c r="B23" s="7">
        <v>1</v>
      </c>
      <c r="C23" s="7" t="s">
        <v>18</v>
      </c>
      <c r="D23" s="4">
        <v>15000</v>
      </c>
      <c r="E23" s="12">
        <f t="shared" si="4"/>
        <v>15000</v>
      </c>
      <c r="F23" s="4"/>
      <c r="G23" s="12">
        <f t="shared" si="0"/>
        <v>0</v>
      </c>
      <c r="H23" s="8"/>
      <c r="I23" s="12">
        <f t="shared" si="1"/>
        <v>0</v>
      </c>
      <c r="J23" s="8"/>
      <c r="K23" s="12">
        <f t="shared" si="8"/>
        <v>0</v>
      </c>
      <c r="L23" s="4"/>
      <c r="M23" s="12">
        <f t="shared" si="9"/>
        <v>0</v>
      </c>
      <c r="N23" s="14" t="str">
        <f>+HLOOKUP(O23,A23:M49,Q23,FALSE)</f>
        <v xml:space="preserve">DANIEL HERNEY OCAMPO </v>
      </c>
      <c r="O23" s="4">
        <f t="shared" ref="O23" si="17">+MIN(D23,F23,H23,J23,L23)</f>
        <v>15000</v>
      </c>
      <c r="P23" s="4">
        <f t="shared" ref="P23" si="18">O23*B23</f>
        <v>15000</v>
      </c>
      <c r="Q23" s="15">
        <f t="shared" si="12"/>
        <v>17</v>
      </c>
      <c r="R23" s="19">
        <f t="shared" si="7"/>
        <v>12</v>
      </c>
    </row>
    <row r="24" spans="1:18" ht="18.600000000000001" customHeight="1" x14ac:dyDescent="0.3">
      <c r="A24" s="9" t="s">
        <v>62</v>
      </c>
      <c r="B24" s="7">
        <v>1</v>
      </c>
      <c r="C24" s="7" t="s">
        <v>18</v>
      </c>
      <c r="D24" s="4">
        <v>15000</v>
      </c>
      <c r="E24" s="12">
        <f t="shared" si="4"/>
        <v>15000</v>
      </c>
      <c r="F24" s="4"/>
      <c r="G24" s="12">
        <f t="shared" si="0"/>
        <v>0</v>
      </c>
      <c r="H24" s="8"/>
      <c r="I24" s="12">
        <f t="shared" si="1"/>
        <v>0</v>
      </c>
      <c r="J24" s="8"/>
      <c r="K24" s="12">
        <f t="shared" si="8"/>
        <v>0</v>
      </c>
      <c r="L24" s="4"/>
      <c r="M24" s="12">
        <f t="shared" si="9"/>
        <v>0</v>
      </c>
      <c r="N24" s="14" t="str">
        <f>+HLOOKUP(O24,A24:M48,Q24,FALSE)</f>
        <v xml:space="preserve">DANIEL HERNEY OCAMPO </v>
      </c>
      <c r="O24" s="4">
        <f t="shared" si="5"/>
        <v>15000</v>
      </c>
      <c r="P24" s="4">
        <f t="shared" si="6"/>
        <v>15000</v>
      </c>
      <c r="Q24" s="15">
        <f t="shared" si="12"/>
        <v>16</v>
      </c>
      <c r="R24" s="19">
        <f t="shared" si="7"/>
        <v>13</v>
      </c>
    </row>
    <row r="25" spans="1:18" ht="18.600000000000001" customHeight="1" x14ac:dyDescent="0.3">
      <c r="A25" s="9" t="s">
        <v>63</v>
      </c>
      <c r="B25" s="7">
        <v>1</v>
      </c>
      <c r="C25" s="7" t="s">
        <v>18</v>
      </c>
      <c r="D25" s="4">
        <v>50000</v>
      </c>
      <c r="E25" s="12">
        <f t="shared" si="4"/>
        <v>50000</v>
      </c>
      <c r="F25" s="4">
        <v>80000</v>
      </c>
      <c r="G25" s="12">
        <f t="shared" si="0"/>
        <v>80000</v>
      </c>
      <c r="H25" s="8"/>
      <c r="I25" s="12">
        <f t="shared" si="1"/>
        <v>0</v>
      </c>
      <c r="J25" s="8"/>
      <c r="K25" s="12">
        <f t="shared" si="8"/>
        <v>0</v>
      </c>
      <c r="L25" s="4"/>
      <c r="M25" s="12">
        <f t="shared" si="9"/>
        <v>0</v>
      </c>
      <c r="N25" s="14" t="str">
        <f>+HLOOKUP(O25,A25:M49,Q25,FALSE)</f>
        <v xml:space="preserve">DANIEL HERNEY OCAMPO </v>
      </c>
      <c r="O25" s="4">
        <f t="shared" ref="O25" si="19">+MIN(D25,F25,H25,J25,L25)</f>
        <v>50000</v>
      </c>
      <c r="P25" s="4">
        <f t="shared" ref="P25" si="20">O25*B25</f>
        <v>50000</v>
      </c>
      <c r="Q25" s="15">
        <f t="shared" si="12"/>
        <v>15</v>
      </c>
      <c r="R25" s="19">
        <f t="shared" si="7"/>
        <v>14</v>
      </c>
    </row>
    <row r="26" spans="1:18" ht="18.600000000000001" customHeight="1" x14ac:dyDescent="0.3">
      <c r="A26" s="9" t="s">
        <v>64</v>
      </c>
      <c r="B26" s="7">
        <v>1</v>
      </c>
      <c r="C26" s="7" t="s">
        <v>18</v>
      </c>
      <c r="D26" s="4">
        <v>40000</v>
      </c>
      <c r="E26" s="12">
        <f t="shared" si="4"/>
        <v>40000</v>
      </c>
      <c r="F26" s="4">
        <v>55000</v>
      </c>
      <c r="G26" s="12">
        <f t="shared" si="0"/>
        <v>55000</v>
      </c>
      <c r="H26" s="8"/>
      <c r="I26" s="12">
        <f t="shared" si="1"/>
        <v>0</v>
      </c>
      <c r="J26" s="8"/>
      <c r="K26" s="12">
        <f t="shared" si="8"/>
        <v>0</v>
      </c>
      <c r="L26" s="4"/>
      <c r="M26" s="12">
        <f t="shared" si="9"/>
        <v>0</v>
      </c>
      <c r="N26" s="14" t="str">
        <f>+HLOOKUP(O26,A26:M49,Q26,FALSE)</f>
        <v xml:space="preserve">DANIEL HERNEY OCAMPO </v>
      </c>
      <c r="O26" s="4">
        <f t="shared" ref="O26" si="21">+MIN(D26,F26,H26,J26,L26)</f>
        <v>40000</v>
      </c>
      <c r="P26" s="4">
        <f t="shared" ref="P26" si="22">O26*B26</f>
        <v>40000</v>
      </c>
      <c r="Q26" s="15">
        <f t="shared" ref="Q26" si="23">+COUNT(R26:R54)</f>
        <v>14</v>
      </c>
      <c r="R26" s="19">
        <f t="shared" si="7"/>
        <v>15</v>
      </c>
    </row>
    <row r="27" spans="1:18" x14ac:dyDescent="0.3">
      <c r="A27" s="9"/>
      <c r="B27" s="7"/>
      <c r="C27" s="7"/>
      <c r="D27" s="20"/>
      <c r="E27" s="20"/>
      <c r="F27" s="21"/>
      <c r="G27" s="22"/>
      <c r="H27" s="23"/>
      <c r="I27" s="23"/>
      <c r="J27" s="23"/>
      <c r="K27" s="23"/>
      <c r="L27" s="21"/>
      <c r="M27" s="21"/>
      <c r="N27" s="24"/>
      <c r="O27" s="21"/>
      <c r="P27" s="21"/>
      <c r="Q27" s="15">
        <f t="shared" ref="Q27" si="24">+COUNT(R27:R54)</f>
        <v>13</v>
      </c>
      <c r="R27" s="19">
        <f t="shared" si="7"/>
        <v>16</v>
      </c>
    </row>
    <row r="28" spans="1:18" ht="15" customHeight="1" x14ac:dyDescent="0.3">
      <c r="A28" s="55" t="s">
        <v>21</v>
      </c>
      <c r="B28" s="55"/>
      <c r="C28" s="55"/>
      <c r="D28" s="20"/>
      <c r="E28" s="20">
        <f>+SUM(E12:E27)</f>
        <v>842000</v>
      </c>
      <c r="F28" s="20"/>
      <c r="G28" s="20">
        <f>+SUM(G12:G27)</f>
        <v>775000</v>
      </c>
      <c r="H28" s="20"/>
      <c r="I28" s="20">
        <f>+SUM(I12:I27)</f>
        <v>0</v>
      </c>
      <c r="J28" s="20"/>
      <c r="K28" s="20">
        <f>+SUM(K12:K27)</f>
        <v>0</v>
      </c>
      <c r="L28" s="20"/>
      <c r="M28" s="20">
        <f>+SUM(M12:M27)</f>
        <v>0</v>
      </c>
      <c r="N28" s="20"/>
      <c r="O28" s="20"/>
      <c r="P28" s="20">
        <f>+SUM(P12:P27)</f>
        <v>677000</v>
      </c>
      <c r="Q28" s="15">
        <f t="shared" ref="Q28" si="25">+COUNT(R28:R54)</f>
        <v>12</v>
      </c>
      <c r="R28" s="19">
        <f t="shared" si="7"/>
        <v>17</v>
      </c>
    </row>
    <row r="29" spans="1:18" ht="15" customHeight="1" x14ac:dyDescent="0.3">
      <c r="A29" s="63" t="s">
        <v>25</v>
      </c>
      <c r="B29" s="63"/>
      <c r="C29" s="63"/>
      <c r="D29" s="25">
        <v>0</v>
      </c>
      <c r="E29" s="20">
        <f>+D29*E28</f>
        <v>0</v>
      </c>
      <c r="F29" s="25">
        <v>0</v>
      </c>
      <c r="G29" s="20">
        <f>+F29*G28</f>
        <v>0</v>
      </c>
      <c r="H29" s="25">
        <v>0</v>
      </c>
      <c r="I29" s="20">
        <f>+H29*I28</f>
        <v>0</v>
      </c>
      <c r="J29" s="25">
        <v>0</v>
      </c>
      <c r="K29" s="20">
        <f>+J29*K28</f>
        <v>0</v>
      </c>
      <c r="L29" s="25">
        <v>0</v>
      </c>
      <c r="M29" s="20">
        <f>+L29*M28</f>
        <v>0</v>
      </c>
      <c r="N29" s="20"/>
      <c r="O29" s="25">
        <v>0</v>
      </c>
      <c r="P29" s="20">
        <f>+O29*P28</f>
        <v>0</v>
      </c>
      <c r="Q29" s="15">
        <f>+COUNT(R29:R53)</f>
        <v>11</v>
      </c>
      <c r="R29" s="19">
        <f t="shared" si="7"/>
        <v>18</v>
      </c>
    </row>
    <row r="30" spans="1:18" ht="15" customHeight="1" x14ac:dyDescent="0.3">
      <c r="A30" s="55" t="s">
        <v>26</v>
      </c>
      <c r="B30" s="55"/>
      <c r="C30" s="55"/>
      <c r="D30" s="25">
        <v>0.19</v>
      </c>
      <c r="E30" s="20">
        <f>+E28*D30</f>
        <v>159980</v>
      </c>
      <c r="F30" s="25">
        <v>0.19</v>
      </c>
      <c r="G30" s="20">
        <f>+G28*F30</f>
        <v>147250</v>
      </c>
      <c r="H30" s="25">
        <v>0.19</v>
      </c>
      <c r="I30" s="20">
        <f>+I28*H30</f>
        <v>0</v>
      </c>
      <c r="J30" s="25">
        <v>0.19</v>
      </c>
      <c r="K30" s="20">
        <v>0</v>
      </c>
      <c r="L30" s="25">
        <v>0.19</v>
      </c>
      <c r="M30" s="20">
        <f>+M28*B30</f>
        <v>0</v>
      </c>
      <c r="N30" s="20"/>
      <c r="O30" s="25">
        <v>0.19</v>
      </c>
      <c r="P30" s="20">
        <f>+P28*D30</f>
        <v>128630</v>
      </c>
      <c r="Q30" s="15">
        <f>+COUNT(R30:R54)</f>
        <v>10</v>
      </c>
      <c r="R30" s="19">
        <f t="shared" si="7"/>
        <v>19</v>
      </c>
    </row>
    <row r="31" spans="1:18" ht="15" customHeight="1" x14ac:dyDescent="0.3">
      <c r="A31" s="55" t="s">
        <v>27</v>
      </c>
      <c r="B31" s="55"/>
      <c r="C31" s="55"/>
      <c r="D31" s="20"/>
      <c r="E31" s="20">
        <f>+E30+E28</f>
        <v>1001980</v>
      </c>
      <c r="F31" s="20"/>
      <c r="G31" s="20">
        <f>+G30+G28</f>
        <v>922250</v>
      </c>
      <c r="H31" s="20"/>
      <c r="I31" s="20">
        <f>+I30+I28</f>
        <v>0</v>
      </c>
      <c r="J31" s="20"/>
      <c r="K31" s="20">
        <v>0</v>
      </c>
      <c r="L31" s="20"/>
      <c r="M31" s="20">
        <f>+M30+M28</f>
        <v>0</v>
      </c>
      <c r="N31" s="20"/>
      <c r="O31" s="20"/>
      <c r="P31" s="20">
        <f>+P30+P28</f>
        <v>805630</v>
      </c>
      <c r="Q31" s="15">
        <f>+COUNT(R31:R54)</f>
        <v>9</v>
      </c>
      <c r="R31" s="19">
        <f t="shared" si="7"/>
        <v>20</v>
      </c>
    </row>
    <row r="32" spans="1:18" ht="15" customHeight="1" x14ac:dyDescent="0.3">
      <c r="A32" s="55" t="s">
        <v>28</v>
      </c>
      <c r="B32" s="55"/>
      <c r="C32" s="55"/>
      <c r="D32" s="37" t="s">
        <v>29</v>
      </c>
      <c r="E32" s="37"/>
      <c r="F32" s="64" t="s">
        <v>29</v>
      </c>
      <c r="G32" s="64"/>
      <c r="H32" s="64" t="s">
        <v>29</v>
      </c>
      <c r="I32" s="64"/>
      <c r="J32" s="64"/>
      <c r="K32" s="64"/>
      <c r="L32" s="64"/>
      <c r="M32" s="64"/>
      <c r="Q32" s="15">
        <f>+COUNT(R32:R54)</f>
        <v>8</v>
      </c>
      <c r="R32" s="19">
        <f t="shared" si="7"/>
        <v>21</v>
      </c>
    </row>
    <row r="33" spans="1:18" ht="15" customHeight="1" x14ac:dyDescent="0.3">
      <c r="A33" s="63" t="s">
        <v>30</v>
      </c>
      <c r="B33" s="63"/>
      <c r="C33" s="63"/>
      <c r="D33" s="37" t="s">
        <v>24</v>
      </c>
      <c r="E33" s="37"/>
      <c r="F33" s="37" t="s">
        <v>24</v>
      </c>
      <c r="G33" s="37"/>
      <c r="H33" s="37" t="s">
        <v>24</v>
      </c>
      <c r="I33" s="37"/>
      <c r="J33" s="37"/>
      <c r="K33" s="37"/>
      <c r="L33" s="37"/>
      <c r="M33" s="37"/>
      <c r="Q33" s="15">
        <f>+COUNT(R33:R54)</f>
        <v>7</v>
      </c>
      <c r="R33" s="19">
        <f t="shared" si="7"/>
        <v>22</v>
      </c>
    </row>
    <row r="34" spans="1:18" ht="15" customHeight="1" x14ac:dyDescent="0.3">
      <c r="A34" s="63" t="s">
        <v>31</v>
      </c>
      <c r="B34" s="63"/>
      <c r="C34" s="63"/>
      <c r="D34" s="37"/>
      <c r="E34" s="37"/>
      <c r="F34" s="37"/>
      <c r="G34" s="37"/>
      <c r="H34" s="37"/>
      <c r="I34" s="37"/>
      <c r="J34" s="37"/>
      <c r="K34" s="37"/>
      <c r="L34" s="37"/>
      <c r="M34" s="37"/>
      <c r="Q34" s="15">
        <f>+COUNT(R34:R54)</f>
        <v>6</v>
      </c>
      <c r="R34" s="19">
        <f t="shared" si="7"/>
        <v>23</v>
      </c>
    </row>
    <row r="35" spans="1:18" ht="15" customHeight="1" x14ac:dyDescent="0.3">
      <c r="A35" s="63" t="s">
        <v>32</v>
      </c>
      <c r="B35" s="63"/>
      <c r="C35" s="63"/>
      <c r="D35" s="37"/>
      <c r="E35" s="37"/>
      <c r="F35" s="37"/>
      <c r="G35" s="37"/>
      <c r="H35" s="37"/>
      <c r="I35" s="37"/>
      <c r="J35" s="37"/>
      <c r="K35" s="37"/>
      <c r="L35" s="37"/>
      <c r="M35" s="37"/>
      <c r="Q35" s="15">
        <f>+COUNT(R35:R54)</f>
        <v>5</v>
      </c>
      <c r="R35" s="19">
        <f t="shared" si="7"/>
        <v>24</v>
      </c>
    </row>
    <row r="36" spans="1:18" ht="15" customHeight="1" x14ac:dyDescent="0.3">
      <c r="A36" s="55" t="s">
        <v>33</v>
      </c>
      <c r="B36" s="55"/>
      <c r="C36" s="55"/>
      <c r="D36" s="37"/>
      <c r="E36" s="37"/>
      <c r="F36" s="56"/>
      <c r="G36" s="37"/>
      <c r="H36" s="37"/>
      <c r="I36" s="37"/>
      <c r="J36" s="37"/>
      <c r="K36" s="37"/>
      <c r="L36" s="37"/>
      <c r="M36" s="37"/>
      <c r="Q36" s="15">
        <f>+COUNT(R36:R54)</f>
        <v>4</v>
      </c>
      <c r="R36" s="19">
        <f t="shared" si="7"/>
        <v>25</v>
      </c>
    </row>
    <row r="37" spans="1:18" ht="6.9" customHeight="1" x14ac:dyDescent="0.3">
      <c r="A37" s="52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4"/>
      <c r="N37" s="10"/>
      <c r="Q37" s="15">
        <f>+COUNT(R37:R54)</f>
        <v>3</v>
      </c>
      <c r="R37" s="19">
        <f t="shared" si="7"/>
        <v>26</v>
      </c>
    </row>
    <row r="38" spans="1:18" ht="16.5" customHeight="1" x14ac:dyDescent="0.3">
      <c r="A38" s="70" t="s">
        <v>34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Q38" s="15">
        <f>+COUNT(R38:R54)</f>
        <v>2</v>
      </c>
      <c r="R38" s="19">
        <f t="shared" si="7"/>
        <v>27</v>
      </c>
    </row>
    <row r="39" spans="1:18" ht="15" customHeight="1" x14ac:dyDescent="0.3">
      <c r="A39" s="71" t="s">
        <v>35</v>
      </c>
      <c r="B39" s="71"/>
      <c r="C39" s="71"/>
      <c r="D39" s="40" t="str">
        <f>+D10</f>
        <v xml:space="preserve">DANIEL HERNEY OCAMPO </v>
      </c>
      <c r="E39" s="40"/>
      <c r="F39" s="40" t="str">
        <f t="shared" ref="F39" si="26">+F10</f>
        <v xml:space="preserve">V COMPLEMENTO </v>
      </c>
      <c r="G39" s="41"/>
      <c r="H39" s="40">
        <f t="shared" ref="H39" si="27">+H10</f>
        <v>0</v>
      </c>
      <c r="I39" s="41"/>
      <c r="J39" s="40">
        <f t="shared" ref="J39" si="28">+J10</f>
        <v>0</v>
      </c>
      <c r="K39" s="41"/>
      <c r="L39" s="40">
        <f t="shared" ref="L39" si="29">+L10</f>
        <v>0</v>
      </c>
      <c r="M39" s="41"/>
      <c r="Q39" s="15">
        <f>+COUNT(R39:R54)</f>
        <v>1</v>
      </c>
      <c r="R39" s="19">
        <f t="shared" si="7"/>
        <v>28</v>
      </c>
    </row>
    <row r="40" spans="1:18" ht="15" customHeight="1" x14ac:dyDescent="0.3">
      <c r="A40" s="60" t="s">
        <v>36</v>
      </c>
      <c r="B40" s="60"/>
      <c r="C40" s="60"/>
      <c r="D40" s="37">
        <v>8272849</v>
      </c>
      <c r="E40" s="37"/>
      <c r="F40" s="37">
        <v>900330660</v>
      </c>
      <c r="G40" s="37"/>
      <c r="H40" s="37"/>
      <c r="I40" s="37"/>
      <c r="J40" s="37"/>
      <c r="K40" s="37"/>
      <c r="L40" s="37"/>
      <c r="M40" s="37"/>
    </row>
    <row r="41" spans="1:18" ht="15" customHeight="1" x14ac:dyDescent="0.3">
      <c r="A41" s="60" t="s">
        <v>37</v>
      </c>
      <c r="B41" s="60"/>
      <c r="C41" s="60"/>
      <c r="D41" s="37" t="s">
        <v>71</v>
      </c>
      <c r="E41" s="37"/>
      <c r="F41" s="37" t="s">
        <v>68</v>
      </c>
      <c r="G41" s="37"/>
      <c r="H41" s="37"/>
      <c r="I41" s="37"/>
      <c r="J41" s="37"/>
      <c r="K41" s="37"/>
      <c r="L41" s="37"/>
      <c r="M41" s="37"/>
    </row>
    <row r="42" spans="1:18" ht="15" customHeight="1" x14ac:dyDescent="0.3">
      <c r="A42" s="60" t="s">
        <v>38</v>
      </c>
      <c r="B42" s="60"/>
      <c r="C42" s="60"/>
      <c r="D42" s="37" t="s">
        <v>72</v>
      </c>
      <c r="E42" s="37"/>
      <c r="F42" s="37" t="s">
        <v>69</v>
      </c>
      <c r="G42" s="37"/>
      <c r="H42" s="37"/>
      <c r="I42" s="37"/>
      <c r="J42" s="37"/>
      <c r="K42" s="37"/>
      <c r="L42" s="37"/>
      <c r="M42" s="37"/>
    </row>
    <row r="43" spans="1:18" ht="15" customHeight="1" x14ac:dyDescent="0.3">
      <c r="A43" s="60" t="s">
        <v>39</v>
      </c>
      <c r="B43" s="60"/>
      <c r="C43" s="60"/>
      <c r="D43" s="37">
        <v>2550982</v>
      </c>
      <c r="E43" s="37"/>
      <c r="F43" s="37">
        <v>3193810640</v>
      </c>
      <c r="G43" s="37"/>
      <c r="H43" s="37"/>
      <c r="I43" s="37"/>
      <c r="J43" s="37"/>
      <c r="K43" s="37"/>
      <c r="L43" s="37"/>
      <c r="M43" s="37"/>
    </row>
    <row r="44" spans="1:18" ht="15" customHeight="1" x14ac:dyDescent="0.3">
      <c r="A44" s="60" t="s">
        <v>40</v>
      </c>
      <c r="B44" s="60"/>
      <c r="C44" s="60"/>
      <c r="D44" s="37" t="s">
        <v>73</v>
      </c>
      <c r="E44" s="37"/>
      <c r="F44" s="37" t="s">
        <v>70</v>
      </c>
      <c r="G44" s="37"/>
      <c r="H44" s="37"/>
      <c r="I44" s="37"/>
      <c r="J44" s="37"/>
      <c r="K44" s="37"/>
      <c r="L44" s="37"/>
      <c r="M44" s="37"/>
    </row>
    <row r="45" spans="1:18" ht="15" customHeight="1" x14ac:dyDescent="0.3">
      <c r="A45" s="60" t="s">
        <v>41</v>
      </c>
      <c r="B45" s="60"/>
      <c r="C45" s="60"/>
      <c r="D45" s="67" t="s">
        <v>74</v>
      </c>
      <c r="E45" s="61"/>
      <c r="F45" s="68" t="s">
        <v>67</v>
      </c>
      <c r="G45" s="69"/>
      <c r="H45" s="61"/>
      <c r="I45" s="37"/>
      <c r="J45" s="61"/>
      <c r="K45" s="37"/>
      <c r="L45" s="37"/>
      <c r="M45" s="37"/>
    </row>
    <row r="46" spans="1:18" ht="15" customHeight="1" x14ac:dyDescent="0.3">
      <c r="A46" s="60" t="s">
        <v>42</v>
      </c>
      <c r="B46" s="60"/>
      <c r="C46" s="60"/>
      <c r="D46" s="58">
        <f>IFERROR((COUNTIF($N$12:$N$27,D39))/COUNT($B$12:$B$27),"")</f>
        <v>0.8</v>
      </c>
      <c r="E46" s="58"/>
      <c r="F46" s="58">
        <f>IFERROR((COUNTIF($N$12:$N$27,F39))/COUNT($B$12:$B$27),"")</f>
        <v>0.13333333333333333</v>
      </c>
      <c r="G46" s="58"/>
      <c r="H46" s="58">
        <f>IFERROR((COUNTIF($N$12:$N$27,H39))/COUNT($B$12:$B$27),"")</f>
        <v>6.6666666666666666E-2</v>
      </c>
      <c r="I46" s="58"/>
      <c r="J46" s="58">
        <v>0</v>
      </c>
      <c r="K46" s="58"/>
      <c r="L46" s="58">
        <v>0</v>
      </c>
      <c r="M46" s="58"/>
    </row>
    <row r="47" spans="1:18" ht="6.9" customHeight="1" x14ac:dyDescent="0.3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</row>
    <row r="48" spans="1:18" ht="12" x14ac:dyDescent="0.3">
      <c r="A48" s="26" t="s">
        <v>43</v>
      </c>
      <c r="B48" s="59" t="str">
        <f>IFERROR(CONCATENATE("Según el análisis económico comparativo, el proveedor ",HLOOKUP(MAX(D46:M46),D46:M51,7,FALSE)," es el más adecuado"),"")</f>
        <v/>
      </c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</row>
    <row r="49" spans="1:13" ht="12" x14ac:dyDescent="0.3">
      <c r="A49" s="72" t="s">
        <v>44</v>
      </c>
      <c r="B49" s="72"/>
      <c r="C49" s="28" t="s">
        <v>45</v>
      </c>
      <c r="D49" s="29"/>
      <c r="E49" s="29"/>
      <c r="F49" s="29"/>
      <c r="G49" s="29"/>
      <c r="H49" s="29"/>
      <c r="I49" s="29"/>
      <c r="J49" s="29"/>
      <c r="K49" s="29"/>
      <c r="L49" s="29"/>
      <c r="M49" s="30"/>
    </row>
    <row r="51" spans="1:13" ht="12" hidden="1" x14ac:dyDescent="0.3">
      <c r="D51" s="65" t="str">
        <f>+D39</f>
        <v xml:space="preserve">DANIEL HERNEY OCAMPO </v>
      </c>
      <c r="E51" s="66"/>
      <c r="F51" s="65" t="str">
        <f t="shared" ref="F51" si="30">+F39</f>
        <v xml:space="preserve">V COMPLEMENTO </v>
      </c>
      <c r="G51" s="66"/>
      <c r="H51" s="65">
        <f t="shared" ref="H51" si="31">+H39</f>
        <v>0</v>
      </c>
      <c r="I51" s="66"/>
      <c r="J51" s="65">
        <f t="shared" ref="J51" si="32">+J39</f>
        <v>0</v>
      </c>
      <c r="K51" s="66"/>
      <c r="L51" s="65">
        <f t="shared" ref="L51" si="33">+L39</f>
        <v>0</v>
      </c>
      <c r="M51" s="66"/>
    </row>
    <row r="52" spans="1:13" x14ac:dyDescent="0.3">
      <c r="H52" s="27"/>
    </row>
  </sheetData>
  <mergeCells count="117">
    <mergeCell ref="D51:E51"/>
    <mergeCell ref="F51:G51"/>
    <mergeCell ref="H51:I51"/>
    <mergeCell ref="J51:K51"/>
    <mergeCell ref="L51:M51"/>
    <mergeCell ref="A45:C45"/>
    <mergeCell ref="D45:E45"/>
    <mergeCell ref="F45:G45"/>
    <mergeCell ref="A38:M38"/>
    <mergeCell ref="D39:E39"/>
    <mergeCell ref="D40:E40"/>
    <mergeCell ref="D41:E41"/>
    <mergeCell ref="D42:E42"/>
    <mergeCell ref="A39:C39"/>
    <mergeCell ref="A40:C40"/>
    <mergeCell ref="A41:C41"/>
    <mergeCell ref="A42:C42"/>
    <mergeCell ref="A49:B49"/>
    <mergeCell ref="F46:G46"/>
    <mergeCell ref="H46:I46"/>
    <mergeCell ref="J46:K46"/>
    <mergeCell ref="D46:E46"/>
    <mergeCell ref="A46:C46"/>
    <mergeCell ref="A47:M47"/>
    <mergeCell ref="N10:P10"/>
    <mergeCell ref="O6:P6"/>
    <mergeCell ref="A28:C28"/>
    <mergeCell ref="A29:C29"/>
    <mergeCell ref="A33:C33"/>
    <mergeCell ref="A34:C34"/>
    <mergeCell ref="A35:C35"/>
    <mergeCell ref="A30:C30"/>
    <mergeCell ref="A31:C31"/>
    <mergeCell ref="A32:C32"/>
    <mergeCell ref="F33:G33"/>
    <mergeCell ref="H33:I33"/>
    <mergeCell ref="J33:K33"/>
    <mergeCell ref="L33:M33"/>
    <mergeCell ref="D33:E33"/>
    <mergeCell ref="F34:G34"/>
    <mergeCell ref="H34:I34"/>
    <mergeCell ref="J34:K34"/>
    <mergeCell ref="L34:M34"/>
    <mergeCell ref="D34:E34"/>
    <mergeCell ref="F32:G32"/>
    <mergeCell ref="H32:I32"/>
    <mergeCell ref="J32:K32"/>
    <mergeCell ref="L32:M32"/>
    <mergeCell ref="H42:I42"/>
    <mergeCell ref="J42:K42"/>
    <mergeCell ref="L42:M42"/>
    <mergeCell ref="F39:G39"/>
    <mergeCell ref="H39:I39"/>
    <mergeCell ref="J39:K39"/>
    <mergeCell ref="L39:M39"/>
    <mergeCell ref="L46:M46"/>
    <mergeCell ref="B48:M48"/>
    <mergeCell ref="F43:G43"/>
    <mergeCell ref="H43:I43"/>
    <mergeCell ref="J43:K43"/>
    <mergeCell ref="L43:M43"/>
    <mergeCell ref="F44:G44"/>
    <mergeCell ref="H44:I44"/>
    <mergeCell ref="J44:K44"/>
    <mergeCell ref="L44:M44"/>
    <mergeCell ref="D43:E43"/>
    <mergeCell ref="D44:E44"/>
    <mergeCell ref="A43:C43"/>
    <mergeCell ref="A44:C44"/>
    <mergeCell ref="H45:I45"/>
    <mergeCell ref="J45:K45"/>
    <mergeCell ref="L45:M45"/>
    <mergeCell ref="A1:B3"/>
    <mergeCell ref="C1:H3"/>
    <mergeCell ref="A4:B4"/>
    <mergeCell ref="A37:M37"/>
    <mergeCell ref="D36:E36"/>
    <mergeCell ref="A36:C36"/>
    <mergeCell ref="F40:G40"/>
    <mergeCell ref="H40:I40"/>
    <mergeCell ref="J40:K40"/>
    <mergeCell ref="L40:M40"/>
    <mergeCell ref="F35:G35"/>
    <mergeCell ref="H35:I35"/>
    <mergeCell ref="J35:K35"/>
    <mergeCell ref="L35:M35"/>
    <mergeCell ref="D35:E35"/>
    <mergeCell ref="F36:G36"/>
    <mergeCell ref="H36:I36"/>
    <mergeCell ref="J36:K36"/>
    <mergeCell ref="L36:M36"/>
    <mergeCell ref="F4:H4"/>
    <mergeCell ref="C4:D4"/>
    <mergeCell ref="C49:M49"/>
    <mergeCell ref="A5:J5"/>
    <mergeCell ref="B6:D6"/>
    <mergeCell ref="F6:H6"/>
    <mergeCell ref="J6:M6"/>
    <mergeCell ref="D32:E32"/>
    <mergeCell ref="B7:E7"/>
    <mergeCell ref="G7:M7"/>
    <mergeCell ref="A9:C9"/>
    <mergeCell ref="D9:M9"/>
    <mergeCell ref="A10:A11"/>
    <mergeCell ref="B10:B11"/>
    <mergeCell ref="C10:C11"/>
    <mergeCell ref="D10:E10"/>
    <mergeCell ref="F10:G10"/>
    <mergeCell ref="H10:I10"/>
    <mergeCell ref="J10:K10"/>
    <mergeCell ref="L10:M10"/>
    <mergeCell ref="A8:M8"/>
    <mergeCell ref="F41:G41"/>
    <mergeCell ref="H41:I41"/>
    <mergeCell ref="J41:K41"/>
    <mergeCell ref="L41:M41"/>
    <mergeCell ref="F42:G42"/>
  </mergeCells>
  <phoneticPr fontId="12" type="noConversion"/>
  <hyperlinks>
    <hyperlink ref="F45" r:id="rId1" xr:uid="{EE8C5DEC-EAB9-4146-9062-3E0719B3137B}"/>
    <hyperlink ref="D45" r:id="rId2" xr:uid="{312339B4-BA7A-4B7D-822A-9B6712013530}"/>
  </hyperlinks>
  <printOptions horizontalCentered="1" verticalCentered="1"/>
  <pageMargins left="0.31496062992125984" right="0.31496062992125984" top="0.35433070866141736" bottom="0.35433070866141736" header="0.31496062992125984" footer="0.31496062992125984"/>
  <pageSetup scale="48" orientation="landscape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B9030-92AD-4D16-9589-17BBF83AD2E4}">
  <sheetPr>
    <tabColor rgb="FF92D050"/>
  </sheetPr>
  <dimension ref="A1"/>
  <sheetViews>
    <sheetView showGridLines="0" workbookViewId="0">
      <selection activeCell="I22" sqref="I2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66799-1A22-4586-864A-684601DFE03E}">
  <sheetPr>
    <tabColor rgb="FF92D050"/>
  </sheetPr>
  <dimension ref="A1"/>
  <sheetViews>
    <sheetView showGridLines="0" workbookViewId="0">
      <selection activeCell="M23" sqref="M23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8abf51-0622-4536-a904-370db087c848" xsi:nil="true"/>
    <lcf76f155ced4ddcb4097134ff3c332f xmlns="0e48cec0-cc19-4e5b-84a7-83cb7ff8583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58333A7FA8ED47AE997B3C051B91C9" ma:contentTypeVersion="14" ma:contentTypeDescription="Crear nuevo documento." ma:contentTypeScope="" ma:versionID="27380c58e825d07aa93672a06e5dfb6f">
  <xsd:schema xmlns:xsd="http://www.w3.org/2001/XMLSchema" xmlns:xs="http://www.w3.org/2001/XMLSchema" xmlns:p="http://schemas.microsoft.com/office/2006/metadata/properties" xmlns:ns2="0e48cec0-cc19-4e5b-84a7-83cb7ff85836" xmlns:ns3="a48abf51-0622-4536-a904-370db087c848" targetNamespace="http://schemas.microsoft.com/office/2006/metadata/properties" ma:root="true" ma:fieldsID="87cf5d9da6c3fac8f592e23c157f04c5" ns2:_="" ns3:_="">
    <xsd:import namespace="0e48cec0-cc19-4e5b-84a7-83cb7ff85836"/>
    <xsd:import namespace="a48abf51-0622-4536-a904-370db087c8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48cec0-cc19-4e5b-84a7-83cb7ff85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66a8ef6-8a66-4e83-9a5a-219d91e0ed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8abf51-0622-4536-a904-370db087c84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da17c5e-5a47-4729-b745-83170dbc06fd}" ma:internalName="TaxCatchAll" ma:showField="CatchAllData" ma:web="a48abf51-0622-4536-a904-370db087c8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F7E2E50-CD29-446D-8F75-2CCF3BC8972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FCD33E-AA52-4781-9524-D9183ACA1308}">
  <ds:schemaRefs>
    <ds:schemaRef ds:uri="http://schemas.microsoft.com/office/2006/metadata/properties"/>
    <ds:schemaRef ds:uri="http://schemas.microsoft.com/office/infopath/2007/PartnerControls"/>
    <ds:schemaRef ds:uri="a48abf51-0622-4536-a904-370db087c848"/>
    <ds:schemaRef ds:uri="0e48cec0-cc19-4e5b-84a7-83cb7ff85836"/>
  </ds:schemaRefs>
</ds:datastoreItem>
</file>

<file path=customXml/itemProps3.xml><?xml version="1.0" encoding="utf-8"?>
<ds:datastoreItem xmlns:ds="http://schemas.openxmlformats.org/officeDocument/2006/customXml" ds:itemID="{A4D4CB7A-D502-4EDD-A84C-467AC5C036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48cec0-cc19-4e5b-84a7-83cb7ff85836"/>
    <ds:schemaRef ds:uri="a48abf51-0622-4536-a904-370db087c8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Cuadro comparativo</vt:lpstr>
      <vt:lpstr>DANIEL HERNEY OCAMPO </vt:lpstr>
      <vt:lpstr>VCOMPLEMENTO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Marbelys Barreto</cp:lastModifiedBy>
  <cp:revision/>
  <dcterms:created xsi:type="dcterms:W3CDTF">2012-04-24T22:03:28Z</dcterms:created>
  <dcterms:modified xsi:type="dcterms:W3CDTF">2026-01-20T15:10:51Z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0x010100EE58333A7FA8ED47AE997B3C051B91C9</vt:lpwstr>
  </property>
  <property fmtid="{D5CDD505-2E9C-101B-9397-08002B2CF9AE}" pid="3" name="Order">
    <vt:r8>5400</vt:r8>
  </property>
  <property fmtid="{D5CDD505-2E9C-101B-9397-08002B2CF9AE}" pid="4" name="MediaServiceImageTags">
    <vt:lpwstr/>
  </property>
</Properties>
</file>