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uadros comparativos\Toxement\"/>
    </mc:Choice>
  </mc:AlternateContent>
  <xr:revisionPtr revIDLastSave="0" documentId="13_ncr:1_{0D30F1AC-FD52-444B-B479-2C2066835E37}" xr6:coauthVersionLast="47" xr6:coauthVersionMax="47" xr10:uidLastSave="{00000000-0000-0000-0000-000000000000}"/>
  <bookViews>
    <workbookView xWindow="-98" yWindow="-98" windowWidth="21795" windowHeight="12975" xr2:uid="{9C6777F8-6460-4D84-AF10-A4414EA619A1}"/>
  </bookViews>
  <sheets>
    <sheet name="TOXEMENT" sheetId="1" r:id="rId1"/>
  </sheets>
  <definedNames>
    <definedName name="_xlnm.Print_Area" localSheetId="0">TOXEMENT!$A$2:$Q$75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56" i="1" l="1"/>
  <c r="L56" i="1"/>
  <c r="V32" i="1"/>
  <c r="Q32" i="1"/>
  <c r="L53" i="1"/>
  <c r="Q53" i="1"/>
  <c r="V53" i="1"/>
  <c r="T51" i="1"/>
  <c r="U51" i="1" s="1"/>
  <c r="V51" i="1" s="1"/>
  <c r="Q51" i="1"/>
  <c r="O51" i="1"/>
  <c r="P51" i="1" s="1"/>
  <c r="N50" i="1"/>
  <c r="O50" i="1" s="1"/>
  <c r="P50" i="1" s="1"/>
  <c r="Q50" i="1" s="1"/>
  <c r="N49" i="1"/>
  <c r="N45" i="1"/>
  <c r="N46" i="1"/>
  <c r="N47" i="1"/>
  <c r="O47" i="1" s="1"/>
  <c r="P47" i="1" s="1"/>
  <c r="Q47" i="1" s="1"/>
  <c r="N48" i="1"/>
  <c r="O48" i="1" s="1"/>
  <c r="P48" i="1" s="1"/>
  <c r="Q48" i="1" s="1"/>
  <c r="O49" i="1"/>
  <c r="P49" i="1" s="1"/>
  <c r="Q49" i="1" s="1"/>
  <c r="N44" i="1"/>
  <c r="S41" i="1"/>
  <c r="T39" i="1"/>
  <c r="U39" i="1" s="1"/>
  <c r="V39" i="1" s="1"/>
  <c r="O39" i="1"/>
  <c r="P39" i="1" s="1"/>
  <c r="Q39" i="1" s="1"/>
  <c r="T37" i="1"/>
  <c r="U37" i="1" s="1"/>
  <c r="V37" i="1" s="1"/>
  <c r="J37" i="1"/>
  <c r="K37" i="1" s="1"/>
  <c r="L37" i="1" s="1"/>
  <c r="I35" i="1"/>
  <c r="J35" i="1"/>
  <c r="K35" i="1" s="1"/>
  <c r="L35" i="1" s="1"/>
  <c r="T32" i="1"/>
  <c r="U32" i="1" s="1"/>
  <c r="O32" i="1"/>
  <c r="P32" i="1" s="1"/>
  <c r="O31" i="1"/>
  <c r="P31" i="1"/>
  <c r="Q31" i="1"/>
  <c r="S12" i="1"/>
  <c r="T12" i="1" s="1"/>
  <c r="U12" i="1" s="1"/>
  <c r="V12" i="1" s="1"/>
  <c r="T9" i="1"/>
  <c r="U9" i="1" s="1"/>
  <c r="V9" i="1" s="1"/>
  <c r="T16" i="1"/>
  <c r="U16" i="1" s="1"/>
  <c r="V16" i="1" s="1"/>
  <c r="J16" i="1"/>
  <c r="K16" i="1" s="1"/>
  <c r="L16" i="1" s="1"/>
  <c r="T40" i="1"/>
  <c r="U40" i="1" s="1"/>
  <c r="V40" i="1" s="1"/>
  <c r="T41" i="1"/>
  <c r="U41" i="1" s="1"/>
  <c r="V41" i="1" s="1"/>
  <c r="T42" i="1"/>
  <c r="U42" i="1" s="1"/>
  <c r="V42" i="1" s="1"/>
  <c r="T43" i="1"/>
  <c r="U43" i="1" s="1"/>
  <c r="V43" i="1" s="1"/>
  <c r="T44" i="1"/>
  <c r="U44" i="1" s="1"/>
  <c r="V44" i="1" s="1"/>
  <c r="T45" i="1"/>
  <c r="U45" i="1" s="1"/>
  <c r="V45" i="1" s="1"/>
  <c r="T46" i="1"/>
  <c r="U46" i="1" s="1"/>
  <c r="V46" i="1" s="1"/>
  <c r="T47" i="1"/>
  <c r="U47" i="1" s="1"/>
  <c r="V47" i="1" s="1"/>
  <c r="T48" i="1"/>
  <c r="U48" i="1" s="1"/>
  <c r="V48" i="1" s="1"/>
  <c r="T49" i="1"/>
  <c r="U49" i="1" s="1"/>
  <c r="V49" i="1" s="1"/>
  <c r="T50" i="1"/>
  <c r="U50" i="1" s="1"/>
  <c r="V50" i="1" s="1"/>
  <c r="T38" i="1"/>
  <c r="U38" i="1" s="1"/>
  <c r="V38" i="1" s="1"/>
  <c r="T19" i="1"/>
  <c r="U19" i="1" s="1"/>
  <c r="V19" i="1" s="1"/>
  <c r="T20" i="1"/>
  <c r="U20" i="1" s="1"/>
  <c r="V20" i="1" s="1"/>
  <c r="T21" i="1"/>
  <c r="U21" i="1" s="1"/>
  <c r="V21" i="1" s="1"/>
  <c r="T22" i="1"/>
  <c r="U22" i="1" s="1"/>
  <c r="V22" i="1" s="1"/>
  <c r="T23" i="1"/>
  <c r="U23" i="1" s="1"/>
  <c r="V23" i="1" s="1"/>
  <c r="T24" i="1"/>
  <c r="U24" i="1" s="1"/>
  <c r="V24" i="1" s="1"/>
  <c r="T25" i="1"/>
  <c r="U25" i="1" s="1"/>
  <c r="V25" i="1" s="1"/>
  <c r="T26" i="1"/>
  <c r="U26" i="1" s="1"/>
  <c r="V26" i="1" s="1"/>
  <c r="T27" i="1"/>
  <c r="U27" i="1" s="1"/>
  <c r="V27" i="1" s="1"/>
  <c r="T28" i="1"/>
  <c r="U28" i="1" s="1"/>
  <c r="V28" i="1" s="1"/>
  <c r="T29" i="1"/>
  <c r="U29" i="1" s="1"/>
  <c r="V29" i="1" s="1"/>
  <c r="T30" i="1"/>
  <c r="U30" i="1" s="1"/>
  <c r="V30" i="1" s="1"/>
  <c r="T31" i="1"/>
  <c r="U31" i="1" s="1"/>
  <c r="V31" i="1" s="1"/>
  <c r="T33" i="1"/>
  <c r="U33" i="1" s="1"/>
  <c r="V33" i="1" s="1"/>
  <c r="T34" i="1"/>
  <c r="U34" i="1" s="1"/>
  <c r="V34" i="1" s="1"/>
  <c r="T35" i="1"/>
  <c r="U35" i="1" s="1"/>
  <c r="V35" i="1" s="1"/>
  <c r="O46" i="1"/>
  <c r="P46" i="1"/>
  <c r="Q46" i="1"/>
  <c r="O45" i="1"/>
  <c r="P45" i="1" s="1"/>
  <c r="Q45" i="1" s="1"/>
  <c r="O44" i="1"/>
  <c r="P44" i="1" s="1"/>
  <c r="Q44" i="1" s="1"/>
  <c r="O43" i="1"/>
  <c r="P43" i="1" s="1"/>
  <c r="Q43" i="1" s="1"/>
  <c r="O42" i="1"/>
  <c r="P42" i="1" s="1"/>
  <c r="Q42" i="1" s="1"/>
  <c r="O40" i="1"/>
  <c r="P40" i="1"/>
  <c r="Q40" i="1"/>
  <c r="O41" i="1"/>
  <c r="P41" i="1"/>
  <c r="Q41" i="1"/>
  <c r="O38" i="1"/>
  <c r="P38" i="1"/>
  <c r="Q38" i="1"/>
  <c r="O37" i="1"/>
  <c r="P37" i="1" s="1"/>
  <c r="Q37" i="1" s="1"/>
  <c r="O35" i="1"/>
  <c r="P35" i="1" s="1"/>
  <c r="Q35" i="1" s="1"/>
  <c r="O34" i="1"/>
  <c r="P34" i="1" s="1"/>
  <c r="Q34" i="1" s="1"/>
  <c r="O33" i="1"/>
  <c r="P33" i="1" s="1"/>
  <c r="Q33" i="1" s="1"/>
  <c r="O30" i="1"/>
  <c r="P30" i="1" s="1"/>
  <c r="Q30" i="1" s="1"/>
  <c r="O29" i="1"/>
  <c r="P29" i="1" s="1"/>
  <c r="Q29" i="1" s="1"/>
  <c r="O28" i="1"/>
  <c r="P28" i="1" s="1"/>
  <c r="Q28" i="1" s="1"/>
  <c r="O27" i="1"/>
  <c r="P27" i="1" s="1"/>
  <c r="Q27" i="1" s="1"/>
  <c r="O26" i="1"/>
  <c r="P26" i="1"/>
  <c r="Q26" i="1" s="1"/>
  <c r="O25" i="1"/>
  <c r="P25" i="1"/>
  <c r="Q25" i="1"/>
  <c r="O24" i="1"/>
  <c r="P24" i="1"/>
  <c r="Q24" i="1"/>
  <c r="O23" i="1"/>
  <c r="P23" i="1" s="1"/>
  <c r="Q23" i="1" s="1"/>
  <c r="O22" i="1"/>
  <c r="P22" i="1" s="1"/>
  <c r="Q22" i="1" s="1"/>
  <c r="O21" i="1"/>
  <c r="P21" i="1"/>
  <c r="Q21" i="1"/>
  <c r="O20" i="1"/>
  <c r="P20" i="1" s="1"/>
  <c r="Q20" i="1" s="1"/>
  <c r="O19" i="1"/>
  <c r="P19" i="1" s="1"/>
  <c r="Q19" i="1" s="1"/>
  <c r="O16" i="1"/>
  <c r="P16" i="1" s="1"/>
  <c r="Q16" i="1" s="1"/>
  <c r="O13" i="1" l="1"/>
  <c r="P13" i="1" s="1"/>
  <c r="Q13" i="1" s="1"/>
  <c r="S13" i="1" s="1"/>
  <c r="T13" i="1" s="1"/>
  <c r="U13" i="1" s="1"/>
  <c r="V13" i="1" s="1"/>
  <c r="O12" i="1"/>
  <c r="P12" i="1" s="1"/>
  <c r="Q12" i="1" s="1"/>
  <c r="O9" i="1"/>
  <c r="P9" i="1" s="1"/>
  <c r="Q9" i="1" s="1"/>
  <c r="J31" i="1"/>
  <c r="K31" i="1" s="1"/>
  <c r="L31" i="1" s="1"/>
  <c r="J32" i="1"/>
  <c r="K32" i="1" s="1"/>
  <c r="L32" i="1" s="1"/>
  <c r="J33" i="1"/>
  <c r="K33" i="1" s="1"/>
  <c r="L33" i="1" s="1"/>
  <c r="J34" i="1"/>
  <c r="K34" i="1" s="1"/>
  <c r="L34" i="1" s="1"/>
  <c r="J38" i="1"/>
  <c r="K38" i="1" s="1"/>
  <c r="L38" i="1" s="1"/>
  <c r="J39" i="1"/>
  <c r="K39" i="1" s="1"/>
  <c r="L39" i="1" s="1"/>
  <c r="J40" i="1"/>
  <c r="K40" i="1" s="1"/>
  <c r="L40" i="1" s="1"/>
  <c r="J41" i="1"/>
  <c r="K41" i="1" s="1"/>
  <c r="L41" i="1" s="1"/>
  <c r="J42" i="1"/>
  <c r="K42" i="1" s="1"/>
  <c r="L42" i="1" s="1"/>
  <c r="J43" i="1"/>
  <c r="K43" i="1" s="1"/>
  <c r="L43" i="1" s="1"/>
  <c r="J44" i="1"/>
  <c r="K44" i="1" s="1"/>
  <c r="L44" i="1" s="1"/>
  <c r="J45" i="1"/>
  <c r="K45" i="1" s="1"/>
  <c r="L45" i="1" s="1"/>
  <c r="J46" i="1"/>
  <c r="K46" i="1" s="1"/>
  <c r="L46" i="1" s="1"/>
  <c r="J47" i="1"/>
  <c r="K47" i="1" s="1"/>
  <c r="L47" i="1" s="1"/>
  <c r="J48" i="1"/>
  <c r="K48" i="1" s="1"/>
  <c r="L48" i="1" s="1"/>
  <c r="J49" i="1"/>
  <c r="K49" i="1" s="1"/>
  <c r="L49" i="1" s="1"/>
  <c r="J50" i="1"/>
  <c r="K50" i="1" s="1"/>
  <c r="L50" i="1" s="1"/>
  <c r="J51" i="1"/>
  <c r="K51" i="1" s="1"/>
  <c r="L51" i="1" s="1"/>
  <c r="J19" i="1"/>
  <c r="K19" i="1" s="1"/>
  <c r="L19" i="1" s="1"/>
  <c r="J20" i="1"/>
  <c r="K20" i="1" s="1"/>
  <c r="L20" i="1" s="1"/>
  <c r="J21" i="1"/>
  <c r="K21" i="1" s="1"/>
  <c r="L21" i="1" s="1"/>
  <c r="J22" i="1"/>
  <c r="K22" i="1" s="1"/>
  <c r="L22" i="1" s="1"/>
  <c r="J23" i="1"/>
  <c r="K23" i="1" s="1"/>
  <c r="L23" i="1" s="1"/>
  <c r="J24" i="1"/>
  <c r="K24" i="1" s="1"/>
  <c r="L24" i="1" s="1"/>
  <c r="J25" i="1"/>
  <c r="K25" i="1" s="1"/>
  <c r="L25" i="1" s="1"/>
  <c r="J26" i="1"/>
  <c r="K26" i="1" s="1"/>
  <c r="L26" i="1" s="1"/>
  <c r="J27" i="1"/>
  <c r="K27" i="1" s="1"/>
  <c r="L27" i="1" s="1"/>
  <c r="J28" i="1"/>
  <c r="K28" i="1" s="1"/>
  <c r="L28" i="1" s="1"/>
  <c r="J29" i="1"/>
  <c r="K29" i="1" s="1"/>
  <c r="L29" i="1" s="1"/>
  <c r="J30" i="1"/>
  <c r="K30" i="1" s="1"/>
  <c r="L30" i="1" s="1"/>
  <c r="J10" i="1"/>
  <c r="K10" i="1" s="1"/>
  <c r="L10" i="1" s="1"/>
  <c r="J11" i="1"/>
  <c r="K11" i="1" s="1"/>
  <c r="L11" i="1" s="1"/>
  <c r="J12" i="1"/>
  <c r="K12" i="1" s="1"/>
  <c r="L12" i="1" s="1"/>
  <c r="J13" i="1"/>
  <c r="K13" i="1" s="1"/>
  <c r="L13" i="1" s="1"/>
  <c r="J14" i="1"/>
  <c r="K14" i="1" s="1"/>
  <c r="L14" i="1" s="1"/>
  <c r="J15" i="1"/>
  <c r="K15" i="1" s="1"/>
  <c r="L15" i="1" s="1"/>
  <c r="J9" i="1" l="1"/>
  <c r="K9" i="1" s="1"/>
  <c r="L9" i="1" s="1"/>
  <c r="F53" i="1" l="1"/>
</calcChain>
</file>

<file path=xl/sharedStrings.xml><?xml version="1.0" encoding="utf-8"?>
<sst xmlns="http://schemas.openxmlformats.org/spreadsheetml/2006/main" count="145" uniqueCount="84">
  <si>
    <t>Código: F-ITPA-02
Fecha: 23/12/2021
Versión: 01</t>
  </si>
  <si>
    <t>Nro</t>
  </si>
  <si>
    <t>ITEM</t>
  </si>
  <si>
    <t xml:space="preserve">FECHA APROBACIÓN </t>
  </si>
  <si>
    <t>COSTO DIRECTO</t>
  </si>
  <si>
    <t xml:space="preserve">IVA </t>
  </si>
  <si>
    <t>VR UNITARIO TOTAL</t>
  </si>
  <si>
    <t>TOTAL</t>
  </si>
  <si>
    <t>IVA / UTIL</t>
  </si>
  <si>
    <t>UN</t>
  </si>
  <si>
    <t>CANT. REAL</t>
  </si>
  <si>
    <t>Vlr. Unitario</t>
  </si>
  <si>
    <t>Vlr. Total</t>
  </si>
  <si>
    <t>TOTALES</t>
  </si>
  <si>
    <t>DIFERENCIA CON LA MENOR PROPUESTA</t>
  </si>
  <si>
    <t>VARIACION</t>
  </si>
  <si>
    <t xml:space="preserve">Forma de pago: </t>
  </si>
  <si>
    <t>Tiempo de entrega:</t>
  </si>
  <si>
    <t>Criterios de selección de proveedores</t>
  </si>
  <si>
    <t>Garantía:</t>
  </si>
  <si>
    <t>1. Precio</t>
  </si>
  <si>
    <t>2. Existencia legal de la empresa</t>
  </si>
  <si>
    <t>Descuentos sobre oferta inicial:</t>
  </si>
  <si>
    <t>3. Disponibilidad del producto</t>
  </si>
  <si>
    <t>4. Forma de pago</t>
  </si>
  <si>
    <t>Especificaciones generales:</t>
  </si>
  <si>
    <t>5. Calidad</t>
  </si>
  <si>
    <t>6. Tiempo de entrega</t>
  </si>
  <si>
    <t>Otras condiciones:</t>
  </si>
  <si>
    <t>PLANTA GENERAL</t>
  </si>
  <si>
    <t>Und</t>
  </si>
  <si>
    <t>CREDITO 30 DÍAS</t>
  </si>
  <si>
    <r>
      <rPr>
        <sz val="14"/>
        <rFont val="Arial MT"/>
        <family val="2"/>
      </rPr>
      <t>Monopur Mortar P/a Res X 2.5 Kg Toxement</t>
    </r>
  </si>
  <si>
    <r>
      <rPr>
        <sz val="14"/>
        <rFont val="Arial MT"/>
        <family val="2"/>
      </rPr>
      <t>Monopur Mortar P/b End X 2.6 Kg Toxement</t>
    </r>
  </si>
  <si>
    <r>
      <rPr>
        <sz val="14"/>
        <rFont val="Arial MT"/>
        <family val="2"/>
      </rPr>
      <t>Monopur Mortal P/c Loc X 26.4 Kg Toxement</t>
    </r>
  </si>
  <si>
    <r>
      <rPr>
        <sz val="14"/>
        <rFont val="Arial MT"/>
        <family val="2"/>
      </rPr>
      <t>Gris Pigmento Universal Uc X .45 Kg Toxement</t>
    </r>
  </si>
  <si>
    <r>
      <rPr>
        <sz val="14"/>
        <rFont val="Arial MT"/>
        <family val="2"/>
      </rPr>
      <t>Monopur Cove Mix P/a Loc X 0.6 Kg Toxement</t>
    </r>
  </si>
  <si>
    <r>
      <rPr>
        <sz val="14"/>
        <rFont val="Arial MT"/>
        <family val="2"/>
      </rPr>
      <t>Monopur Cove Mix P/b Loc X 0.62  Kg Toxement</t>
    </r>
  </si>
  <si>
    <r>
      <rPr>
        <sz val="14"/>
        <rFont val="Arial MT"/>
        <family val="2"/>
      </rPr>
      <t>Monopur Cove Mix P/c Loc X 8.78  Kg Toxement</t>
    </r>
  </si>
  <si>
    <r>
      <rPr>
        <sz val="14"/>
        <rFont val="Arial MT"/>
        <family val="2"/>
      </rPr>
      <t>Flowfresh Fc Gris P/a X 2.30 Kg Toxement</t>
    </r>
  </si>
  <si>
    <r>
      <rPr>
        <sz val="14"/>
        <rFont val="Arial MT"/>
        <family val="2"/>
      </rPr>
      <t>Flowfresh Fc Gris P/b X 2.30 Kg Toxement</t>
    </r>
  </si>
  <si>
    <r>
      <rPr>
        <sz val="14"/>
        <rFont val="Arial MT"/>
        <family val="2"/>
      </rPr>
      <t>Flowfresh Fc Gris P/c X 2.35 Kg Toxement</t>
    </r>
  </si>
  <si>
    <r>
      <rPr>
        <sz val="14"/>
        <rFont val="Arial MT"/>
        <family val="2"/>
      </rPr>
      <t>Eucofast  X 25 Kg Toxement</t>
    </r>
  </si>
  <si>
    <r>
      <rPr>
        <sz val="14"/>
        <rFont val="Arial MT"/>
        <family val="2"/>
      </rPr>
      <t>Eucofast Medio X 30 Kg Toxement</t>
    </r>
  </si>
  <si>
    <r>
      <rPr>
        <sz val="14"/>
        <rFont val="Arial MT"/>
        <family val="2"/>
      </rPr>
      <t>Eucofiller Medio X 30 Kg Toxement</t>
    </r>
  </si>
  <si>
    <r>
      <rPr>
        <sz val="14"/>
        <rFont val="Arial MT"/>
        <family val="2"/>
      </rPr>
      <t>Eucofiller Fino M X 30 Kg Toxement</t>
    </r>
  </si>
  <si>
    <r>
      <rPr>
        <sz val="14"/>
        <rFont val="Arial MT"/>
        <family val="2"/>
      </rPr>
      <t>Euco Concrelisto X 48 Kg Toxement</t>
    </r>
  </si>
  <si>
    <r>
      <rPr>
        <sz val="14"/>
        <rFont val="Arial MT"/>
        <family val="2"/>
      </rPr>
      <t>Vulkem 116 Gris Cartucho Toxement</t>
    </r>
  </si>
  <si>
    <r>
      <rPr>
        <sz val="14"/>
        <rFont val="Arial MT"/>
        <family val="2"/>
      </rPr>
      <t>Dymonic 100 Gris Cartucho Toxement</t>
    </r>
  </si>
  <si>
    <r>
      <rPr>
        <sz val="14"/>
        <rFont val="Arial MT"/>
        <family val="2"/>
      </rPr>
      <t>Dymonic 100 Gris Salchicha Toxement</t>
    </r>
  </si>
  <si>
    <r>
      <rPr>
        <sz val="14"/>
        <rFont val="Arial MT"/>
        <family val="2"/>
      </rPr>
      <t>Verticoat 2 Ac X 30 Kg Toxement</t>
    </r>
  </si>
  <si>
    <r>
      <rPr>
        <sz val="14"/>
        <rFont val="Arial MT"/>
        <family val="2"/>
      </rPr>
      <t>Hi Flow Grout X 30 Kg Toxement</t>
    </r>
  </si>
  <si>
    <r>
      <rPr>
        <sz val="14"/>
        <rFont val="Arial MT"/>
        <family val="2"/>
      </rPr>
      <t>Eucoplus 7000 Fibras Gris X 36 Kg Toxement</t>
    </r>
  </si>
  <si>
    <r>
      <rPr>
        <sz val="14"/>
        <rFont val="Arial MT"/>
        <family val="2"/>
      </rPr>
      <t>Illbruck Fm 310 X 750 Ml Con Boquilla (kit)</t>
    </r>
  </si>
  <si>
    <r>
      <rPr>
        <sz val="14"/>
        <rFont val="Arial MT"/>
        <family val="2"/>
      </rPr>
      <t>Eucopatch E X 3 Kg Toxement</t>
    </r>
  </si>
  <si>
    <r>
      <rPr>
        <sz val="14"/>
        <rFont val="Arial MT"/>
        <family val="2"/>
      </rPr>
      <t>Monoprimer X 3 Kg Toxement</t>
    </r>
  </si>
  <si>
    <r>
      <rPr>
        <sz val="14"/>
        <rFont val="Arial MT"/>
        <family val="2"/>
      </rPr>
      <t>Euco 700 X 2 Gl Toxement</t>
    </r>
  </si>
  <si>
    <r>
      <rPr>
        <sz val="14"/>
        <rFont val="Arial MT"/>
        <family val="2"/>
      </rPr>
      <t>Epotoc 1-1 X 1.01 Kg Toxement</t>
    </r>
  </si>
  <si>
    <r>
      <rPr>
        <sz val="14"/>
        <rFont val="Arial MT"/>
        <family val="2"/>
      </rPr>
      <t>Eucopoxy 100 P/a X 4.3 Kg Toxement</t>
    </r>
  </si>
  <si>
    <r>
      <rPr>
        <sz val="14"/>
        <rFont val="Arial MT"/>
        <family val="2"/>
      </rPr>
      <t>Eucopoxy 100 P/b X 1.7 Kg Toxement</t>
    </r>
  </si>
  <si>
    <r>
      <rPr>
        <sz val="14"/>
        <rFont val="Arial MT"/>
        <family val="2"/>
      </rPr>
      <t>Eucopoxy Primer X 3 Kg  Toxement</t>
    </r>
  </si>
  <si>
    <r>
      <rPr>
        <sz val="14"/>
        <rFont val="Arial MT"/>
        <family val="2"/>
      </rPr>
      <t>Toc 8020 Gris X 3 Kg Toxement</t>
    </r>
  </si>
  <si>
    <r>
      <rPr>
        <sz val="14"/>
        <rFont val="Arial MT"/>
        <family val="2"/>
      </rPr>
      <t>Dural Aquatight 100 Plus Kit X 3.4 Gl Toxement</t>
    </r>
  </si>
  <si>
    <r>
      <rPr>
        <sz val="14"/>
        <rFont val="Arial MT"/>
        <family val="2"/>
      </rPr>
      <t>Carbomastic #1 X 3kg Toxement</t>
    </r>
  </si>
  <si>
    <r>
      <rPr>
        <sz val="14"/>
        <rFont val="Arial MT"/>
        <family val="2"/>
      </rPr>
      <t>Carbomastic #1 X 15kg Toxement</t>
    </r>
  </si>
  <si>
    <r>
      <rPr>
        <sz val="14"/>
        <rFont val="Arial MT"/>
        <family val="2"/>
      </rPr>
      <t>Eucon Vandex Am 10l X 20 Kg Toxement</t>
    </r>
  </si>
  <si>
    <r>
      <rPr>
        <sz val="14"/>
        <rFont val="Arial MT"/>
        <family val="2"/>
      </rPr>
      <t>Euco Cleaner F Eco X 20 Kg Toxement</t>
    </r>
  </si>
  <si>
    <r>
      <rPr>
        <sz val="14"/>
        <rFont val="Arial MT"/>
        <family val="2"/>
      </rPr>
      <t>Limestone Plus X 16 Kg Toxement</t>
    </r>
  </si>
  <si>
    <r>
      <rPr>
        <sz val="14"/>
        <rFont val="Arial MT"/>
        <family val="2"/>
      </rPr>
      <t>Vulkem 346 Gris X Cuñete 5 Gl Toxement</t>
    </r>
  </si>
  <si>
    <r>
      <rPr>
        <sz val="14"/>
        <rFont val="Arial MT"/>
        <family val="2"/>
      </rPr>
      <t>Vulkem 171 Primer X Gl Toxement</t>
    </r>
  </si>
  <si>
    <r>
      <rPr>
        <sz val="14"/>
        <rFont val="Arial MT"/>
        <family val="2"/>
      </rPr>
      <t>Vulkem 351 Slate Gray  Cuñete 5 Gl  Toxement</t>
    </r>
  </si>
  <si>
    <r>
      <rPr>
        <sz val="14"/>
        <rFont val="Arial MT"/>
        <family val="2"/>
      </rPr>
      <t>Hey´di Powder X (30 Lbs + 2 Gl Sealing Toxement</t>
    </r>
  </si>
  <si>
    <r>
      <rPr>
        <sz val="14"/>
        <rFont val="Arial MT"/>
        <family val="2"/>
      </rPr>
      <t>Superstop 1/2x 1 X 6.1 Ml Toxement</t>
    </r>
  </si>
  <si>
    <r>
      <rPr>
        <sz val="14"/>
        <rFont val="Arial MT"/>
        <family val="2"/>
      </rPr>
      <t>Rocktop Gris X 30 Kg Toxement</t>
    </r>
  </si>
  <si>
    <r>
      <rPr>
        <sz val="14"/>
        <rFont val="Arial MT"/>
        <family val="2"/>
      </rPr>
      <t>Fibra Tuf Strand Sf X 2.27 Kg Toxement</t>
    </r>
  </si>
  <si>
    <t>MATERIALES Y HERRAMIENTAS COMERCIALIZADORA S A S</t>
  </si>
  <si>
    <t xml:space="preserve">Especificaciones generales: </t>
  </si>
  <si>
    <t xml:space="preserve">Aproximadamente 5 dias habiles </t>
  </si>
  <si>
    <r>
      <t xml:space="preserve">Descuentos sobre oferta inicial:  </t>
    </r>
    <r>
      <rPr>
        <sz val="14"/>
        <rFont val="Raleway"/>
      </rPr>
      <t xml:space="preserve">7% de descuento en todos los productos </t>
    </r>
  </si>
  <si>
    <t>TODO PARA CONSTRUCCIONES S.A</t>
  </si>
  <si>
    <t>FISUCOL</t>
  </si>
  <si>
    <t>16 DÍAS HABILES</t>
  </si>
  <si>
    <t>CONTADO 100%</t>
  </si>
  <si>
    <t xml:space="preserve">                             COMPARATIVO TOXEMENT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</si>
</sst>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0.0%"/>
    <numFmt numFmtId="166" formatCode="_ * #,##0.00_ ;_ * \-#,##0.00_ ;_ * &quot;-&quot;??_ ;_ @_ "/>
    <numFmt numFmtId="167" formatCode="_-&quot;$&quot;* #,##0.00_-;\-&quot;$&quot;* #,##0.00_-;_-&quot;$&quot;* &quot;-&quot;??_-;_-@_-"/>
    <numFmt numFmtId="168" formatCode="_(* #,##0.00_);_(* \(#,##0.00\);_(* &quot;-&quot;??_);_(@_)"/>
  </numFmts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Raleway"/>
      <family val="2"/>
    </font>
    <font>
      <b/>
      <sz val="14"/>
      <name val="Raleway"/>
      <family val="2"/>
    </font>
    <font>
      <sz val="14"/>
      <name val="Raleway"/>
    </font>
    <font>
      <b/>
      <sz val="14"/>
      <color rgb="FFC00000"/>
      <name val="Raleway"/>
      <family val="2"/>
    </font>
    <font>
      <b/>
      <sz val="14"/>
      <color theme="0"/>
      <name val="Raleway"/>
      <family val="2"/>
    </font>
    <font>
      <sz val="8"/>
      <name val="Arial"/>
      <family val="2"/>
    </font>
    <font>
      <b/>
      <sz val="14"/>
      <name val="Raleway"/>
    </font>
    <font>
      <b/>
      <sz val="14"/>
      <color rgb="FFFF0000"/>
      <name val="Raleway"/>
    </font>
    <font>
      <sz val="14"/>
      <name val="Arial"/>
      <family val="2"/>
    </font>
    <font>
      <b/>
      <sz val="14"/>
      <color rgb="FF000000"/>
      <name val="Raleway"/>
    </font>
    <font>
      <b/>
      <sz val="14"/>
      <color rgb="FFFF0000"/>
      <name val="Raleway"/>
      <family val="2"/>
    </font>
    <font>
      <sz val="14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39997558519241921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</borders>
  <cellStyleXfs count="7">
    <xf numFmtId="0" fontId="0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8" fontId="2" fillId="0" borderId="0" applyFont="0" applyFill="0" applyBorder="0" applyAlignment="0" applyProtection="0"/>
  </cellStyleXfs>
  <cellXfs count="236">
    <xf numFmtId="0" fontId="0" fillId="0" borderId="0" xfId="0"/>
    <xf numFmtId="0" fontId="3" fillId="0" borderId="0" xfId="0" applyFont="1"/>
    <xf numFmtId="165" fontId="4" fillId="0" borderId="0" xfId="4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0" fontId="4" fillId="0" borderId="0" xfId="4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164" fontId="3" fillId="0" borderId="0" xfId="2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164" fontId="4" fillId="0" borderId="0" xfId="2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22" xfId="0" applyFont="1" applyBorder="1" applyAlignment="1">
      <alignment vertical="center" wrapText="1"/>
    </xf>
    <xf numFmtId="49" fontId="4" fillId="0" borderId="0" xfId="2" applyNumberFormat="1" applyFont="1" applyFill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42" fontId="5" fillId="2" borderId="9" xfId="4" applyNumberFormat="1" applyFont="1" applyFill="1" applyBorder="1" applyAlignment="1">
      <alignment vertical="center"/>
    </xf>
    <xf numFmtId="9" fontId="5" fillId="2" borderId="9" xfId="4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44" fontId="5" fillId="0" borderId="20" xfId="1" applyNumberFormat="1" applyFont="1" applyFill="1" applyBorder="1" applyAlignment="1">
      <alignment vertical="center"/>
    </xf>
    <xf numFmtId="44" fontId="4" fillId="0" borderId="0" xfId="0" applyNumberFormat="1" applyFont="1" applyAlignment="1">
      <alignment horizontal="right" vertical="center"/>
    </xf>
    <xf numFmtId="44" fontId="4" fillId="0" borderId="0" xfId="0" applyNumberFormat="1" applyFont="1" applyAlignment="1">
      <alignment vertical="center"/>
    </xf>
    <xf numFmtId="44" fontId="5" fillId="0" borderId="1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44" fontId="3" fillId="0" borderId="0" xfId="0" applyNumberFormat="1" applyFont="1" applyAlignment="1">
      <alignment vertical="center"/>
    </xf>
    <xf numFmtId="0" fontId="4" fillId="0" borderId="27" xfId="0" applyFont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44" fontId="4" fillId="0" borderId="35" xfId="0" applyNumberFormat="1" applyFont="1" applyBorder="1" applyAlignment="1">
      <alignment horizontal="center" vertical="center"/>
    </xf>
    <xf numFmtId="44" fontId="4" fillId="0" borderId="36" xfId="0" applyNumberFormat="1" applyFont="1" applyBorder="1" applyAlignment="1">
      <alignment horizontal="center" vertical="center"/>
    </xf>
    <xf numFmtId="0" fontId="5" fillId="0" borderId="0" xfId="0" applyFont="1"/>
    <xf numFmtId="9" fontId="4" fillId="4" borderId="41" xfId="4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4" fontId="3" fillId="0" borderId="0" xfId="0" applyNumberFormat="1" applyFont="1"/>
    <xf numFmtId="0" fontId="11" fillId="0" borderId="0" xfId="0" applyFont="1"/>
    <xf numFmtId="3" fontId="3" fillId="0" borderId="0" xfId="2" applyNumberFormat="1" applyFont="1" applyFill="1" applyBorder="1" applyAlignment="1">
      <alignment horizontal="right" vertical="center"/>
    </xf>
    <xf numFmtId="0" fontId="5" fillId="0" borderId="20" xfId="5" applyFont="1" applyBorder="1" applyAlignment="1">
      <alignment vertical="center" wrapText="1"/>
    </xf>
    <xf numFmtId="0" fontId="5" fillId="0" borderId="20" xfId="5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164" fontId="13" fillId="0" borderId="0" xfId="2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44" fontId="4" fillId="0" borderId="0" xfId="0" applyNumberFormat="1" applyFont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165" fontId="4" fillId="0" borderId="2" xfId="4" applyNumberFormat="1" applyFont="1" applyFill="1" applyBorder="1" applyAlignment="1">
      <alignment horizontal="left" vertical="center"/>
    </xf>
    <xf numFmtId="165" fontId="3" fillId="0" borderId="0" xfId="4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top"/>
    </xf>
    <xf numFmtId="165" fontId="4" fillId="0" borderId="1" xfId="4" applyNumberFormat="1" applyFont="1" applyFill="1" applyBorder="1" applyAlignment="1">
      <alignment vertical="center"/>
    </xf>
    <xf numFmtId="165" fontId="3" fillId="0" borderId="0" xfId="4" applyNumberFormat="1" applyFont="1" applyFill="1" applyBorder="1" applyAlignment="1">
      <alignment vertical="center"/>
    </xf>
    <xf numFmtId="165" fontId="3" fillId="0" borderId="6" xfId="4" applyNumberFormat="1" applyFont="1" applyFill="1" applyBorder="1" applyAlignment="1">
      <alignment vertical="center"/>
    </xf>
    <xf numFmtId="165" fontId="5" fillId="0" borderId="0" xfId="4" applyNumberFormat="1" applyFont="1" applyFill="1" applyBorder="1" applyAlignment="1">
      <alignment vertical="center"/>
    </xf>
    <xf numFmtId="165" fontId="4" fillId="0" borderId="6" xfId="4" applyNumberFormat="1" applyFont="1" applyFill="1" applyBorder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165" fontId="4" fillId="0" borderId="1" xfId="4" applyNumberFormat="1" applyFont="1" applyFill="1" applyBorder="1" applyAlignment="1">
      <alignment horizontal="left" vertical="center"/>
    </xf>
    <xf numFmtId="165" fontId="4" fillId="0" borderId="0" xfId="4" applyNumberFormat="1" applyFont="1" applyFill="1" applyBorder="1" applyAlignment="1">
      <alignment horizontal="left" vertical="center"/>
    </xf>
    <xf numFmtId="165" fontId="3" fillId="0" borderId="6" xfId="4" applyNumberFormat="1" applyFont="1" applyFill="1" applyBorder="1" applyAlignment="1">
      <alignment horizontal="left" vertical="center"/>
    </xf>
    <xf numFmtId="165" fontId="4" fillId="0" borderId="0" xfId="4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11" fillId="0" borderId="0" xfId="0" applyFont="1" applyAlignment="1">
      <alignment horizontal="center"/>
    </xf>
    <xf numFmtId="44" fontId="4" fillId="0" borderId="0" xfId="0" applyNumberFormat="1" applyFont="1" applyAlignment="1">
      <alignment horizontal="center" vertical="top" wrapText="1"/>
    </xf>
    <xf numFmtId="165" fontId="9" fillId="0" borderId="1" xfId="4" applyNumberFormat="1" applyFont="1" applyBorder="1" applyAlignment="1">
      <alignment horizontal="left" vertical="center"/>
    </xf>
    <xf numFmtId="165" fontId="9" fillId="0" borderId="1" xfId="4" applyNumberFormat="1" applyFont="1" applyBorder="1" applyAlignment="1">
      <alignment vertical="center"/>
    </xf>
    <xf numFmtId="165" fontId="9" fillId="0" borderId="0" xfId="4" applyNumberFormat="1" applyFont="1" applyAlignment="1">
      <alignment vertical="center"/>
    </xf>
    <xf numFmtId="165" fontId="9" fillId="0" borderId="6" xfId="4" applyNumberFormat="1" applyFont="1" applyBorder="1" applyAlignment="1">
      <alignment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167" fontId="3" fillId="0" borderId="53" xfId="2" applyNumberFormat="1" applyFont="1" applyFill="1" applyBorder="1" applyAlignment="1">
      <alignment horizontal="center" vertical="center"/>
    </xf>
    <xf numFmtId="167" fontId="5" fillId="0" borderId="54" xfId="2" applyNumberFormat="1" applyFont="1" applyBorder="1" applyAlignment="1">
      <alignment horizontal="center" vertical="center"/>
    </xf>
    <xf numFmtId="164" fontId="3" fillId="0" borderId="56" xfId="2" applyFont="1" applyFill="1" applyBorder="1" applyAlignment="1">
      <alignment horizontal="center" vertical="center"/>
    </xf>
    <xf numFmtId="167" fontId="5" fillId="0" borderId="21" xfId="2" applyNumberFormat="1" applyFont="1" applyBorder="1" applyAlignment="1">
      <alignment horizontal="center" vertical="center"/>
    </xf>
    <xf numFmtId="164" fontId="3" fillId="0" borderId="57" xfId="2" applyFont="1" applyFill="1" applyBorder="1" applyAlignment="1">
      <alignment horizontal="center" vertical="center"/>
    </xf>
    <xf numFmtId="167" fontId="5" fillId="0" borderId="58" xfId="2" applyNumberFormat="1" applyFont="1" applyBorder="1" applyAlignment="1">
      <alignment horizontal="center" vertical="center"/>
    </xf>
    <xf numFmtId="167" fontId="3" fillId="0" borderId="59" xfId="2" applyNumberFormat="1" applyFont="1" applyFill="1" applyBorder="1" applyAlignment="1">
      <alignment horizontal="center" vertical="center"/>
    </xf>
    <xf numFmtId="164" fontId="3" fillId="0" borderId="60" xfId="2" applyFont="1" applyFill="1" applyBorder="1" applyAlignment="1">
      <alignment horizontal="center" vertical="center"/>
    </xf>
    <xf numFmtId="164" fontId="3" fillId="4" borderId="14" xfId="2" applyFont="1" applyFill="1" applyBorder="1" applyAlignment="1">
      <alignment vertical="center"/>
    </xf>
    <xf numFmtId="9" fontId="5" fillId="4" borderId="9" xfId="4" applyFont="1" applyFill="1" applyBorder="1" applyAlignment="1">
      <alignment horizontal="center" vertical="center"/>
    </xf>
    <xf numFmtId="165" fontId="3" fillId="0" borderId="0" xfId="4" applyNumberFormat="1" applyFont="1" applyFill="1" applyBorder="1" applyAlignment="1">
      <alignment horizontal="left" vertical="center"/>
    </xf>
    <xf numFmtId="165" fontId="4" fillId="0" borderId="1" xfId="4" applyNumberFormat="1" applyFont="1" applyFill="1" applyBorder="1" applyAlignment="1">
      <alignment horizontal="left" vertical="center"/>
    </xf>
    <xf numFmtId="9" fontId="4" fillId="2" borderId="62" xfId="4" applyFont="1" applyFill="1" applyBorder="1" applyAlignment="1">
      <alignment horizontal="center" vertical="center" wrapText="1"/>
    </xf>
    <xf numFmtId="164" fontId="3" fillId="0" borderId="53" xfId="2" applyFont="1" applyFill="1" applyBorder="1" applyAlignment="1">
      <alignment horizontal="center" vertical="center"/>
    </xf>
    <xf numFmtId="167" fontId="3" fillId="0" borderId="21" xfId="2" applyNumberFormat="1" applyFont="1" applyFill="1" applyBorder="1" applyAlignment="1">
      <alignment horizontal="center" vertical="center"/>
    </xf>
    <xf numFmtId="42" fontId="3" fillId="0" borderId="0" xfId="0" applyNumberFormat="1" applyFont="1"/>
    <xf numFmtId="42" fontId="5" fillId="3" borderId="14" xfId="4" applyNumberFormat="1" applyFont="1" applyFill="1" applyBorder="1" applyAlignment="1">
      <alignment vertical="center"/>
    </xf>
    <xf numFmtId="9" fontId="3" fillId="0" borderId="0" xfId="4" applyFont="1"/>
    <xf numFmtId="9" fontId="5" fillId="3" borderId="9" xfId="4" applyNumberFormat="1" applyFont="1" applyFill="1" applyBorder="1" applyAlignment="1">
      <alignment horizontal="center" vertical="center"/>
    </xf>
    <xf numFmtId="166" fontId="3" fillId="0" borderId="0" xfId="1" applyFont="1"/>
    <xf numFmtId="167" fontId="5" fillId="0" borderId="0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67" fontId="3" fillId="0" borderId="55" xfId="2" applyNumberFormat="1" applyFont="1" applyFill="1" applyBorder="1" applyAlignment="1">
      <alignment horizontal="center" vertical="center"/>
    </xf>
    <xf numFmtId="165" fontId="3" fillId="0" borderId="0" xfId="4" applyNumberFormat="1" applyFont="1" applyFill="1" applyBorder="1" applyAlignment="1">
      <alignment horizontal="left" vertical="center"/>
    </xf>
    <xf numFmtId="165" fontId="3" fillId="0" borderId="6" xfId="4" applyNumberFormat="1" applyFont="1" applyFill="1" applyBorder="1" applyAlignment="1">
      <alignment horizontal="left" vertical="center"/>
    </xf>
    <xf numFmtId="165" fontId="4" fillId="0" borderId="1" xfId="4" applyNumberFormat="1" applyFont="1" applyFill="1" applyBorder="1" applyAlignment="1">
      <alignment horizontal="left" vertical="center"/>
    </xf>
    <xf numFmtId="165" fontId="4" fillId="0" borderId="0" xfId="4" applyNumberFormat="1" applyFont="1" applyFill="1" applyBorder="1" applyAlignment="1">
      <alignment horizontal="left" vertical="center"/>
    </xf>
    <xf numFmtId="165" fontId="5" fillId="0" borderId="1" xfId="4" applyNumberFormat="1" applyFont="1" applyFill="1" applyBorder="1" applyAlignment="1">
      <alignment horizontal="center" vertical="center"/>
    </xf>
    <xf numFmtId="165" fontId="5" fillId="0" borderId="0" xfId="4" applyNumberFormat="1" applyFont="1" applyFill="1" applyBorder="1" applyAlignment="1">
      <alignment horizontal="center" vertical="center"/>
    </xf>
    <xf numFmtId="165" fontId="5" fillId="0" borderId="6" xfId="4" applyNumberFormat="1" applyFont="1" applyFill="1" applyBorder="1" applyAlignment="1">
      <alignment horizontal="center" vertical="center"/>
    </xf>
    <xf numFmtId="165" fontId="4" fillId="0" borderId="5" xfId="4" applyNumberFormat="1" applyFont="1" applyFill="1" applyBorder="1" applyAlignment="1">
      <alignment horizontal="center" vertical="center"/>
    </xf>
    <xf numFmtId="165" fontId="4" fillId="0" borderId="4" xfId="4" applyNumberFormat="1" applyFont="1" applyFill="1" applyBorder="1" applyAlignment="1">
      <alignment horizontal="center" vertical="center"/>
    </xf>
    <xf numFmtId="165" fontId="4" fillId="0" borderId="3" xfId="4" applyNumberFormat="1" applyFont="1" applyFill="1" applyBorder="1" applyAlignment="1">
      <alignment horizontal="center" vertical="center"/>
    </xf>
    <xf numFmtId="165" fontId="3" fillId="0" borderId="0" xfId="4" applyNumberFormat="1" applyFont="1" applyFill="1" applyBorder="1" applyAlignment="1">
      <alignment horizontal="left" vertical="center"/>
    </xf>
    <xf numFmtId="165" fontId="3" fillId="0" borderId="6" xfId="4" applyNumberFormat="1" applyFont="1" applyFill="1" applyBorder="1" applyAlignment="1">
      <alignment horizontal="left" vertical="center"/>
    </xf>
    <xf numFmtId="165" fontId="4" fillId="0" borderId="1" xfId="4" applyNumberFormat="1" applyFont="1" applyFill="1" applyBorder="1" applyAlignment="1">
      <alignment horizontal="left" vertical="center"/>
    </xf>
    <xf numFmtId="165" fontId="4" fillId="0" borderId="0" xfId="4" applyNumberFormat="1" applyFont="1" applyFill="1" applyBorder="1" applyAlignment="1">
      <alignment horizontal="left" vertical="center"/>
    </xf>
    <xf numFmtId="164" fontId="4" fillId="2" borderId="2" xfId="2" applyFont="1" applyFill="1" applyBorder="1" applyAlignment="1">
      <alignment horizontal="center" vertical="center"/>
    </xf>
    <xf numFmtId="164" fontId="4" fillId="2" borderId="8" xfId="2" applyFont="1" applyFill="1" applyBorder="1" applyAlignment="1">
      <alignment horizontal="center" vertical="center"/>
    </xf>
    <xf numFmtId="164" fontId="4" fillId="2" borderId="7" xfId="2" applyFont="1" applyFill="1" applyBorder="1" applyAlignment="1">
      <alignment horizontal="center" vertical="center"/>
    </xf>
    <xf numFmtId="164" fontId="4" fillId="2" borderId="1" xfId="2" applyFont="1" applyFill="1" applyBorder="1" applyAlignment="1">
      <alignment horizontal="center" vertical="center"/>
    </xf>
    <xf numFmtId="164" fontId="4" fillId="2" borderId="0" xfId="2" applyFont="1" applyFill="1" applyBorder="1" applyAlignment="1">
      <alignment horizontal="center" vertical="center"/>
    </xf>
    <xf numFmtId="164" fontId="4" fillId="2" borderId="6" xfId="2" applyFont="1" applyFill="1" applyBorder="1" applyAlignment="1">
      <alignment horizontal="center" vertical="center"/>
    </xf>
    <xf numFmtId="44" fontId="4" fillId="0" borderId="18" xfId="0" applyNumberFormat="1" applyFont="1" applyBorder="1" applyAlignment="1">
      <alignment horizontal="center" vertical="center" wrapText="1"/>
    </xf>
    <xf numFmtId="44" fontId="4" fillId="0" borderId="26" xfId="0" applyNumberFormat="1" applyFont="1" applyBorder="1" applyAlignment="1">
      <alignment horizontal="center" vertical="center" wrapText="1"/>
    </xf>
    <xf numFmtId="164" fontId="4" fillId="0" borderId="2" xfId="2" applyFont="1" applyFill="1" applyBorder="1" applyAlignment="1">
      <alignment horizontal="center" vertical="center" wrapText="1"/>
    </xf>
    <xf numFmtId="164" fontId="4" fillId="0" borderId="8" xfId="2" applyFont="1" applyFill="1" applyBorder="1" applyAlignment="1">
      <alignment horizontal="center" vertical="center" wrapText="1"/>
    </xf>
    <xf numFmtId="164" fontId="4" fillId="0" borderId="7" xfId="2" applyFont="1" applyFill="1" applyBorder="1" applyAlignment="1">
      <alignment horizontal="center" vertical="center" wrapText="1"/>
    </xf>
    <xf numFmtId="164" fontId="4" fillId="0" borderId="1" xfId="2" applyFont="1" applyFill="1" applyBorder="1" applyAlignment="1">
      <alignment horizontal="center" vertical="center" wrapText="1"/>
    </xf>
    <xf numFmtId="164" fontId="4" fillId="0" borderId="0" xfId="2" applyFont="1" applyFill="1" applyBorder="1" applyAlignment="1">
      <alignment horizontal="center" vertical="center" wrapText="1"/>
    </xf>
    <xf numFmtId="164" fontId="4" fillId="0" borderId="6" xfId="2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164" fontId="4" fillId="3" borderId="2" xfId="2" applyFont="1" applyFill="1" applyBorder="1" applyAlignment="1">
      <alignment horizontal="center" vertical="center" wrapText="1"/>
    </xf>
    <xf numFmtId="164" fontId="4" fillId="3" borderId="8" xfId="2" applyFont="1" applyFill="1" applyBorder="1" applyAlignment="1">
      <alignment horizontal="center" vertical="center" wrapText="1"/>
    </xf>
    <xf numFmtId="164" fontId="4" fillId="3" borderId="7" xfId="2" applyFont="1" applyFill="1" applyBorder="1" applyAlignment="1">
      <alignment horizontal="center" vertical="center" wrapText="1"/>
    </xf>
    <xf numFmtId="164" fontId="4" fillId="3" borderId="1" xfId="2" applyFont="1" applyFill="1" applyBorder="1" applyAlignment="1">
      <alignment horizontal="center" vertical="center" wrapText="1"/>
    </xf>
    <xf numFmtId="164" fontId="4" fillId="3" borderId="0" xfId="2" applyFont="1" applyFill="1" applyBorder="1" applyAlignment="1">
      <alignment horizontal="center" vertical="center" wrapText="1"/>
    </xf>
    <xf numFmtId="164" fontId="4" fillId="3" borderId="6" xfId="2" applyFont="1" applyFill="1" applyBorder="1" applyAlignment="1">
      <alignment horizontal="center" vertical="center" wrapText="1"/>
    </xf>
    <xf numFmtId="44" fontId="4" fillId="0" borderId="2" xfId="0" applyNumberFormat="1" applyFont="1" applyBorder="1" applyAlignment="1">
      <alignment horizontal="center" vertical="center"/>
    </xf>
    <xf numFmtId="44" fontId="4" fillId="0" borderId="7" xfId="0" applyNumberFormat="1" applyFont="1" applyBorder="1" applyAlignment="1">
      <alignment horizontal="center" vertical="center"/>
    </xf>
    <xf numFmtId="44" fontId="4" fillId="0" borderId="5" xfId="0" applyNumberFormat="1" applyFont="1" applyBorder="1" applyAlignment="1">
      <alignment horizontal="center" vertical="center"/>
    </xf>
    <xf numFmtId="44" fontId="4" fillId="0" borderId="3" xfId="0" applyNumberFormat="1" applyFont="1" applyBorder="1" applyAlignment="1">
      <alignment horizontal="center" vertical="center"/>
    </xf>
    <xf numFmtId="15" fontId="4" fillId="0" borderId="28" xfId="0" applyNumberFormat="1" applyFont="1" applyBorder="1" applyAlignment="1">
      <alignment horizontal="center" vertical="center"/>
    </xf>
    <xf numFmtId="15" fontId="4" fillId="0" borderId="3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42" fontId="13" fillId="3" borderId="10" xfId="3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3" fillId="0" borderId="8" xfId="4" applyNumberFormat="1" applyFont="1" applyFill="1" applyBorder="1" applyAlignment="1">
      <alignment horizontal="left" vertical="center"/>
    </xf>
    <xf numFmtId="165" fontId="3" fillId="0" borderId="7" xfId="4" applyNumberFormat="1" applyFont="1" applyFill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167" fontId="3" fillId="0" borderId="54" xfId="2" applyNumberFormat="1" applyFont="1" applyFill="1" applyBorder="1" applyAlignment="1">
      <alignment horizontal="center" vertical="center"/>
    </xf>
    <xf numFmtId="167" fontId="3" fillId="0" borderId="55" xfId="2" applyNumberFormat="1" applyFont="1" applyFill="1" applyBorder="1" applyAlignment="1">
      <alignment horizontal="center" vertical="center"/>
    </xf>
    <xf numFmtId="167" fontId="3" fillId="0" borderId="56" xfId="2" applyNumberFormat="1" applyFont="1" applyFill="1" applyBorder="1" applyAlignment="1">
      <alignment horizontal="center" vertical="center"/>
    </xf>
    <xf numFmtId="42" fontId="13" fillId="2" borderId="26" xfId="3" applyFont="1" applyFill="1" applyBorder="1" applyAlignment="1">
      <alignment horizontal="center" vertical="center"/>
    </xf>
    <xf numFmtId="42" fontId="13" fillId="2" borderId="10" xfId="3" applyFont="1" applyFill="1" applyBorder="1" applyAlignment="1">
      <alignment horizontal="center" vertical="center"/>
    </xf>
    <xf numFmtId="164" fontId="4" fillId="4" borderId="17" xfId="2" applyFont="1" applyFill="1" applyBorder="1" applyAlignment="1">
      <alignment horizontal="center" vertical="center" wrapText="1"/>
    </xf>
    <xf numFmtId="164" fontId="4" fillId="4" borderId="16" xfId="2" applyFont="1" applyFill="1" applyBorder="1" applyAlignment="1">
      <alignment horizontal="center" vertical="center" wrapText="1"/>
    </xf>
    <xf numFmtId="164" fontId="4" fillId="4" borderId="15" xfId="2" applyFont="1" applyFill="1" applyBorder="1" applyAlignment="1">
      <alignment horizontal="center" vertical="center" wrapText="1"/>
    </xf>
    <xf numFmtId="164" fontId="4" fillId="4" borderId="47" xfId="2" applyFont="1" applyFill="1" applyBorder="1" applyAlignment="1">
      <alignment horizontal="center" vertical="center" wrapText="1"/>
    </xf>
    <xf numFmtId="164" fontId="4" fillId="4" borderId="0" xfId="2" applyFont="1" applyFill="1" applyBorder="1" applyAlignment="1">
      <alignment horizontal="center" vertical="center" wrapText="1"/>
    </xf>
    <xf numFmtId="164" fontId="4" fillId="4" borderId="48" xfId="2" applyFont="1" applyFill="1" applyBorder="1" applyAlignment="1">
      <alignment horizontal="center" vertical="center" wrapText="1"/>
    </xf>
    <xf numFmtId="164" fontId="4" fillId="4" borderId="45" xfId="2" applyFont="1" applyFill="1" applyBorder="1" applyAlignment="1">
      <alignment horizontal="center" vertical="center" wrapText="1"/>
    </xf>
    <xf numFmtId="164" fontId="4" fillId="4" borderId="37" xfId="2" applyFont="1" applyFill="1" applyBorder="1" applyAlignment="1">
      <alignment horizontal="center" vertical="center" wrapText="1"/>
    </xf>
    <xf numFmtId="164" fontId="4" fillId="4" borderId="46" xfId="2" applyFont="1" applyFill="1" applyBorder="1" applyAlignment="1">
      <alignment horizontal="center" vertical="center" wrapText="1"/>
    </xf>
    <xf numFmtId="165" fontId="5" fillId="0" borderId="8" xfId="4" applyNumberFormat="1" applyFont="1" applyBorder="1" applyAlignment="1">
      <alignment horizontal="left" vertical="center"/>
    </xf>
    <xf numFmtId="165" fontId="5" fillId="0" borderId="7" xfId="4" applyNumberFormat="1" applyFont="1" applyBorder="1" applyAlignment="1">
      <alignment horizontal="left" vertical="center"/>
    </xf>
    <xf numFmtId="165" fontId="5" fillId="0" borderId="1" xfId="4" applyNumberFormat="1" applyFont="1" applyBorder="1" applyAlignment="1">
      <alignment horizontal="center" vertical="center"/>
    </xf>
    <xf numFmtId="165" fontId="5" fillId="0" borderId="0" xfId="4" applyNumberFormat="1" applyFont="1" applyAlignment="1">
      <alignment horizontal="center" vertical="center"/>
    </xf>
    <xf numFmtId="165" fontId="5" fillId="0" borderId="6" xfId="4" applyNumberFormat="1" applyFont="1" applyBorder="1" applyAlignment="1">
      <alignment horizontal="center" vertical="center"/>
    </xf>
    <xf numFmtId="165" fontId="9" fillId="0" borderId="5" xfId="4" applyNumberFormat="1" applyFont="1" applyBorder="1" applyAlignment="1">
      <alignment horizontal="center" vertical="center"/>
    </xf>
    <xf numFmtId="165" fontId="9" fillId="0" borderId="4" xfId="4" applyNumberFormat="1" applyFont="1" applyBorder="1" applyAlignment="1">
      <alignment horizontal="center" vertical="center"/>
    </xf>
    <xf numFmtId="165" fontId="9" fillId="0" borderId="3" xfId="4" applyNumberFormat="1" applyFont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42" fontId="10" fillId="4" borderId="26" xfId="3" applyFont="1" applyFill="1" applyBorder="1" applyAlignment="1">
      <alignment horizontal="center" vertical="center"/>
    </xf>
    <xf numFmtId="42" fontId="10" fillId="4" borderId="10" xfId="3" applyFont="1" applyFill="1" applyBorder="1" applyAlignment="1">
      <alignment horizontal="center" vertical="center"/>
    </xf>
    <xf numFmtId="165" fontId="5" fillId="0" borderId="0" xfId="4" applyNumberFormat="1" applyFont="1" applyAlignment="1">
      <alignment horizontal="left" vertical="center"/>
    </xf>
    <xf numFmtId="165" fontId="5" fillId="0" borderId="6" xfId="4" applyNumberFormat="1" applyFont="1" applyBorder="1" applyAlignment="1">
      <alignment horizontal="left" vertical="center"/>
    </xf>
    <xf numFmtId="167" fontId="5" fillId="0" borderId="66" xfId="2" applyNumberFormat="1" applyFont="1" applyBorder="1" applyAlignment="1">
      <alignment horizontal="center" vertical="center"/>
    </xf>
    <xf numFmtId="0" fontId="4" fillId="3" borderId="64" xfId="0" applyFont="1" applyFill="1" applyBorder="1" applyAlignment="1">
      <alignment horizontal="center" vertical="center" wrapText="1"/>
    </xf>
    <xf numFmtId="9" fontId="4" fillId="3" borderId="65" xfId="4" applyFont="1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center" vertical="center" wrapText="1"/>
    </xf>
    <xf numFmtId="0" fontId="4" fillId="3" borderId="67" xfId="0" applyFont="1" applyFill="1" applyBorder="1" applyAlignment="1">
      <alignment horizontal="center" vertical="center" wrapText="1"/>
    </xf>
    <xf numFmtId="42" fontId="13" fillId="3" borderId="26" xfId="3" applyFont="1" applyFill="1" applyBorder="1" applyAlignment="1">
      <alignment horizontal="center" vertical="center"/>
    </xf>
    <xf numFmtId="165" fontId="4" fillId="0" borderId="6" xfId="4" applyNumberFormat="1" applyFont="1" applyFill="1" applyBorder="1" applyAlignment="1">
      <alignment horizontal="left" vertical="center"/>
    </xf>
    <xf numFmtId="167" fontId="3" fillId="0" borderId="21" xfId="2" applyNumberFormat="1" applyFont="1" applyFill="1" applyBorder="1" applyAlignment="1">
      <alignment horizontal="center" vertical="center"/>
    </xf>
    <xf numFmtId="167" fontId="3" fillId="0" borderId="53" xfId="2" applyNumberFormat="1" applyFont="1" applyFill="1" applyBorder="1" applyAlignment="1">
      <alignment horizontal="center" vertical="center"/>
    </xf>
    <xf numFmtId="167" fontId="3" fillId="0" borderId="68" xfId="2" applyNumberFormat="1" applyFont="1" applyFill="1" applyBorder="1" applyAlignment="1">
      <alignment horizontal="center" vertical="center"/>
    </xf>
    <xf numFmtId="167" fontId="3" fillId="0" borderId="69" xfId="2" applyNumberFormat="1" applyFont="1" applyFill="1" applyBorder="1" applyAlignment="1">
      <alignment horizontal="center" vertical="center"/>
    </xf>
    <xf numFmtId="167" fontId="3" fillId="0" borderId="70" xfId="2" applyNumberFormat="1" applyFont="1" applyFill="1" applyBorder="1" applyAlignment="1">
      <alignment horizontal="center" vertical="center"/>
    </xf>
    <xf numFmtId="167" fontId="3" fillId="0" borderId="57" xfId="2" applyNumberFormat="1" applyFont="1" applyFill="1" applyBorder="1" applyAlignment="1">
      <alignment horizontal="center" vertical="center"/>
    </xf>
    <xf numFmtId="168" fontId="5" fillId="0" borderId="68" xfId="6" applyFont="1" applyFill="1" applyBorder="1" applyAlignment="1">
      <alignment horizontal="center" vertical="center"/>
    </xf>
    <xf numFmtId="168" fontId="5" fillId="0" borderId="69" xfId="6" applyFont="1" applyFill="1" applyBorder="1" applyAlignment="1">
      <alignment horizontal="center" vertical="center"/>
    </xf>
    <xf numFmtId="168" fontId="5" fillId="0" borderId="70" xfId="6" applyFont="1" applyFill="1" applyBorder="1" applyAlignment="1">
      <alignment horizontal="center" vertical="center"/>
    </xf>
    <xf numFmtId="167" fontId="3" fillId="0" borderId="57" xfId="2" applyNumberFormat="1" applyFont="1" applyFill="1" applyBorder="1" applyAlignment="1">
      <alignment horizontal="center" vertical="center"/>
    </xf>
    <xf numFmtId="166" fontId="5" fillId="0" borderId="71" xfId="1" applyFont="1" applyFill="1" applyBorder="1" applyAlignment="1">
      <alignment vertical="center"/>
    </xf>
    <xf numFmtId="167" fontId="3" fillId="0" borderId="72" xfId="2" applyNumberFormat="1" applyFont="1" applyFill="1" applyBorder="1" applyAlignment="1">
      <alignment horizontal="center" vertical="center"/>
    </xf>
    <xf numFmtId="167" fontId="3" fillId="0" borderId="73" xfId="2" applyNumberFormat="1" applyFont="1" applyFill="1" applyBorder="1" applyAlignment="1">
      <alignment horizontal="center" vertical="center"/>
    </xf>
    <xf numFmtId="164" fontId="5" fillId="0" borderId="57" xfId="2" applyFont="1" applyBorder="1" applyAlignment="1">
      <alignment horizontal="center" vertical="center"/>
    </xf>
    <xf numFmtId="164" fontId="5" fillId="0" borderId="60" xfId="2" applyFont="1" applyBorder="1" applyAlignment="1">
      <alignment horizontal="center" vertical="center"/>
    </xf>
  </cellXfs>
  <cellStyles count="7">
    <cellStyle name="Millares" xfId="1" builtinId="3"/>
    <cellStyle name="Millares 4" xfId="6" xr:uid="{8496C982-F51C-4BB3-8377-DDEEB65E61BB}"/>
    <cellStyle name="Moneda" xfId="2" builtinId="4"/>
    <cellStyle name="Moneda [0]" xfId="3" builtinId="7"/>
    <cellStyle name="Normal" xfId="0" builtinId="0"/>
    <cellStyle name="Normal 10" xfId="5" xr:uid="{FC9070BD-83D9-47B2-B552-DD8DA234CE05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254359</xdr:colOff>
      <xdr:row>1</xdr:row>
      <xdr:rowOff>146769</xdr:rowOff>
    </xdr:from>
    <xdr:ext cx="1451235" cy="938299"/>
    <xdr:pic>
      <xdr:nvPicPr>
        <xdr:cNvPr id="2" name="Imagen 1" descr="C:\Users\Viviana\Downloads\WhatsApp Image 2021-09-17 at 10.34.06 AM (1).jpeg">
          <a:extLst>
            <a:ext uri="{FF2B5EF4-FFF2-40B4-BE49-F238E27FC236}">
              <a16:creationId xmlns:a16="http://schemas.microsoft.com/office/drawing/2014/main" id="{1DF459C9-B6E8-4234-B3E8-5BAC9D09BE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219" y="314409"/>
          <a:ext cx="1451235" cy="938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D02C-84DD-4BA4-B91F-D292B9CEB1AF}">
  <sheetPr>
    <pageSetUpPr fitToPage="1"/>
  </sheetPr>
  <dimension ref="A1:AB95"/>
  <sheetViews>
    <sheetView showGridLines="0" tabSelected="1" topLeftCell="B1" zoomScale="30" zoomScaleNormal="60" workbookViewId="0">
      <selection activeCell="AD71" sqref="AD71"/>
    </sheetView>
  </sheetViews>
  <sheetFormatPr baseColWidth="10" defaultColWidth="11.46484375" defaultRowHeight="22.15" x14ac:dyDescent="0.8"/>
  <cols>
    <col min="1" max="1" width="5.19921875" style="1" hidden="1" customWidth="1"/>
    <col min="2" max="2" width="8.46484375" style="1" customWidth="1"/>
    <col min="3" max="3" width="57.796875" style="1" bestFit="1" customWidth="1"/>
    <col min="4" max="4" width="13.46484375" style="44" customWidth="1"/>
    <col min="5" max="5" width="19.06640625" style="1" bestFit="1" customWidth="1"/>
    <col min="6" max="6" width="18.1328125" style="45" bestFit="1" customWidth="1"/>
    <col min="7" max="7" width="22.1328125" style="45" bestFit="1" customWidth="1"/>
    <col min="8" max="8" width="2.46484375" style="1" customWidth="1"/>
    <col min="9" max="9" width="26.796875" style="1" customWidth="1"/>
    <col min="10" max="10" width="18.53125" style="1" customWidth="1"/>
    <col min="11" max="11" width="21.33203125" style="1" bestFit="1" customWidth="1"/>
    <col min="12" max="12" width="22.19921875" style="1" customWidth="1"/>
    <col min="13" max="13" width="2.796875" style="1" customWidth="1"/>
    <col min="14" max="14" width="26.19921875" style="1" customWidth="1"/>
    <col min="15" max="16" width="20.796875" style="1" customWidth="1"/>
    <col min="17" max="17" width="26.33203125" style="1" customWidth="1"/>
    <col min="18" max="18" width="2.46484375" style="1" customWidth="1"/>
    <col min="19" max="19" width="26.796875" style="1" customWidth="1"/>
    <col min="20" max="20" width="23.796875" style="1" customWidth="1"/>
    <col min="21" max="21" width="24.19921875" style="1" customWidth="1"/>
    <col min="22" max="22" width="26.1328125" style="1" bestFit="1" customWidth="1"/>
    <col min="23" max="23" width="1.796875" style="1" customWidth="1"/>
    <col min="24" max="24" width="17.796875" style="46" bestFit="1" customWidth="1"/>
    <col min="25" max="25" width="18" style="46" customWidth="1"/>
    <col min="26" max="26" width="15.53125" style="46" customWidth="1"/>
    <col min="27" max="27" width="11.46484375" style="46" customWidth="1"/>
    <col min="28" max="28" width="11.46484375" style="46"/>
    <col min="29" max="16384" width="11.46484375" style="1"/>
  </cols>
  <sheetData>
    <row r="1" spans="1:22" ht="22.5" thickBot="1" x14ac:dyDescent="0.85"/>
    <row r="2" spans="1:22" ht="45" customHeight="1" x14ac:dyDescent="0.8">
      <c r="A2" s="24"/>
      <c r="B2" s="127" t="s">
        <v>83</v>
      </c>
      <c r="C2" s="128"/>
      <c r="D2" s="128"/>
      <c r="E2" s="128"/>
      <c r="F2" s="129"/>
      <c r="G2" s="125" t="s">
        <v>0</v>
      </c>
      <c r="H2" s="18"/>
      <c r="I2" s="143" t="s">
        <v>75</v>
      </c>
      <c r="J2" s="144"/>
      <c r="K2" s="144"/>
      <c r="L2" s="145"/>
      <c r="M2" s="15"/>
      <c r="N2" s="119" t="s">
        <v>79</v>
      </c>
      <c r="O2" s="120"/>
      <c r="P2" s="120"/>
      <c r="Q2" s="121"/>
      <c r="S2" s="187" t="s">
        <v>80</v>
      </c>
      <c r="T2" s="188"/>
      <c r="U2" s="188"/>
      <c r="V2" s="189"/>
    </row>
    <row r="3" spans="1:22" ht="33" customHeight="1" x14ac:dyDescent="0.8">
      <c r="A3" s="23"/>
      <c r="B3" s="130"/>
      <c r="C3" s="131"/>
      <c r="D3" s="131"/>
      <c r="E3" s="131"/>
      <c r="F3" s="132"/>
      <c r="G3" s="126"/>
      <c r="H3" s="18"/>
      <c r="I3" s="146"/>
      <c r="J3" s="147"/>
      <c r="K3" s="147"/>
      <c r="L3" s="148"/>
      <c r="M3" s="15"/>
      <c r="N3" s="122"/>
      <c r="O3" s="123"/>
      <c r="P3" s="123"/>
      <c r="Q3" s="124"/>
      <c r="S3" s="190"/>
      <c r="T3" s="191"/>
      <c r="U3" s="191"/>
      <c r="V3" s="192"/>
    </row>
    <row r="4" spans="1:22" ht="47" customHeight="1" thickBot="1" x14ac:dyDescent="0.85">
      <c r="A4" s="23"/>
      <c r="B4" s="130"/>
      <c r="C4" s="131"/>
      <c r="D4" s="131"/>
      <c r="E4" s="131"/>
      <c r="F4" s="132"/>
      <c r="G4" s="126"/>
      <c r="H4" s="18"/>
      <c r="I4" s="146"/>
      <c r="J4" s="147"/>
      <c r="K4" s="147"/>
      <c r="L4" s="148"/>
      <c r="M4" s="15"/>
      <c r="N4" s="122"/>
      <c r="O4" s="123"/>
      <c r="P4" s="123"/>
      <c r="Q4" s="124"/>
      <c r="S4" s="190"/>
      <c r="T4" s="191"/>
      <c r="U4" s="191"/>
      <c r="V4" s="192"/>
    </row>
    <row r="5" spans="1:22" ht="48" customHeight="1" thickBot="1" x14ac:dyDescent="0.85">
      <c r="A5" s="22"/>
      <c r="B5" s="135" t="s">
        <v>1</v>
      </c>
      <c r="C5" s="138" t="s">
        <v>2</v>
      </c>
      <c r="D5" s="133" t="s">
        <v>3</v>
      </c>
      <c r="E5" s="133"/>
      <c r="F5" s="133"/>
      <c r="G5" s="134"/>
      <c r="H5" s="18"/>
      <c r="I5" s="146"/>
      <c r="J5" s="147"/>
      <c r="K5" s="147"/>
      <c r="L5" s="148"/>
      <c r="M5" s="21"/>
      <c r="N5" s="122"/>
      <c r="O5" s="123"/>
      <c r="P5" s="123"/>
      <c r="Q5" s="124"/>
      <c r="S5" s="193"/>
      <c r="T5" s="194"/>
      <c r="U5" s="194"/>
      <c r="V5" s="195"/>
    </row>
    <row r="6" spans="1:22" ht="18.75" customHeight="1" thickBot="1" x14ac:dyDescent="0.85">
      <c r="A6" s="20"/>
      <c r="B6" s="136"/>
      <c r="C6" s="139"/>
      <c r="D6" s="153"/>
      <c r="E6" s="153"/>
      <c r="F6" s="153"/>
      <c r="G6" s="154"/>
      <c r="H6" s="18"/>
      <c r="I6" s="164" t="s">
        <v>4</v>
      </c>
      <c r="J6" s="78" t="s">
        <v>5</v>
      </c>
      <c r="K6" s="165" t="s">
        <v>6</v>
      </c>
      <c r="L6" s="166" t="s">
        <v>7</v>
      </c>
      <c r="M6" s="18"/>
      <c r="N6" s="178" t="s">
        <v>4</v>
      </c>
      <c r="O6" s="77" t="s">
        <v>8</v>
      </c>
      <c r="P6" s="180" t="s">
        <v>6</v>
      </c>
      <c r="Q6" s="141" t="s">
        <v>7</v>
      </c>
      <c r="S6" s="204" t="s">
        <v>4</v>
      </c>
      <c r="T6" s="36" t="s">
        <v>8</v>
      </c>
      <c r="U6" s="206" t="s">
        <v>6</v>
      </c>
      <c r="V6" s="208" t="s">
        <v>7</v>
      </c>
    </row>
    <row r="7" spans="1:22" ht="34.25" customHeight="1" thickBot="1" x14ac:dyDescent="0.85">
      <c r="A7" s="19"/>
      <c r="B7" s="137"/>
      <c r="C7" s="140"/>
      <c r="D7" s="37" t="s">
        <v>9</v>
      </c>
      <c r="E7" s="37" t="s">
        <v>10</v>
      </c>
      <c r="F7" s="38" t="s">
        <v>11</v>
      </c>
      <c r="G7" s="39" t="s">
        <v>12</v>
      </c>
      <c r="H7" s="18"/>
      <c r="I7" s="215"/>
      <c r="J7" s="216">
        <v>0.19</v>
      </c>
      <c r="K7" s="217"/>
      <c r="L7" s="218"/>
      <c r="M7" s="18"/>
      <c r="N7" s="179"/>
      <c r="O7" s="91">
        <v>0.19</v>
      </c>
      <c r="P7" s="181"/>
      <c r="Q7" s="142"/>
      <c r="S7" s="205"/>
      <c r="T7" s="41">
        <v>0.19</v>
      </c>
      <c r="U7" s="207"/>
      <c r="V7" s="209"/>
    </row>
    <row r="8" spans="1:22" ht="22.5" thickBot="1" x14ac:dyDescent="0.85">
      <c r="A8" s="19"/>
      <c r="B8" s="35"/>
      <c r="C8" s="167" t="s">
        <v>29</v>
      </c>
      <c r="D8" s="168"/>
      <c r="E8" s="168"/>
      <c r="F8" s="168"/>
      <c r="G8" s="169"/>
      <c r="H8" s="18"/>
      <c r="I8" s="227"/>
      <c r="J8" s="228"/>
      <c r="K8" s="228"/>
      <c r="L8" s="229"/>
      <c r="M8" s="47"/>
      <c r="N8" s="223"/>
      <c r="O8" s="224"/>
      <c r="P8" s="224"/>
      <c r="Q8" s="225"/>
      <c r="S8" s="231"/>
      <c r="T8" s="232"/>
      <c r="U8" s="232"/>
      <c r="V8" s="233"/>
    </row>
    <row r="9" spans="1:22" x14ac:dyDescent="0.8">
      <c r="A9" s="19"/>
      <c r="B9" s="27">
        <v>1</v>
      </c>
      <c r="C9" s="48" t="s">
        <v>32</v>
      </c>
      <c r="D9" s="49" t="s">
        <v>30</v>
      </c>
      <c r="E9" s="50">
        <v>1</v>
      </c>
      <c r="F9" s="28"/>
      <c r="G9" s="31"/>
      <c r="H9" s="18"/>
      <c r="I9" s="80">
        <v>87513</v>
      </c>
      <c r="J9" s="104">
        <f>+I9*0.19</f>
        <v>16627.47</v>
      </c>
      <c r="K9" s="104">
        <f>+J9+I9</f>
        <v>104140.47</v>
      </c>
      <c r="L9" s="81">
        <f>+K9*E9</f>
        <v>104140.47</v>
      </c>
      <c r="M9" s="214"/>
      <c r="N9" s="182">
        <v>234525</v>
      </c>
      <c r="O9" s="183">
        <f>+N9*0.19</f>
        <v>44559.75</v>
      </c>
      <c r="P9" s="183">
        <f>+O9+N9</f>
        <v>279084.75</v>
      </c>
      <c r="Q9" s="184">
        <f>+P9</f>
        <v>279084.75</v>
      </c>
      <c r="S9" s="182">
        <v>234525</v>
      </c>
      <c r="T9" s="183">
        <f>+S9*0.19</f>
        <v>44559.75</v>
      </c>
      <c r="U9" s="183">
        <f>+T9+S9</f>
        <v>279084.75</v>
      </c>
      <c r="V9" s="184">
        <f>+U9</f>
        <v>279084.75</v>
      </c>
    </row>
    <row r="10" spans="1:22" x14ac:dyDescent="0.8">
      <c r="A10" s="19"/>
      <c r="B10" s="27">
        <v>2</v>
      </c>
      <c r="C10" s="48" t="s">
        <v>33</v>
      </c>
      <c r="D10" s="49" t="s">
        <v>30</v>
      </c>
      <c r="E10" s="50">
        <v>1</v>
      </c>
      <c r="F10" s="28"/>
      <c r="G10" s="31"/>
      <c r="H10" s="18"/>
      <c r="I10" s="82">
        <v>107415</v>
      </c>
      <c r="J10" s="79">
        <f t="shared" ref="J10:J51" si="0">+I10*0.19</f>
        <v>20408.849999999999</v>
      </c>
      <c r="K10" s="79">
        <f t="shared" ref="K10:K15" si="1">+J10+I10</f>
        <v>127823.85</v>
      </c>
      <c r="L10" s="83">
        <f t="shared" ref="L10:L15" si="2">+K10*E10</f>
        <v>127823.85</v>
      </c>
      <c r="M10" s="99"/>
      <c r="N10" s="221"/>
      <c r="O10" s="222"/>
      <c r="P10" s="222"/>
      <c r="Q10" s="226"/>
      <c r="S10" s="221"/>
      <c r="T10" s="222"/>
      <c r="U10" s="222"/>
      <c r="V10" s="226"/>
    </row>
    <row r="11" spans="1:22" x14ac:dyDescent="0.8">
      <c r="A11" s="19"/>
      <c r="B11" s="27">
        <v>3</v>
      </c>
      <c r="C11" s="48" t="s">
        <v>34</v>
      </c>
      <c r="D11" s="49" t="s">
        <v>30</v>
      </c>
      <c r="E11" s="50">
        <v>1</v>
      </c>
      <c r="F11" s="28"/>
      <c r="G11" s="31"/>
      <c r="H11" s="18"/>
      <c r="I11" s="82">
        <v>39804</v>
      </c>
      <c r="J11" s="79">
        <f t="shared" si="0"/>
        <v>7562.76</v>
      </c>
      <c r="K11" s="79">
        <f t="shared" si="1"/>
        <v>47366.76</v>
      </c>
      <c r="L11" s="83">
        <f t="shared" si="2"/>
        <v>47366.76</v>
      </c>
      <c r="M11" s="99"/>
      <c r="N11" s="221"/>
      <c r="O11" s="222"/>
      <c r="P11" s="222"/>
      <c r="Q11" s="226"/>
      <c r="S11" s="221"/>
      <c r="T11" s="222"/>
      <c r="U11" s="222"/>
      <c r="V11" s="226"/>
    </row>
    <row r="12" spans="1:22" x14ac:dyDescent="0.8">
      <c r="A12" s="19"/>
      <c r="B12" s="27">
        <v>4</v>
      </c>
      <c r="C12" s="48" t="s">
        <v>35</v>
      </c>
      <c r="D12" s="49" t="s">
        <v>30</v>
      </c>
      <c r="E12" s="50">
        <v>1</v>
      </c>
      <c r="F12" s="28"/>
      <c r="G12" s="31"/>
      <c r="H12" s="18"/>
      <c r="I12" s="82">
        <v>15903</v>
      </c>
      <c r="J12" s="79">
        <f t="shared" si="0"/>
        <v>3021.57</v>
      </c>
      <c r="K12" s="79">
        <f t="shared" si="1"/>
        <v>18924.57</v>
      </c>
      <c r="L12" s="83">
        <f t="shared" si="2"/>
        <v>18924.57</v>
      </c>
      <c r="M12" s="99"/>
      <c r="N12" s="93">
        <v>18020</v>
      </c>
      <c r="O12" s="79">
        <f>+N12*0.19</f>
        <v>3423.8</v>
      </c>
      <c r="P12" s="92">
        <f>+O12+N12</f>
        <v>21443.8</v>
      </c>
      <c r="Q12" s="83">
        <f>+P12</f>
        <v>21443.8</v>
      </c>
      <c r="S12" s="82">
        <f>+(N12+I12)*2</f>
        <v>67846</v>
      </c>
      <c r="T12" s="79">
        <f t="shared" ref="T12:T34" si="3">+S12*0.19</f>
        <v>12890.74</v>
      </c>
      <c r="U12" s="79">
        <f t="shared" ref="U12:U34" si="4">+T12+S12</f>
        <v>80736.740000000005</v>
      </c>
      <c r="V12" s="234">
        <f t="shared" ref="V12:V34" si="5">+U12</f>
        <v>80736.740000000005</v>
      </c>
    </row>
    <row r="13" spans="1:22" x14ac:dyDescent="0.8">
      <c r="A13" s="19"/>
      <c r="B13" s="27">
        <v>5</v>
      </c>
      <c r="C13" s="48" t="s">
        <v>36</v>
      </c>
      <c r="D13" s="49" t="s">
        <v>30</v>
      </c>
      <c r="E13" s="50">
        <v>1</v>
      </c>
      <c r="F13" s="28"/>
      <c r="G13" s="31"/>
      <c r="H13" s="18"/>
      <c r="I13" s="82">
        <v>38223</v>
      </c>
      <c r="J13" s="79">
        <f t="shared" si="0"/>
        <v>7262.37</v>
      </c>
      <c r="K13" s="79">
        <f t="shared" si="1"/>
        <v>45485.37</v>
      </c>
      <c r="L13" s="83">
        <f t="shared" si="2"/>
        <v>45485.37</v>
      </c>
      <c r="M13" s="99"/>
      <c r="N13" s="221">
        <v>126130</v>
      </c>
      <c r="O13" s="222">
        <f>+N13*0.19</f>
        <v>23964.7</v>
      </c>
      <c r="P13" s="222">
        <f>+O13+N13</f>
        <v>150094.70000000001</v>
      </c>
      <c r="Q13" s="226">
        <f>+P13</f>
        <v>150094.70000000001</v>
      </c>
      <c r="S13" s="221">
        <f>+(130000+Q13)/2</f>
        <v>140047.35</v>
      </c>
      <c r="T13" s="222">
        <f>+S13*0.19</f>
        <v>26608.996500000001</v>
      </c>
      <c r="U13" s="222">
        <f>+T13+S13</f>
        <v>166656.34650000001</v>
      </c>
      <c r="V13" s="226">
        <f>+U13</f>
        <v>166656.34650000001</v>
      </c>
    </row>
    <row r="14" spans="1:22" x14ac:dyDescent="0.8">
      <c r="A14" s="19"/>
      <c r="B14" s="27">
        <v>6</v>
      </c>
      <c r="C14" s="48" t="s">
        <v>37</v>
      </c>
      <c r="D14" s="49" t="s">
        <v>30</v>
      </c>
      <c r="E14" s="50">
        <v>1</v>
      </c>
      <c r="F14" s="28"/>
      <c r="G14" s="31"/>
      <c r="H14" s="18"/>
      <c r="I14" s="82">
        <v>44175</v>
      </c>
      <c r="J14" s="79">
        <f t="shared" si="0"/>
        <v>8393.25</v>
      </c>
      <c r="K14" s="79">
        <f t="shared" si="1"/>
        <v>52568.25</v>
      </c>
      <c r="L14" s="83">
        <f t="shared" si="2"/>
        <v>52568.25</v>
      </c>
      <c r="M14" s="99"/>
      <c r="N14" s="221"/>
      <c r="O14" s="222"/>
      <c r="P14" s="222"/>
      <c r="Q14" s="226"/>
      <c r="S14" s="221"/>
      <c r="T14" s="222"/>
      <c r="U14" s="222"/>
      <c r="V14" s="226"/>
    </row>
    <row r="15" spans="1:22" x14ac:dyDescent="0.8">
      <c r="A15" s="19"/>
      <c r="B15" s="27">
        <v>7</v>
      </c>
      <c r="C15" s="48" t="s">
        <v>38</v>
      </c>
      <c r="D15" s="49" t="s">
        <v>30</v>
      </c>
      <c r="E15" s="50">
        <v>1</v>
      </c>
      <c r="F15" s="28"/>
      <c r="G15" s="31"/>
      <c r="H15" s="18"/>
      <c r="I15" s="82">
        <v>27063</v>
      </c>
      <c r="J15" s="79">
        <f t="shared" si="0"/>
        <v>5141.97</v>
      </c>
      <c r="K15" s="79">
        <f t="shared" si="1"/>
        <v>32204.97</v>
      </c>
      <c r="L15" s="83">
        <f t="shared" si="2"/>
        <v>32204.97</v>
      </c>
      <c r="M15" s="99"/>
      <c r="N15" s="221"/>
      <c r="O15" s="222"/>
      <c r="P15" s="222"/>
      <c r="Q15" s="226"/>
      <c r="S15" s="221"/>
      <c r="T15" s="222"/>
      <c r="U15" s="222"/>
      <c r="V15" s="226"/>
    </row>
    <row r="16" spans="1:22" x14ac:dyDescent="0.8">
      <c r="A16" s="19"/>
      <c r="B16" s="27">
        <v>8</v>
      </c>
      <c r="C16" s="48" t="s">
        <v>39</v>
      </c>
      <c r="D16" s="49" t="s">
        <v>30</v>
      </c>
      <c r="E16" s="50">
        <v>1</v>
      </c>
      <c r="F16" s="28"/>
      <c r="G16" s="31"/>
      <c r="H16" s="18"/>
      <c r="I16" s="221">
        <v>186428</v>
      </c>
      <c r="J16" s="222">
        <f>+I16*0.19</f>
        <v>35421.32</v>
      </c>
      <c r="K16" s="222">
        <f>+J16+I16</f>
        <v>221849.32</v>
      </c>
      <c r="L16" s="226">
        <f>+K16</f>
        <v>221849.32</v>
      </c>
      <c r="M16" s="99"/>
      <c r="N16" s="221">
        <v>186428</v>
      </c>
      <c r="O16" s="222">
        <f>+N16*0.19</f>
        <v>35421.32</v>
      </c>
      <c r="P16" s="222">
        <f>+O16+N16</f>
        <v>221849.32</v>
      </c>
      <c r="Q16" s="226">
        <f>+P16</f>
        <v>221849.32</v>
      </c>
      <c r="S16" s="221">
        <v>186428</v>
      </c>
      <c r="T16" s="222">
        <f>+S16*0.19</f>
        <v>35421.32</v>
      </c>
      <c r="U16" s="222">
        <f>+T16+S16</f>
        <v>221849.32</v>
      </c>
      <c r="V16" s="226">
        <f>+U16</f>
        <v>221849.32</v>
      </c>
    </row>
    <row r="17" spans="1:22" x14ac:dyDescent="0.8">
      <c r="A17" s="19"/>
      <c r="B17" s="27">
        <v>9</v>
      </c>
      <c r="C17" s="48" t="s">
        <v>40</v>
      </c>
      <c r="D17" s="49" t="s">
        <v>30</v>
      </c>
      <c r="E17" s="50">
        <v>1</v>
      </c>
      <c r="F17" s="28"/>
      <c r="G17" s="31"/>
      <c r="H17" s="18"/>
      <c r="I17" s="221"/>
      <c r="J17" s="222"/>
      <c r="K17" s="222"/>
      <c r="L17" s="226"/>
      <c r="M17" s="99"/>
      <c r="N17" s="221"/>
      <c r="O17" s="222"/>
      <c r="P17" s="222"/>
      <c r="Q17" s="226"/>
      <c r="S17" s="221"/>
      <c r="T17" s="222"/>
      <c r="U17" s="222"/>
      <c r="V17" s="226"/>
    </row>
    <row r="18" spans="1:22" x14ac:dyDescent="0.8">
      <c r="A18" s="19"/>
      <c r="B18" s="27">
        <v>10</v>
      </c>
      <c r="C18" s="48" t="s">
        <v>41</v>
      </c>
      <c r="D18" s="49" t="s">
        <v>30</v>
      </c>
      <c r="E18" s="50">
        <v>1</v>
      </c>
      <c r="F18" s="28"/>
      <c r="G18" s="31"/>
      <c r="H18" s="18"/>
      <c r="I18" s="221"/>
      <c r="J18" s="222"/>
      <c r="K18" s="222"/>
      <c r="L18" s="226"/>
      <c r="M18" s="99"/>
      <c r="N18" s="221"/>
      <c r="O18" s="222"/>
      <c r="P18" s="222"/>
      <c r="Q18" s="226"/>
      <c r="S18" s="221"/>
      <c r="T18" s="222"/>
      <c r="U18" s="222"/>
      <c r="V18" s="226"/>
    </row>
    <row r="19" spans="1:22" x14ac:dyDescent="0.8">
      <c r="A19" s="19"/>
      <c r="B19" s="27">
        <v>11</v>
      </c>
      <c r="C19" s="48" t="s">
        <v>42</v>
      </c>
      <c r="D19" s="49" t="s">
        <v>30</v>
      </c>
      <c r="E19" s="50">
        <v>1</v>
      </c>
      <c r="F19" s="28"/>
      <c r="G19" s="31"/>
      <c r="H19" s="18"/>
      <c r="I19" s="82">
        <v>239010</v>
      </c>
      <c r="J19" s="79">
        <f t="shared" si="0"/>
        <v>45411.9</v>
      </c>
      <c r="K19" s="79">
        <f t="shared" ref="K19:K51" si="6">+J19+I19</f>
        <v>284421.90000000002</v>
      </c>
      <c r="L19" s="83">
        <f t="shared" ref="L19:L51" si="7">+K19*E19</f>
        <v>284421.90000000002</v>
      </c>
      <c r="M19" s="99"/>
      <c r="N19" s="93">
        <v>238998</v>
      </c>
      <c r="O19" s="79">
        <f>+N19*0.19</f>
        <v>45409.62</v>
      </c>
      <c r="P19" s="92">
        <f>+O19+N19</f>
        <v>284407.62</v>
      </c>
      <c r="Q19" s="83">
        <f>+P19</f>
        <v>284407.62</v>
      </c>
      <c r="S19" s="82">
        <v>228874.67817679601</v>
      </c>
      <c r="T19" s="79">
        <f t="shared" si="3"/>
        <v>43486.188853591244</v>
      </c>
      <c r="U19" s="79">
        <f t="shared" si="4"/>
        <v>272360.86703038728</v>
      </c>
      <c r="V19" s="234">
        <f t="shared" si="5"/>
        <v>272360.86703038728</v>
      </c>
    </row>
    <row r="20" spans="1:22" x14ac:dyDescent="0.8">
      <c r="A20" s="19"/>
      <c r="B20" s="27">
        <v>12</v>
      </c>
      <c r="C20" s="48" t="s">
        <v>43</v>
      </c>
      <c r="D20" s="49" t="s">
        <v>30</v>
      </c>
      <c r="E20" s="50">
        <v>1</v>
      </c>
      <c r="F20" s="28"/>
      <c r="G20" s="31"/>
      <c r="H20" s="18"/>
      <c r="I20" s="82">
        <v>249240</v>
      </c>
      <c r="J20" s="79">
        <f t="shared" si="0"/>
        <v>47355.6</v>
      </c>
      <c r="K20" s="79">
        <f t="shared" si="6"/>
        <v>296595.59999999998</v>
      </c>
      <c r="L20" s="83">
        <f t="shared" si="7"/>
        <v>296595.59999999998</v>
      </c>
      <c r="M20" s="99"/>
      <c r="N20" s="93">
        <v>249129</v>
      </c>
      <c r="O20" s="79">
        <f>+N20*0.19</f>
        <v>47334.51</v>
      </c>
      <c r="P20" s="92">
        <f>+O20+N20</f>
        <v>296463.51</v>
      </c>
      <c r="Q20" s="83">
        <f>+P20</f>
        <v>296463.51</v>
      </c>
      <c r="S20" s="82">
        <v>238576.50994475099</v>
      </c>
      <c r="T20" s="79">
        <f t="shared" si="3"/>
        <v>45329.536889502691</v>
      </c>
      <c r="U20" s="79">
        <f t="shared" si="4"/>
        <v>283906.04683425371</v>
      </c>
      <c r="V20" s="234">
        <f t="shared" si="5"/>
        <v>283906.04683425371</v>
      </c>
    </row>
    <row r="21" spans="1:22" x14ac:dyDescent="0.8">
      <c r="A21" s="19"/>
      <c r="B21" s="27">
        <v>13</v>
      </c>
      <c r="C21" s="48" t="s">
        <v>44</v>
      </c>
      <c r="D21" s="49" t="s">
        <v>30</v>
      </c>
      <c r="E21" s="50">
        <v>1</v>
      </c>
      <c r="F21" s="28"/>
      <c r="G21" s="31"/>
      <c r="H21" s="18"/>
      <c r="I21" s="82">
        <v>53010</v>
      </c>
      <c r="J21" s="79">
        <f t="shared" si="0"/>
        <v>10071.9</v>
      </c>
      <c r="K21" s="79">
        <f t="shared" si="6"/>
        <v>63081.9</v>
      </c>
      <c r="L21" s="83">
        <f t="shared" si="7"/>
        <v>63081.9</v>
      </c>
      <c r="M21" s="99"/>
      <c r="N21" s="93">
        <v>52920</v>
      </c>
      <c r="O21" s="79">
        <f>+N21*0.19</f>
        <v>10054.799999999999</v>
      </c>
      <c r="P21" s="92">
        <f>+O21+N21</f>
        <v>62974.8</v>
      </c>
      <c r="Q21" s="83">
        <f>+P21</f>
        <v>62974.8</v>
      </c>
      <c r="S21" s="82">
        <v>50678.453038674001</v>
      </c>
      <c r="T21" s="79">
        <f t="shared" si="3"/>
        <v>9628.9060773480596</v>
      </c>
      <c r="U21" s="79">
        <f t="shared" si="4"/>
        <v>60307.35911602206</v>
      </c>
      <c r="V21" s="234">
        <f t="shared" si="5"/>
        <v>60307.35911602206</v>
      </c>
    </row>
    <row r="22" spans="1:22" x14ac:dyDescent="0.8">
      <c r="A22" s="19"/>
      <c r="B22" s="27">
        <v>14</v>
      </c>
      <c r="C22" s="48" t="s">
        <v>45</v>
      </c>
      <c r="D22" s="49" t="s">
        <v>30</v>
      </c>
      <c r="E22" s="50">
        <v>1</v>
      </c>
      <c r="F22" s="28"/>
      <c r="G22" s="31"/>
      <c r="H22" s="18"/>
      <c r="I22" s="82">
        <v>53010</v>
      </c>
      <c r="J22" s="79">
        <f t="shared" si="0"/>
        <v>10071.9</v>
      </c>
      <c r="K22" s="79">
        <f t="shared" si="6"/>
        <v>63081.9</v>
      </c>
      <c r="L22" s="83">
        <f t="shared" si="7"/>
        <v>63081.9</v>
      </c>
      <c r="M22" s="99"/>
      <c r="N22" s="93">
        <v>52920</v>
      </c>
      <c r="O22" s="79">
        <f>+N22*0.19</f>
        <v>10054.799999999999</v>
      </c>
      <c r="P22" s="92">
        <f>+O22+N22</f>
        <v>62974.8</v>
      </c>
      <c r="Q22" s="83">
        <f>+P22</f>
        <v>62974.8</v>
      </c>
      <c r="S22" s="82">
        <v>50678.453038674001</v>
      </c>
      <c r="T22" s="79">
        <f t="shared" si="3"/>
        <v>9628.9060773480596</v>
      </c>
      <c r="U22" s="79">
        <f t="shared" si="4"/>
        <v>60307.35911602206</v>
      </c>
      <c r="V22" s="234">
        <f t="shared" si="5"/>
        <v>60307.35911602206</v>
      </c>
    </row>
    <row r="23" spans="1:22" x14ac:dyDescent="0.8">
      <c r="A23" s="19"/>
      <c r="B23" s="27">
        <v>15</v>
      </c>
      <c r="C23" s="48" t="s">
        <v>46</v>
      </c>
      <c r="D23" s="49" t="s">
        <v>30</v>
      </c>
      <c r="E23" s="50">
        <v>1</v>
      </c>
      <c r="F23" s="28"/>
      <c r="G23" s="31"/>
      <c r="H23" s="18"/>
      <c r="I23" s="82">
        <v>92116.5</v>
      </c>
      <c r="J23" s="79">
        <f t="shared" si="0"/>
        <v>17502.134999999998</v>
      </c>
      <c r="K23" s="79">
        <f t="shared" si="6"/>
        <v>109618.63499999999</v>
      </c>
      <c r="L23" s="83">
        <f t="shared" si="7"/>
        <v>109618.63499999999</v>
      </c>
      <c r="M23" s="99"/>
      <c r="N23" s="93">
        <v>92110</v>
      </c>
      <c r="O23" s="79">
        <f>+N23*0.19</f>
        <v>17500.900000000001</v>
      </c>
      <c r="P23" s="92">
        <f>+O23+N23</f>
        <v>109610.9</v>
      </c>
      <c r="Q23" s="83">
        <f>+P23</f>
        <v>109610.9</v>
      </c>
      <c r="S23" s="82">
        <v>88208.088397790096</v>
      </c>
      <c r="T23" s="79">
        <f t="shared" si="3"/>
        <v>16759.536795580119</v>
      </c>
      <c r="U23" s="79">
        <f t="shared" si="4"/>
        <v>104967.62519337022</v>
      </c>
      <c r="V23" s="234">
        <f t="shared" si="5"/>
        <v>104967.62519337022</v>
      </c>
    </row>
    <row r="24" spans="1:22" x14ac:dyDescent="0.8">
      <c r="A24" s="19"/>
      <c r="B24" s="27">
        <v>16</v>
      </c>
      <c r="C24" s="48" t="s">
        <v>47</v>
      </c>
      <c r="D24" s="49" t="s">
        <v>30</v>
      </c>
      <c r="E24" s="50">
        <v>1</v>
      </c>
      <c r="F24" s="28"/>
      <c r="G24" s="31"/>
      <c r="H24" s="18"/>
      <c r="I24" s="82">
        <v>25900.5</v>
      </c>
      <c r="J24" s="79">
        <f t="shared" si="0"/>
        <v>4921.0950000000003</v>
      </c>
      <c r="K24" s="79">
        <f t="shared" si="6"/>
        <v>30821.595000000001</v>
      </c>
      <c r="L24" s="83">
        <f t="shared" si="7"/>
        <v>30821.595000000001</v>
      </c>
      <c r="M24" s="99"/>
      <c r="N24" s="93">
        <v>25875</v>
      </c>
      <c r="O24" s="79">
        <f>+N24*0.19</f>
        <v>4916.25</v>
      </c>
      <c r="P24" s="92">
        <f>+O24+N24</f>
        <v>30791.25</v>
      </c>
      <c r="Q24" s="83">
        <f>+P24</f>
        <v>30791.25</v>
      </c>
      <c r="S24" s="82">
        <v>24779</v>
      </c>
      <c r="T24" s="79">
        <f t="shared" si="3"/>
        <v>4708.01</v>
      </c>
      <c r="U24" s="79">
        <f t="shared" si="4"/>
        <v>29487.010000000002</v>
      </c>
      <c r="V24" s="234">
        <f t="shared" si="5"/>
        <v>29487.010000000002</v>
      </c>
    </row>
    <row r="25" spans="1:22" x14ac:dyDescent="0.8">
      <c r="A25" s="19"/>
      <c r="B25" s="27">
        <v>17</v>
      </c>
      <c r="C25" s="48" t="s">
        <v>48</v>
      </c>
      <c r="D25" s="49" t="s">
        <v>30</v>
      </c>
      <c r="E25" s="50">
        <v>1</v>
      </c>
      <c r="F25" s="28"/>
      <c r="G25" s="31"/>
      <c r="H25" s="18"/>
      <c r="I25" s="82">
        <v>28783.5</v>
      </c>
      <c r="J25" s="79">
        <f t="shared" si="0"/>
        <v>5468.8649999999998</v>
      </c>
      <c r="K25" s="79">
        <f t="shared" si="6"/>
        <v>34252.364999999998</v>
      </c>
      <c r="L25" s="83">
        <f t="shared" si="7"/>
        <v>34252.364999999998</v>
      </c>
      <c r="M25" s="99"/>
      <c r="N25" s="93">
        <v>28744</v>
      </c>
      <c r="O25" s="79">
        <f>+N25*0.19</f>
        <v>5461.36</v>
      </c>
      <c r="P25" s="92">
        <f>+O25+N25</f>
        <v>34205.360000000001</v>
      </c>
      <c r="Q25" s="83">
        <f>+P25</f>
        <v>34205.360000000001</v>
      </c>
      <c r="S25" s="82">
        <v>27529</v>
      </c>
      <c r="T25" s="79">
        <f t="shared" si="3"/>
        <v>5230.51</v>
      </c>
      <c r="U25" s="79">
        <f t="shared" si="4"/>
        <v>32759.510000000002</v>
      </c>
      <c r="V25" s="234">
        <f t="shared" si="5"/>
        <v>32759.510000000002</v>
      </c>
    </row>
    <row r="26" spans="1:22" x14ac:dyDescent="0.8">
      <c r="A26" s="19"/>
      <c r="B26" s="27">
        <v>18</v>
      </c>
      <c r="C26" s="48" t="s">
        <v>49</v>
      </c>
      <c r="D26" s="49" t="s">
        <v>30</v>
      </c>
      <c r="E26" s="50">
        <v>1</v>
      </c>
      <c r="F26" s="28"/>
      <c r="G26" s="31"/>
      <c r="H26" s="18"/>
      <c r="I26" s="82">
        <v>42780</v>
      </c>
      <c r="J26" s="79">
        <f t="shared" si="0"/>
        <v>8128.2</v>
      </c>
      <c r="K26" s="79">
        <f t="shared" si="6"/>
        <v>50908.2</v>
      </c>
      <c r="L26" s="83">
        <f t="shared" si="7"/>
        <v>50908.2</v>
      </c>
      <c r="M26" s="99"/>
      <c r="N26" s="93">
        <v>42750</v>
      </c>
      <c r="O26" s="79">
        <f>+N26*0.19</f>
        <v>8122.5</v>
      </c>
      <c r="P26" s="92">
        <f>+O26+N26</f>
        <v>50872.5</v>
      </c>
      <c r="Q26" s="83">
        <f>+P26</f>
        <v>50872.5</v>
      </c>
      <c r="S26" s="82">
        <v>0</v>
      </c>
      <c r="T26" s="79">
        <f t="shared" si="3"/>
        <v>0</v>
      </c>
      <c r="U26" s="79">
        <f t="shared" si="4"/>
        <v>0</v>
      </c>
      <c r="V26" s="234">
        <f t="shared" si="5"/>
        <v>0</v>
      </c>
    </row>
    <row r="27" spans="1:22" x14ac:dyDescent="0.8">
      <c r="A27" s="19"/>
      <c r="B27" s="27">
        <v>19</v>
      </c>
      <c r="C27" s="48" t="s">
        <v>50</v>
      </c>
      <c r="D27" s="49" t="s">
        <v>30</v>
      </c>
      <c r="E27" s="50">
        <v>1</v>
      </c>
      <c r="F27" s="28"/>
      <c r="G27" s="31"/>
      <c r="H27" s="18"/>
      <c r="I27" s="82">
        <v>146010</v>
      </c>
      <c r="J27" s="79">
        <f t="shared" si="0"/>
        <v>27741.9</v>
      </c>
      <c r="K27" s="79">
        <f t="shared" si="6"/>
        <v>173751.9</v>
      </c>
      <c r="L27" s="83">
        <f t="shared" si="7"/>
        <v>173751.9</v>
      </c>
      <c r="M27" s="99"/>
      <c r="N27" s="93">
        <v>145908</v>
      </c>
      <c r="O27" s="79">
        <f>+N27*0.19</f>
        <v>27722.52</v>
      </c>
      <c r="P27" s="92">
        <f>+O27+N27</f>
        <v>173630.52</v>
      </c>
      <c r="Q27" s="83">
        <f>+P27</f>
        <v>173630.52</v>
      </c>
      <c r="S27" s="82">
        <v>139727.73480663</v>
      </c>
      <c r="T27" s="79">
        <f t="shared" si="3"/>
        <v>26548.269613259701</v>
      </c>
      <c r="U27" s="79">
        <f t="shared" si="4"/>
        <v>166276.00441988971</v>
      </c>
      <c r="V27" s="234">
        <f t="shared" si="5"/>
        <v>166276.00441988971</v>
      </c>
    </row>
    <row r="28" spans="1:22" x14ac:dyDescent="0.8">
      <c r="A28" s="19"/>
      <c r="B28" s="27">
        <v>20</v>
      </c>
      <c r="C28" s="48" t="s">
        <v>51</v>
      </c>
      <c r="D28" s="49" t="s">
        <v>30</v>
      </c>
      <c r="E28" s="50">
        <v>1</v>
      </c>
      <c r="F28" s="28"/>
      <c r="G28" s="31"/>
      <c r="H28" s="18"/>
      <c r="I28" s="82">
        <v>109275</v>
      </c>
      <c r="J28" s="79">
        <f t="shared" si="0"/>
        <v>20762.25</v>
      </c>
      <c r="K28" s="79">
        <f t="shared" si="6"/>
        <v>130037.25</v>
      </c>
      <c r="L28" s="83">
        <f t="shared" si="7"/>
        <v>130037.25</v>
      </c>
      <c r="M28" s="99"/>
      <c r="N28" s="93">
        <v>109125</v>
      </c>
      <c r="O28" s="79">
        <f>+N28*0.19</f>
        <v>20733.75</v>
      </c>
      <c r="P28" s="92">
        <f>+O28+N28</f>
        <v>129858.75</v>
      </c>
      <c r="Q28" s="83">
        <f>+P28</f>
        <v>129858.75</v>
      </c>
      <c r="S28" s="82">
        <v>104501.68508287299</v>
      </c>
      <c r="T28" s="79">
        <f t="shared" si="3"/>
        <v>19855.32016574587</v>
      </c>
      <c r="U28" s="79">
        <f t="shared" si="4"/>
        <v>124357.00524861887</v>
      </c>
      <c r="V28" s="234">
        <f t="shared" si="5"/>
        <v>124357.00524861887</v>
      </c>
    </row>
    <row r="29" spans="1:22" x14ac:dyDescent="0.8">
      <c r="A29" s="19"/>
      <c r="B29" s="27">
        <v>21</v>
      </c>
      <c r="C29" s="48" t="s">
        <v>52</v>
      </c>
      <c r="D29" s="49" t="s">
        <v>30</v>
      </c>
      <c r="E29" s="50">
        <v>1</v>
      </c>
      <c r="F29" s="28"/>
      <c r="G29" s="31"/>
      <c r="H29" s="18"/>
      <c r="I29" s="82">
        <v>372000</v>
      </c>
      <c r="J29" s="79">
        <f t="shared" si="0"/>
        <v>70680</v>
      </c>
      <c r="K29" s="79">
        <f t="shared" si="6"/>
        <v>442680</v>
      </c>
      <c r="L29" s="83">
        <f t="shared" si="7"/>
        <v>442680</v>
      </c>
      <c r="M29" s="99"/>
      <c r="N29" s="93">
        <v>371670</v>
      </c>
      <c r="O29" s="79">
        <f>+N29*0.19</f>
        <v>70617.3</v>
      </c>
      <c r="P29" s="92">
        <f>+O29+N29</f>
        <v>442287.3</v>
      </c>
      <c r="Q29" s="83">
        <f>+P29</f>
        <v>442287.3</v>
      </c>
      <c r="S29" s="82">
        <v>355954.594475138</v>
      </c>
      <c r="T29" s="79">
        <f t="shared" si="3"/>
        <v>67631.372950276214</v>
      </c>
      <c r="U29" s="79">
        <f t="shared" si="4"/>
        <v>423585.96742541424</v>
      </c>
      <c r="V29" s="234">
        <f t="shared" si="5"/>
        <v>423585.96742541424</v>
      </c>
    </row>
    <row r="30" spans="1:22" x14ac:dyDescent="0.8">
      <c r="A30" s="19"/>
      <c r="B30" s="27">
        <v>22</v>
      </c>
      <c r="C30" s="48" t="s">
        <v>53</v>
      </c>
      <c r="D30" s="49" t="s">
        <v>30</v>
      </c>
      <c r="E30" s="50">
        <v>1</v>
      </c>
      <c r="F30" s="28"/>
      <c r="G30" s="31"/>
      <c r="H30" s="18"/>
      <c r="I30" s="82">
        <v>49755</v>
      </c>
      <c r="J30" s="79">
        <f t="shared" si="0"/>
        <v>9453.4500000000007</v>
      </c>
      <c r="K30" s="79">
        <f t="shared" si="6"/>
        <v>59208.45</v>
      </c>
      <c r="L30" s="83">
        <f t="shared" si="7"/>
        <v>59208.45</v>
      </c>
      <c r="M30" s="99"/>
      <c r="N30" s="93">
        <v>49731</v>
      </c>
      <c r="O30" s="79">
        <f>+N30*0.19</f>
        <v>9448.89</v>
      </c>
      <c r="P30" s="92">
        <f>+O30+N30</f>
        <v>59179.89</v>
      </c>
      <c r="Q30" s="83">
        <f>+P30</f>
        <v>59179.89</v>
      </c>
      <c r="S30" s="82">
        <v>47624.458563535904</v>
      </c>
      <c r="T30" s="79">
        <f t="shared" si="3"/>
        <v>9048.6471270718212</v>
      </c>
      <c r="U30" s="79">
        <f t="shared" si="4"/>
        <v>56673.105690607728</v>
      </c>
      <c r="V30" s="234">
        <f t="shared" si="5"/>
        <v>56673.105690607728</v>
      </c>
    </row>
    <row r="31" spans="1:22" x14ac:dyDescent="0.8">
      <c r="A31" s="19"/>
      <c r="B31" s="27">
        <v>23</v>
      </c>
      <c r="C31" s="48" t="s">
        <v>54</v>
      </c>
      <c r="D31" s="49" t="s">
        <v>30</v>
      </c>
      <c r="E31" s="50">
        <v>1</v>
      </c>
      <c r="F31" s="28"/>
      <c r="G31" s="31"/>
      <c r="H31" s="18"/>
      <c r="I31" s="82">
        <v>155775</v>
      </c>
      <c r="J31" s="79">
        <f t="shared" si="0"/>
        <v>29597.25</v>
      </c>
      <c r="K31" s="79">
        <f t="shared" si="6"/>
        <v>185372.25</v>
      </c>
      <c r="L31" s="83">
        <f t="shared" si="7"/>
        <v>185372.25</v>
      </c>
      <c r="M31" s="99"/>
      <c r="N31" s="93">
        <v>155697</v>
      </c>
      <c r="O31" s="79">
        <f>+N31*0.19</f>
        <v>29582.43</v>
      </c>
      <c r="P31" s="92">
        <f>+O31+N31</f>
        <v>185279.43</v>
      </c>
      <c r="Q31" s="83">
        <f>+P31</f>
        <v>185279.43</v>
      </c>
      <c r="S31" s="82">
        <v>149101.98165745899</v>
      </c>
      <c r="T31" s="79">
        <f t="shared" si="3"/>
        <v>28329.37651491721</v>
      </c>
      <c r="U31" s="79">
        <f t="shared" si="4"/>
        <v>177431.3581723762</v>
      </c>
      <c r="V31" s="234">
        <f t="shared" si="5"/>
        <v>177431.3581723762</v>
      </c>
    </row>
    <row r="32" spans="1:22" x14ac:dyDescent="0.8">
      <c r="A32" s="19"/>
      <c r="B32" s="27">
        <v>24</v>
      </c>
      <c r="C32" s="48" t="s">
        <v>55</v>
      </c>
      <c r="D32" s="49" t="s">
        <v>30</v>
      </c>
      <c r="E32" s="50">
        <v>1</v>
      </c>
      <c r="F32" s="28"/>
      <c r="G32" s="31"/>
      <c r="H32" s="18"/>
      <c r="I32" s="82">
        <v>187534.5</v>
      </c>
      <c r="J32" s="79">
        <f t="shared" si="0"/>
        <v>35631.555</v>
      </c>
      <c r="K32" s="79">
        <f t="shared" si="6"/>
        <v>223166.05499999999</v>
      </c>
      <c r="L32" s="83">
        <f t="shared" si="7"/>
        <v>223166.05499999999</v>
      </c>
      <c r="M32" s="99"/>
      <c r="N32" s="82">
        <v>187534.5</v>
      </c>
      <c r="O32" s="79">
        <f t="shared" ref="O32" si="8">+N32*0.19</f>
        <v>35631.555</v>
      </c>
      <c r="P32" s="79">
        <f t="shared" ref="P32" si="9">+O32+N32</f>
        <v>223166.05499999999</v>
      </c>
      <c r="Q32" s="83">
        <f>+P32</f>
        <v>223166.05499999999</v>
      </c>
      <c r="S32" s="82">
        <v>187534.5</v>
      </c>
      <c r="T32" s="79">
        <f t="shared" si="3"/>
        <v>35631.555</v>
      </c>
      <c r="U32" s="79">
        <f t="shared" si="4"/>
        <v>223166.05499999999</v>
      </c>
      <c r="V32" s="83">
        <f>+U32</f>
        <v>223166.05499999999</v>
      </c>
    </row>
    <row r="33" spans="1:22" x14ac:dyDescent="0.8">
      <c r="A33" s="19"/>
      <c r="B33" s="27">
        <v>25</v>
      </c>
      <c r="C33" s="48" t="s">
        <v>56</v>
      </c>
      <c r="D33" s="49" t="s">
        <v>30</v>
      </c>
      <c r="E33" s="50">
        <v>1</v>
      </c>
      <c r="F33" s="28"/>
      <c r="G33" s="31"/>
      <c r="H33" s="18"/>
      <c r="I33" s="82">
        <v>686433</v>
      </c>
      <c r="J33" s="79">
        <f t="shared" si="0"/>
        <v>130422.27</v>
      </c>
      <c r="K33" s="79">
        <f t="shared" si="6"/>
        <v>816855.27</v>
      </c>
      <c r="L33" s="83">
        <f t="shared" si="7"/>
        <v>816855.27</v>
      </c>
      <c r="M33" s="99"/>
      <c r="N33" s="93">
        <v>686400</v>
      </c>
      <c r="O33" s="79">
        <f>+N33*0.19</f>
        <v>130416</v>
      </c>
      <c r="P33" s="79">
        <f>+O33+N33</f>
        <v>816816</v>
      </c>
      <c r="Q33" s="230">
        <f>+P33</f>
        <v>816816</v>
      </c>
      <c r="S33" s="82">
        <v>657325.96685082896</v>
      </c>
      <c r="T33" s="79">
        <f t="shared" si="3"/>
        <v>124891.9337016575</v>
      </c>
      <c r="U33" s="79">
        <f t="shared" si="4"/>
        <v>782217.90055248642</v>
      </c>
      <c r="V33" s="234">
        <f t="shared" si="5"/>
        <v>782217.90055248642</v>
      </c>
    </row>
    <row r="34" spans="1:22" x14ac:dyDescent="0.8">
      <c r="A34" s="19"/>
      <c r="B34" s="27">
        <v>26</v>
      </c>
      <c r="C34" s="48" t="s">
        <v>57</v>
      </c>
      <c r="D34" s="49" t="s">
        <v>30</v>
      </c>
      <c r="E34" s="50">
        <v>1</v>
      </c>
      <c r="F34" s="28"/>
      <c r="G34" s="31"/>
      <c r="H34" s="18"/>
      <c r="I34" s="82">
        <v>109275</v>
      </c>
      <c r="J34" s="79">
        <f t="shared" si="0"/>
        <v>20762.25</v>
      </c>
      <c r="K34" s="79">
        <f t="shared" si="6"/>
        <v>130037.25</v>
      </c>
      <c r="L34" s="83">
        <f t="shared" si="7"/>
        <v>130037.25</v>
      </c>
      <c r="M34" s="99"/>
      <c r="N34" s="93">
        <v>108895</v>
      </c>
      <c r="O34" s="79">
        <f>+N34*0.19</f>
        <v>20690.05</v>
      </c>
      <c r="P34" s="79">
        <f>+O34+N34</f>
        <v>129585.05</v>
      </c>
      <c r="Q34" s="230">
        <f>+P34</f>
        <v>129585.05</v>
      </c>
      <c r="S34" s="82">
        <v>191115.79176795599</v>
      </c>
      <c r="T34" s="79">
        <f t="shared" si="3"/>
        <v>36312.000435911636</v>
      </c>
      <c r="U34" s="79">
        <f t="shared" si="4"/>
        <v>227427.79220386763</v>
      </c>
      <c r="V34" s="234">
        <f t="shared" si="5"/>
        <v>227427.79220386763</v>
      </c>
    </row>
    <row r="35" spans="1:22" x14ac:dyDescent="0.8">
      <c r="A35" s="19"/>
      <c r="B35" s="27">
        <v>27</v>
      </c>
      <c r="C35" s="48" t="s">
        <v>58</v>
      </c>
      <c r="D35" s="49" t="s">
        <v>30</v>
      </c>
      <c r="E35" s="50">
        <v>1</v>
      </c>
      <c r="F35" s="28"/>
      <c r="G35" s="31"/>
      <c r="H35" s="18"/>
      <c r="I35" s="221">
        <f>+(N35+S35)/2</f>
        <v>574319.26436464093</v>
      </c>
      <c r="J35" s="222">
        <f>+I35*0.19</f>
        <v>109120.66022928178</v>
      </c>
      <c r="K35" s="222">
        <f>+J35+I35</f>
        <v>683439.92459392268</v>
      </c>
      <c r="L35" s="226">
        <f>+K35</f>
        <v>683439.92459392268</v>
      </c>
      <c r="M35" s="99"/>
      <c r="N35" s="221">
        <v>586746</v>
      </c>
      <c r="O35" s="222">
        <f>+N35*0.19</f>
        <v>111481.74</v>
      </c>
      <c r="P35" s="222">
        <f>+O35+N35</f>
        <v>698227.74</v>
      </c>
      <c r="Q35" s="226">
        <f>+P35</f>
        <v>698227.74</v>
      </c>
      <c r="S35" s="221">
        <v>561892.52872928197</v>
      </c>
      <c r="T35" s="222">
        <f>+S35*0.19</f>
        <v>106759.58045856358</v>
      </c>
      <c r="U35" s="222">
        <f>+T35+S35</f>
        <v>668652.10918784561</v>
      </c>
      <c r="V35" s="226">
        <f>+U35</f>
        <v>668652.10918784561</v>
      </c>
    </row>
    <row r="36" spans="1:22" x14ac:dyDescent="0.8">
      <c r="A36" s="19"/>
      <c r="B36" s="27">
        <v>28</v>
      </c>
      <c r="C36" s="48" t="s">
        <v>59</v>
      </c>
      <c r="D36" s="49" t="s">
        <v>30</v>
      </c>
      <c r="E36" s="50">
        <v>1</v>
      </c>
      <c r="F36" s="28"/>
      <c r="G36" s="31"/>
      <c r="H36" s="18"/>
      <c r="I36" s="221"/>
      <c r="J36" s="222"/>
      <c r="K36" s="222"/>
      <c r="L36" s="226"/>
      <c r="M36" s="99"/>
      <c r="N36" s="221"/>
      <c r="O36" s="222"/>
      <c r="P36" s="222"/>
      <c r="Q36" s="226"/>
      <c r="S36" s="221"/>
      <c r="T36" s="222"/>
      <c r="U36" s="222"/>
      <c r="V36" s="226"/>
    </row>
    <row r="37" spans="1:22" x14ac:dyDescent="0.8">
      <c r="A37" s="19"/>
      <c r="B37" s="27">
        <v>29</v>
      </c>
      <c r="C37" s="48" t="s">
        <v>60</v>
      </c>
      <c r="D37" s="49" t="s">
        <v>30</v>
      </c>
      <c r="E37" s="50">
        <v>1</v>
      </c>
      <c r="F37" s="28"/>
      <c r="G37" s="31"/>
      <c r="H37" s="18"/>
      <c r="I37" s="93">
        <v>338222</v>
      </c>
      <c r="J37" s="79">
        <f>+I37*0.19</f>
        <v>64262.18</v>
      </c>
      <c r="K37" s="92">
        <f>+J37+I37</f>
        <v>402484.18</v>
      </c>
      <c r="L37" s="83">
        <f>+K37</f>
        <v>402484.18</v>
      </c>
      <c r="M37" s="99"/>
      <c r="N37" s="93">
        <v>338222</v>
      </c>
      <c r="O37" s="79">
        <f>+N37*0.19</f>
        <v>64262.18</v>
      </c>
      <c r="P37" s="92">
        <f>+O37+N37</f>
        <v>402484.18</v>
      </c>
      <c r="Q37" s="83">
        <f>+P37</f>
        <v>402484.18</v>
      </c>
      <c r="S37" s="93">
        <v>338222</v>
      </c>
      <c r="T37" s="79">
        <f>+S37*0.19</f>
        <v>64262.18</v>
      </c>
      <c r="U37" s="92">
        <f>+T37+S37</f>
        <v>402484.18</v>
      </c>
      <c r="V37" s="83">
        <f>+U37</f>
        <v>402484.18</v>
      </c>
    </row>
    <row r="38" spans="1:22" x14ac:dyDescent="0.8">
      <c r="A38" s="19"/>
      <c r="B38" s="27">
        <v>30</v>
      </c>
      <c r="C38" s="48" t="s">
        <v>61</v>
      </c>
      <c r="D38" s="49" t="s">
        <v>30</v>
      </c>
      <c r="E38" s="50">
        <v>1</v>
      </c>
      <c r="F38" s="28"/>
      <c r="G38" s="31"/>
      <c r="H38" s="18"/>
      <c r="I38" s="82">
        <v>255750</v>
      </c>
      <c r="J38" s="79">
        <f t="shared" si="0"/>
        <v>48592.5</v>
      </c>
      <c r="K38" s="79">
        <f t="shared" si="6"/>
        <v>304342.5</v>
      </c>
      <c r="L38" s="83">
        <f t="shared" si="7"/>
        <v>304342.5</v>
      </c>
      <c r="M38" s="99"/>
      <c r="N38" s="93">
        <v>225648</v>
      </c>
      <c r="O38" s="79">
        <f t="shared" ref="O38:O52" si="10">+N38*0.19</f>
        <v>42873.120000000003</v>
      </c>
      <c r="P38" s="92">
        <f t="shared" ref="P38:P39" si="11">+O38+N38</f>
        <v>268521.12</v>
      </c>
      <c r="Q38" s="83">
        <f t="shared" ref="Q38:Q52" si="12">+P38</f>
        <v>268521.12</v>
      </c>
      <c r="S38" s="82">
        <v>244819.76569060801</v>
      </c>
      <c r="T38" s="79">
        <f t="shared" ref="T38:T52" si="13">+S38*0.19</f>
        <v>46515.755481215521</v>
      </c>
      <c r="U38" s="79">
        <f t="shared" ref="U38:U52" si="14">+T38+S38</f>
        <v>291335.52117182355</v>
      </c>
      <c r="V38" s="234">
        <f t="shared" ref="V38:V52" si="15">+U38+T38</f>
        <v>337851.27665303909</v>
      </c>
    </row>
    <row r="39" spans="1:22" x14ac:dyDescent="0.8">
      <c r="A39" s="19"/>
      <c r="B39" s="27">
        <v>31</v>
      </c>
      <c r="C39" s="48" t="s">
        <v>62</v>
      </c>
      <c r="D39" s="49" t="s">
        <v>30</v>
      </c>
      <c r="E39" s="50">
        <v>1</v>
      </c>
      <c r="F39" s="28"/>
      <c r="G39" s="31"/>
      <c r="H39" s="18"/>
      <c r="I39" s="82">
        <v>1520085</v>
      </c>
      <c r="J39" s="79">
        <f t="shared" si="0"/>
        <v>288816.15000000002</v>
      </c>
      <c r="K39" s="79">
        <f t="shared" si="6"/>
        <v>1808901.15</v>
      </c>
      <c r="L39" s="83">
        <f t="shared" si="7"/>
        <v>1808901.15</v>
      </c>
      <c r="M39" s="99"/>
      <c r="N39" s="82">
        <v>1520085</v>
      </c>
      <c r="O39" s="79">
        <f t="shared" si="10"/>
        <v>288816.15000000002</v>
      </c>
      <c r="P39" s="79">
        <f t="shared" si="11"/>
        <v>1808901.15</v>
      </c>
      <c r="Q39" s="83">
        <f>+P39</f>
        <v>1808901.15</v>
      </c>
      <c r="S39" s="82">
        <v>1520085</v>
      </c>
      <c r="T39" s="79">
        <f t="shared" si="13"/>
        <v>288816.15000000002</v>
      </c>
      <c r="U39" s="79">
        <f t="shared" si="14"/>
        <v>1808901.15</v>
      </c>
      <c r="V39" s="83">
        <f>+U39</f>
        <v>1808901.15</v>
      </c>
    </row>
    <row r="40" spans="1:22" x14ac:dyDescent="0.8">
      <c r="A40" s="19"/>
      <c r="B40" s="27">
        <v>32</v>
      </c>
      <c r="C40" s="48" t="s">
        <v>63</v>
      </c>
      <c r="D40" s="49" t="s">
        <v>30</v>
      </c>
      <c r="E40" s="50">
        <v>1</v>
      </c>
      <c r="F40" s="28"/>
      <c r="G40" s="31"/>
      <c r="H40" s="18"/>
      <c r="I40" s="82">
        <v>105369</v>
      </c>
      <c r="J40" s="79">
        <f t="shared" si="0"/>
        <v>20020.11</v>
      </c>
      <c r="K40" s="79">
        <f t="shared" si="6"/>
        <v>125389.11</v>
      </c>
      <c r="L40" s="83">
        <f t="shared" si="7"/>
        <v>125389.11</v>
      </c>
      <c r="M40" s="99"/>
      <c r="N40" s="93">
        <v>105362</v>
      </c>
      <c r="O40" s="79">
        <f t="shared" si="10"/>
        <v>20018.78</v>
      </c>
      <c r="P40" s="92">
        <f t="shared" ref="P40:P52" si="16">+O40+N40</f>
        <v>125380.78</v>
      </c>
      <c r="Q40" s="83">
        <f t="shared" si="12"/>
        <v>125380.78</v>
      </c>
      <c r="S40" s="82">
        <v>100898.452099448</v>
      </c>
      <c r="T40" s="79">
        <f t="shared" si="13"/>
        <v>19170.705898895121</v>
      </c>
      <c r="U40" s="79">
        <f t="shared" si="14"/>
        <v>120069.15799834311</v>
      </c>
      <c r="V40" s="234">
        <f t="shared" si="15"/>
        <v>139239.86389723825</v>
      </c>
    </row>
    <row r="41" spans="1:22" x14ac:dyDescent="0.8">
      <c r="A41" s="19"/>
      <c r="B41" s="27">
        <v>33</v>
      </c>
      <c r="C41" s="48" t="s">
        <v>64</v>
      </c>
      <c r="D41" s="49" t="s">
        <v>30</v>
      </c>
      <c r="E41" s="50">
        <v>1</v>
      </c>
      <c r="F41" s="28"/>
      <c r="G41" s="31"/>
      <c r="H41" s="18"/>
      <c r="I41" s="82">
        <v>485460</v>
      </c>
      <c r="J41" s="79">
        <f t="shared" si="0"/>
        <v>92237.4</v>
      </c>
      <c r="K41" s="79">
        <f t="shared" si="6"/>
        <v>577697.4</v>
      </c>
      <c r="L41" s="83">
        <f t="shared" si="7"/>
        <v>577697.4</v>
      </c>
      <c r="M41" s="99"/>
      <c r="N41" s="93">
        <v>485426</v>
      </c>
      <c r="O41" s="79">
        <f t="shared" si="10"/>
        <v>92230.94</v>
      </c>
      <c r="P41" s="92">
        <f t="shared" si="16"/>
        <v>577656.93999999994</v>
      </c>
      <c r="Q41" s="83">
        <f t="shared" si="12"/>
        <v>577656.93999999994</v>
      </c>
      <c r="S41" s="82">
        <f>+(N41+I41)/2</f>
        <v>485443</v>
      </c>
      <c r="T41" s="79">
        <f t="shared" si="13"/>
        <v>92234.17</v>
      </c>
      <c r="U41" s="79">
        <f t="shared" si="14"/>
        <v>577677.17000000004</v>
      </c>
      <c r="V41" s="234">
        <f t="shared" si="15"/>
        <v>669911.34000000008</v>
      </c>
    </row>
    <row r="42" spans="1:22" x14ac:dyDescent="0.8">
      <c r="A42" s="19"/>
      <c r="B42" s="27">
        <v>34</v>
      </c>
      <c r="C42" s="48" t="s">
        <v>65</v>
      </c>
      <c r="D42" s="49" t="s">
        <v>30</v>
      </c>
      <c r="E42" s="50">
        <v>1</v>
      </c>
      <c r="F42" s="28"/>
      <c r="G42" s="31"/>
      <c r="H42" s="18"/>
      <c r="I42" s="82">
        <v>177630</v>
      </c>
      <c r="J42" s="79">
        <f t="shared" si="0"/>
        <v>33749.699999999997</v>
      </c>
      <c r="K42" s="79">
        <f t="shared" si="6"/>
        <v>211379.7</v>
      </c>
      <c r="L42" s="83">
        <f t="shared" si="7"/>
        <v>211379.7</v>
      </c>
      <c r="M42" s="99"/>
      <c r="N42" s="93">
        <v>177457</v>
      </c>
      <c r="O42" s="79">
        <f t="shared" si="10"/>
        <v>33716.83</v>
      </c>
      <c r="P42" s="92">
        <f t="shared" si="16"/>
        <v>211173.83000000002</v>
      </c>
      <c r="Q42" s="83">
        <f t="shared" si="12"/>
        <v>211173.83000000002</v>
      </c>
      <c r="S42" s="82">
        <v>169940.23756906099</v>
      </c>
      <c r="T42" s="79">
        <f t="shared" si="13"/>
        <v>32288.645138121588</v>
      </c>
      <c r="U42" s="79">
        <f t="shared" si="14"/>
        <v>202228.88270718258</v>
      </c>
      <c r="V42" s="234">
        <f t="shared" si="15"/>
        <v>234517.52784530417</v>
      </c>
    </row>
    <row r="43" spans="1:22" x14ac:dyDescent="0.8">
      <c r="A43" s="19"/>
      <c r="B43" s="27">
        <v>35</v>
      </c>
      <c r="C43" s="48" t="s">
        <v>66</v>
      </c>
      <c r="D43" s="49" t="s">
        <v>30</v>
      </c>
      <c r="E43" s="50">
        <v>1</v>
      </c>
      <c r="F43" s="28"/>
      <c r="G43" s="31"/>
      <c r="H43" s="18"/>
      <c r="I43" s="82">
        <v>479415</v>
      </c>
      <c r="J43" s="79">
        <f t="shared" si="0"/>
        <v>91088.85</v>
      </c>
      <c r="K43" s="79">
        <f t="shared" si="6"/>
        <v>570503.85</v>
      </c>
      <c r="L43" s="83">
        <f t="shared" si="7"/>
        <v>570503.85</v>
      </c>
      <c r="M43" s="99"/>
      <c r="N43" s="93">
        <v>447625</v>
      </c>
      <c r="O43" s="79">
        <f t="shared" si="10"/>
        <v>85048.75</v>
      </c>
      <c r="P43" s="92">
        <f t="shared" si="16"/>
        <v>532673.75</v>
      </c>
      <c r="Q43" s="83">
        <f t="shared" si="12"/>
        <v>532673.75</v>
      </c>
      <c r="S43" s="82">
        <v>458709.532044199</v>
      </c>
      <c r="T43" s="79">
        <f t="shared" si="13"/>
        <v>87154.811088397808</v>
      </c>
      <c r="U43" s="79">
        <f t="shared" si="14"/>
        <v>545864.34313259681</v>
      </c>
      <c r="V43" s="234">
        <f t="shared" si="15"/>
        <v>633019.15422099456</v>
      </c>
    </row>
    <row r="44" spans="1:22" x14ac:dyDescent="0.8">
      <c r="A44" s="19"/>
      <c r="B44" s="27">
        <v>36</v>
      </c>
      <c r="C44" s="48" t="s">
        <v>67</v>
      </c>
      <c r="D44" s="49" t="s">
        <v>30</v>
      </c>
      <c r="E44" s="50">
        <v>1</v>
      </c>
      <c r="F44" s="28"/>
      <c r="G44" s="31"/>
      <c r="H44" s="18"/>
      <c r="I44" s="82">
        <v>425475</v>
      </c>
      <c r="J44" s="79">
        <f t="shared" si="0"/>
        <v>80840.25</v>
      </c>
      <c r="K44" s="79">
        <f t="shared" si="6"/>
        <v>506315.25</v>
      </c>
      <c r="L44" s="83">
        <f t="shared" si="7"/>
        <v>506315.25</v>
      </c>
      <c r="M44" s="99"/>
      <c r="N44" s="93">
        <f>+(I44+S44)/2</f>
        <v>416286.449392265</v>
      </c>
      <c r="O44" s="79">
        <f t="shared" si="10"/>
        <v>79094.425384530346</v>
      </c>
      <c r="P44" s="92">
        <f t="shared" si="16"/>
        <v>495380.87477679533</v>
      </c>
      <c r="Q44" s="83">
        <f t="shared" si="12"/>
        <v>495380.87477679533</v>
      </c>
      <c r="S44" s="82">
        <v>407097.89878453</v>
      </c>
      <c r="T44" s="79">
        <f t="shared" si="13"/>
        <v>77348.600769060708</v>
      </c>
      <c r="U44" s="79">
        <f t="shared" si="14"/>
        <v>484446.49955359072</v>
      </c>
      <c r="V44" s="234">
        <f t="shared" si="15"/>
        <v>561795.10032265144</v>
      </c>
    </row>
    <row r="45" spans="1:22" x14ac:dyDescent="0.8">
      <c r="A45" s="19"/>
      <c r="B45" s="27">
        <v>37</v>
      </c>
      <c r="C45" s="48" t="s">
        <v>68</v>
      </c>
      <c r="D45" s="49" t="s">
        <v>30</v>
      </c>
      <c r="E45" s="50">
        <v>1</v>
      </c>
      <c r="F45" s="28"/>
      <c r="G45" s="31"/>
      <c r="H45" s="18"/>
      <c r="I45" s="82">
        <v>1709340</v>
      </c>
      <c r="J45" s="79">
        <f t="shared" si="0"/>
        <v>324774.59999999998</v>
      </c>
      <c r="K45" s="79">
        <f t="shared" si="6"/>
        <v>2034114.6</v>
      </c>
      <c r="L45" s="83">
        <f t="shared" si="7"/>
        <v>2034114.6</v>
      </c>
      <c r="M45" s="99"/>
      <c r="N45" s="93">
        <f t="shared" ref="N45:N49" si="17">+(I45+S45)/2</f>
        <v>1672772.2099447499</v>
      </c>
      <c r="O45" s="79">
        <f t="shared" si="10"/>
        <v>317826.71988950251</v>
      </c>
      <c r="P45" s="92">
        <f t="shared" si="16"/>
        <v>1990598.9298342525</v>
      </c>
      <c r="Q45" s="83">
        <f t="shared" si="12"/>
        <v>1990598.9298342525</v>
      </c>
      <c r="S45" s="82">
        <v>1636204.4198894999</v>
      </c>
      <c r="T45" s="79">
        <f t="shared" si="13"/>
        <v>310878.83977900498</v>
      </c>
      <c r="U45" s="79">
        <f t="shared" si="14"/>
        <v>1947083.2596685048</v>
      </c>
      <c r="V45" s="234">
        <f t="shared" si="15"/>
        <v>2257962.0994475097</v>
      </c>
    </row>
    <row r="46" spans="1:22" x14ac:dyDescent="0.8">
      <c r="A46" s="19"/>
      <c r="B46" s="27">
        <v>38</v>
      </c>
      <c r="C46" s="48" t="s">
        <v>69</v>
      </c>
      <c r="D46" s="49" t="s">
        <v>30</v>
      </c>
      <c r="E46" s="50">
        <v>1</v>
      </c>
      <c r="F46" s="28"/>
      <c r="G46" s="31"/>
      <c r="H46" s="18"/>
      <c r="I46" s="82">
        <v>293880</v>
      </c>
      <c r="J46" s="79">
        <f t="shared" si="0"/>
        <v>55837.2</v>
      </c>
      <c r="K46" s="79">
        <f t="shared" si="6"/>
        <v>349717.2</v>
      </c>
      <c r="L46" s="83">
        <f t="shared" si="7"/>
        <v>349717.2</v>
      </c>
      <c r="M46" s="99"/>
      <c r="N46" s="93">
        <f t="shared" si="17"/>
        <v>287498.01104972349</v>
      </c>
      <c r="O46" s="79">
        <f t="shared" si="10"/>
        <v>54624.622099447464</v>
      </c>
      <c r="P46" s="92">
        <f t="shared" si="16"/>
        <v>342122.63314917096</v>
      </c>
      <c r="Q46" s="83">
        <f t="shared" si="12"/>
        <v>342122.63314917096</v>
      </c>
      <c r="S46" s="82">
        <v>281116.02209944697</v>
      </c>
      <c r="T46" s="79">
        <f t="shared" si="13"/>
        <v>53412.044198894924</v>
      </c>
      <c r="U46" s="79">
        <f t="shared" si="14"/>
        <v>334528.0662983419</v>
      </c>
      <c r="V46" s="234">
        <f t="shared" si="15"/>
        <v>387940.11049723683</v>
      </c>
    </row>
    <row r="47" spans="1:22" x14ac:dyDescent="0.8">
      <c r="A47" s="19"/>
      <c r="B47" s="27">
        <v>39</v>
      </c>
      <c r="C47" s="48" t="s">
        <v>70</v>
      </c>
      <c r="D47" s="49" t="s">
        <v>30</v>
      </c>
      <c r="E47" s="50">
        <v>1</v>
      </c>
      <c r="F47" s="28"/>
      <c r="G47" s="31"/>
      <c r="H47" s="18"/>
      <c r="I47" s="82">
        <v>1740030</v>
      </c>
      <c r="J47" s="79">
        <f t="shared" si="0"/>
        <v>330605.7</v>
      </c>
      <c r="K47" s="79">
        <f t="shared" si="6"/>
        <v>2070635.7</v>
      </c>
      <c r="L47" s="83">
        <f t="shared" si="7"/>
        <v>2070635.7</v>
      </c>
      <c r="M47" s="99"/>
      <c r="N47" s="93">
        <f t="shared" si="17"/>
        <v>1703164.17127072</v>
      </c>
      <c r="O47" s="79">
        <f t="shared" si="10"/>
        <v>323601.19254143682</v>
      </c>
      <c r="P47" s="92">
        <f t="shared" si="16"/>
        <v>2026765.3638121567</v>
      </c>
      <c r="Q47" s="83">
        <f t="shared" si="12"/>
        <v>2026765.3638121567</v>
      </c>
      <c r="S47" s="82">
        <v>1666298.3425414399</v>
      </c>
      <c r="T47" s="79">
        <f t="shared" si="13"/>
        <v>316596.68508287356</v>
      </c>
      <c r="U47" s="79">
        <f t="shared" si="14"/>
        <v>1982895.0276243135</v>
      </c>
      <c r="V47" s="234">
        <f t="shared" si="15"/>
        <v>2299491.712707187</v>
      </c>
    </row>
    <row r="48" spans="1:22" x14ac:dyDescent="0.8">
      <c r="A48" s="19"/>
      <c r="B48" s="27">
        <v>40</v>
      </c>
      <c r="C48" s="48" t="s">
        <v>71</v>
      </c>
      <c r="D48" s="49" t="s">
        <v>30</v>
      </c>
      <c r="E48" s="50">
        <v>1</v>
      </c>
      <c r="F48" s="28"/>
      <c r="G48" s="31"/>
      <c r="H48" s="18"/>
      <c r="I48" s="82">
        <v>701406</v>
      </c>
      <c r="J48" s="79">
        <f t="shared" si="0"/>
        <v>133267.14000000001</v>
      </c>
      <c r="K48" s="79">
        <f t="shared" si="6"/>
        <v>834673.14</v>
      </c>
      <c r="L48" s="83">
        <f t="shared" si="7"/>
        <v>834673.14</v>
      </c>
      <c r="M48" s="99"/>
      <c r="N48" s="93">
        <f t="shared" si="17"/>
        <v>536331.18149171246</v>
      </c>
      <c r="O48" s="79">
        <f t="shared" si="10"/>
        <v>101902.92448342536</v>
      </c>
      <c r="P48" s="92">
        <f t="shared" si="16"/>
        <v>638234.10597513779</v>
      </c>
      <c r="Q48" s="83">
        <f t="shared" si="12"/>
        <v>638234.10597513779</v>
      </c>
      <c r="S48" s="82">
        <v>371256.36298342497</v>
      </c>
      <c r="T48" s="79">
        <f t="shared" si="13"/>
        <v>70538.70896685074</v>
      </c>
      <c r="U48" s="79">
        <f t="shared" si="14"/>
        <v>441795.07195027568</v>
      </c>
      <c r="V48" s="234">
        <f t="shared" si="15"/>
        <v>512333.78091712645</v>
      </c>
    </row>
    <row r="49" spans="1:28" x14ac:dyDescent="0.8">
      <c r="A49" s="19"/>
      <c r="B49" s="27">
        <v>41</v>
      </c>
      <c r="C49" s="48" t="s">
        <v>72</v>
      </c>
      <c r="D49" s="49" t="s">
        <v>30</v>
      </c>
      <c r="E49" s="50">
        <v>1</v>
      </c>
      <c r="F49" s="28"/>
      <c r="G49" s="31"/>
      <c r="H49" s="18"/>
      <c r="I49" s="82">
        <v>114855</v>
      </c>
      <c r="J49" s="79">
        <f t="shared" si="0"/>
        <v>21822.45</v>
      </c>
      <c r="K49" s="79">
        <f t="shared" si="6"/>
        <v>136677.45000000001</v>
      </c>
      <c r="L49" s="83">
        <f t="shared" si="7"/>
        <v>136677.45000000001</v>
      </c>
      <c r="M49" s="99"/>
      <c r="N49" s="93">
        <f>+(I49+S49)/2</f>
        <v>112200.968480663</v>
      </c>
      <c r="O49" s="79">
        <f t="shared" si="10"/>
        <v>21318.184011325968</v>
      </c>
      <c r="P49" s="92">
        <f t="shared" si="16"/>
        <v>133519.15249198896</v>
      </c>
      <c r="Q49" s="83">
        <f t="shared" si="12"/>
        <v>133519.15249198896</v>
      </c>
      <c r="S49" s="82">
        <v>109546.93696132601</v>
      </c>
      <c r="T49" s="79">
        <f t="shared" si="13"/>
        <v>20813.918022651942</v>
      </c>
      <c r="U49" s="79">
        <f t="shared" si="14"/>
        <v>130360.85498397794</v>
      </c>
      <c r="V49" s="234">
        <f t="shared" si="15"/>
        <v>151174.7730066299</v>
      </c>
    </row>
    <row r="50" spans="1:28" x14ac:dyDescent="0.8">
      <c r="A50" s="19"/>
      <c r="B50" s="27">
        <v>42</v>
      </c>
      <c r="C50" s="48" t="s">
        <v>73</v>
      </c>
      <c r="D50" s="49" t="s">
        <v>30</v>
      </c>
      <c r="E50" s="50">
        <v>1</v>
      </c>
      <c r="F50" s="28"/>
      <c r="G50" s="31"/>
      <c r="H50" s="18"/>
      <c r="I50" s="82">
        <v>43989</v>
      </c>
      <c r="J50" s="79">
        <f t="shared" si="0"/>
        <v>8357.91</v>
      </c>
      <c r="K50" s="79">
        <f t="shared" si="6"/>
        <v>52346.91</v>
      </c>
      <c r="L50" s="83">
        <f t="shared" si="7"/>
        <v>52346.91</v>
      </c>
      <c r="M50" s="99"/>
      <c r="N50" s="93">
        <f>+(I50+S50)/2</f>
        <v>43056.654696132595</v>
      </c>
      <c r="O50" s="79">
        <f t="shared" si="10"/>
        <v>8180.7643922651932</v>
      </c>
      <c r="P50" s="92">
        <f t="shared" si="16"/>
        <v>51237.419088397786</v>
      </c>
      <c r="Q50" s="83">
        <f t="shared" si="12"/>
        <v>51237.419088397786</v>
      </c>
      <c r="S50" s="82">
        <v>42124.309392265197</v>
      </c>
      <c r="T50" s="79">
        <f t="shared" si="13"/>
        <v>8003.6187845303875</v>
      </c>
      <c r="U50" s="79">
        <f t="shared" si="14"/>
        <v>50127.928176795584</v>
      </c>
      <c r="V50" s="234">
        <f t="shared" si="15"/>
        <v>58131.54696132597</v>
      </c>
    </row>
    <row r="51" spans="1:28" x14ac:dyDescent="0.8">
      <c r="A51" s="19"/>
      <c r="B51" s="27">
        <v>43</v>
      </c>
      <c r="C51" s="48" t="s">
        <v>74</v>
      </c>
      <c r="D51" s="49" t="s">
        <v>30</v>
      </c>
      <c r="E51" s="50">
        <v>1</v>
      </c>
      <c r="F51" s="28"/>
      <c r="G51" s="31"/>
      <c r="H51" s="18"/>
      <c r="I51" s="82">
        <v>125550</v>
      </c>
      <c r="J51" s="79">
        <f t="shared" si="0"/>
        <v>23854.5</v>
      </c>
      <c r="K51" s="79">
        <f t="shared" si="6"/>
        <v>149404.5</v>
      </c>
      <c r="L51" s="83">
        <f t="shared" si="7"/>
        <v>149404.5</v>
      </c>
      <c r="M51" s="99"/>
      <c r="N51" s="82">
        <v>125550</v>
      </c>
      <c r="O51" s="79">
        <f t="shared" si="10"/>
        <v>23854.5</v>
      </c>
      <c r="P51" s="79">
        <f t="shared" si="16"/>
        <v>149404.5</v>
      </c>
      <c r="Q51" s="83">
        <f>+P51</f>
        <v>149404.5</v>
      </c>
      <c r="S51" s="82">
        <v>125550</v>
      </c>
      <c r="T51" s="79">
        <f t="shared" si="13"/>
        <v>23854.5</v>
      </c>
      <c r="U51" s="79">
        <f t="shared" si="14"/>
        <v>149404.5</v>
      </c>
      <c r="V51" s="83">
        <f>+U51</f>
        <v>149404.5</v>
      </c>
    </row>
    <row r="52" spans="1:28" ht="22.5" thickBot="1" x14ac:dyDescent="0.85">
      <c r="A52" s="19"/>
      <c r="B52" s="27"/>
      <c r="C52" s="48"/>
      <c r="D52" s="49"/>
      <c r="E52" s="50"/>
      <c r="F52" s="28"/>
      <c r="G52" s="31"/>
      <c r="H52" s="18"/>
      <c r="I52" s="84"/>
      <c r="J52" s="85"/>
      <c r="K52" s="85"/>
      <c r="L52" s="86"/>
      <c r="M52" s="47"/>
      <c r="N52" s="84"/>
      <c r="O52" s="85"/>
      <c r="P52" s="85"/>
      <c r="Q52" s="86"/>
      <c r="S52" s="84"/>
      <c r="T52" s="85"/>
      <c r="U52" s="85"/>
      <c r="V52" s="235"/>
    </row>
    <row r="53" spans="1:28" x14ac:dyDescent="0.8">
      <c r="A53" s="17"/>
      <c r="B53" s="12"/>
      <c r="C53" s="155" t="s">
        <v>13</v>
      </c>
      <c r="D53" s="156"/>
      <c r="E53" s="157"/>
      <c r="F53" s="149">
        <f>+SUM(G8:G52)</f>
        <v>0</v>
      </c>
      <c r="G53" s="150"/>
      <c r="H53" s="15"/>
      <c r="I53" s="176"/>
      <c r="J53" s="177"/>
      <c r="K53" s="177"/>
      <c r="L53" s="219">
        <f>+L51+L50+L49+L48+L47+L46+L45+L44+L43+L42+L41+L40+L39+L38+L37+L35+L34+L33+L32+L30+L31+L29+L28+L27+L26+L25+L24+L23+L22+L21+L20+L19+L16+L15+L14+L13+L12+L11+L10+L9</f>
        <v>14562276.644593922</v>
      </c>
      <c r="M53" s="51"/>
      <c r="N53" s="176"/>
      <c r="O53" s="177"/>
      <c r="P53" s="177"/>
      <c r="Q53" s="185">
        <f>SUM(Q9:Q52)</f>
        <v>14216858.774127901</v>
      </c>
      <c r="S53" s="176"/>
      <c r="T53" s="177"/>
      <c r="U53" s="177"/>
      <c r="V53" s="210">
        <f>SUM(V9:V52)</f>
        <v>15046368.348167405</v>
      </c>
    </row>
    <row r="54" spans="1:28" ht="22.5" thickBot="1" x14ac:dyDescent="0.85">
      <c r="A54" s="16"/>
      <c r="B54" s="12"/>
      <c r="C54" s="158"/>
      <c r="D54" s="159"/>
      <c r="E54" s="160"/>
      <c r="F54" s="151"/>
      <c r="G54" s="152"/>
      <c r="H54" s="15"/>
      <c r="I54" s="161"/>
      <c r="J54" s="162"/>
      <c r="K54" s="162"/>
      <c r="L54" s="163"/>
      <c r="M54" s="51"/>
      <c r="N54" s="161"/>
      <c r="O54" s="162"/>
      <c r="P54" s="162"/>
      <c r="Q54" s="186"/>
      <c r="S54" s="161"/>
      <c r="T54" s="162"/>
      <c r="U54" s="162"/>
      <c r="V54" s="211"/>
    </row>
    <row r="55" spans="1:28" ht="8.25" customHeight="1" thickBot="1" x14ac:dyDescent="0.85">
      <c r="A55" s="12"/>
      <c r="B55" s="12"/>
      <c r="C55" s="12"/>
      <c r="D55" s="7"/>
      <c r="E55" s="4"/>
      <c r="F55" s="29"/>
      <c r="G55" s="29"/>
      <c r="H55" s="15"/>
      <c r="I55" s="14"/>
      <c r="J55" s="14"/>
      <c r="K55" s="14"/>
      <c r="L55" s="51"/>
      <c r="M55" s="51"/>
      <c r="N55" s="14"/>
      <c r="O55" s="14"/>
      <c r="P55" s="14"/>
      <c r="Q55" s="51"/>
      <c r="S55" s="14"/>
      <c r="T55" s="14"/>
      <c r="U55" s="14"/>
      <c r="V55" s="51"/>
    </row>
    <row r="56" spans="1:28" ht="22.5" thickBot="1" x14ac:dyDescent="0.85">
      <c r="A56" s="13"/>
      <c r="B56" s="32" t="s">
        <v>14</v>
      </c>
      <c r="C56" s="32"/>
      <c r="D56" s="42"/>
      <c r="E56" s="33"/>
      <c r="F56" s="34"/>
      <c r="G56" s="34"/>
      <c r="H56" s="7"/>
      <c r="I56" s="172"/>
      <c r="J56" s="173"/>
      <c r="K56" s="173"/>
      <c r="L56" s="95">
        <f>+L53-Q53</f>
        <v>345417.87046602182</v>
      </c>
      <c r="M56" s="11"/>
      <c r="N56" s="172"/>
      <c r="O56" s="173"/>
      <c r="P56" s="173"/>
      <c r="Q56" s="25">
        <v>0</v>
      </c>
      <c r="S56" s="172"/>
      <c r="T56" s="173"/>
      <c r="U56" s="173"/>
      <c r="V56" s="87">
        <f>+V53-Q53</f>
        <v>829509.57403950393</v>
      </c>
      <c r="W56" s="40"/>
    </row>
    <row r="57" spans="1:28" ht="28.8" customHeight="1" thickBot="1" x14ac:dyDescent="0.85">
      <c r="A57" s="10"/>
      <c r="B57" s="9" t="s">
        <v>15</v>
      </c>
      <c r="C57" s="9"/>
      <c r="D57" s="43"/>
      <c r="E57" s="8"/>
      <c r="F57" s="30"/>
      <c r="G57" s="30"/>
      <c r="H57" s="7"/>
      <c r="I57" s="174"/>
      <c r="J57" s="175"/>
      <c r="K57" s="175"/>
      <c r="L57" s="97"/>
      <c r="M57" s="6"/>
      <c r="N57" s="174"/>
      <c r="O57" s="175"/>
      <c r="P57" s="175"/>
      <c r="Q57" s="26"/>
      <c r="S57" s="174"/>
      <c r="T57" s="175"/>
      <c r="U57" s="175"/>
      <c r="V57" s="88"/>
    </row>
    <row r="58" spans="1:28" ht="7.5" customHeight="1" x14ac:dyDescent="0.8">
      <c r="A58" s="5"/>
      <c r="B58" s="5"/>
      <c r="C58" s="5"/>
      <c r="D58" s="3"/>
      <c r="E58" s="4"/>
      <c r="F58" s="29"/>
      <c r="G58" s="29"/>
      <c r="H58" s="3"/>
      <c r="I58" s="2"/>
      <c r="J58" s="2"/>
      <c r="K58" s="2"/>
      <c r="L58" s="2"/>
      <c r="M58" s="2"/>
      <c r="N58" s="2"/>
      <c r="O58" s="2"/>
      <c r="P58" s="2"/>
      <c r="Q58" s="2"/>
      <c r="S58" s="2"/>
      <c r="T58" s="2"/>
      <c r="U58" s="2"/>
      <c r="V58" s="2"/>
    </row>
    <row r="59" spans="1:28" ht="9" customHeight="1" thickBot="1" x14ac:dyDescent="0.85">
      <c r="A59" s="5"/>
      <c r="B59" s="52"/>
      <c r="C59" s="52"/>
      <c r="D59" s="53"/>
      <c r="E59" s="52"/>
      <c r="F59" s="54"/>
      <c r="G59" s="54"/>
      <c r="H59" s="3"/>
      <c r="I59" s="2"/>
      <c r="J59" s="2"/>
      <c r="K59" s="2"/>
      <c r="L59" s="2"/>
      <c r="M59" s="2"/>
      <c r="N59" s="2"/>
      <c r="O59" s="2"/>
      <c r="P59" s="2"/>
      <c r="Q59" s="2"/>
      <c r="S59" s="2"/>
      <c r="T59" s="2"/>
      <c r="U59" s="2"/>
      <c r="V59" s="2"/>
    </row>
    <row r="60" spans="1:28" ht="24.75" customHeight="1" x14ac:dyDescent="0.8">
      <c r="A60" s="55"/>
      <c r="B60" s="52"/>
      <c r="C60" s="52"/>
      <c r="D60" s="53"/>
      <c r="E60" s="52"/>
      <c r="F60" s="54"/>
      <c r="G60" s="54"/>
      <c r="H60" s="56"/>
      <c r="I60" s="57" t="s">
        <v>16</v>
      </c>
      <c r="J60" s="170" t="s">
        <v>31</v>
      </c>
      <c r="K60" s="170"/>
      <c r="L60" s="171"/>
      <c r="M60" s="58"/>
      <c r="N60" s="57" t="s">
        <v>16</v>
      </c>
      <c r="O60" s="170" t="s">
        <v>31</v>
      </c>
      <c r="P60" s="170"/>
      <c r="Q60" s="171"/>
      <c r="S60" s="57" t="s">
        <v>16</v>
      </c>
      <c r="T60" s="196" t="s">
        <v>82</v>
      </c>
      <c r="U60" s="196"/>
      <c r="V60" s="197"/>
    </row>
    <row r="61" spans="1:28" ht="15" customHeight="1" x14ac:dyDescent="0.8">
      <c r="A61" s="59"/>
      <c r="B61" s="52"/>
      <c r="C61" s="52"/>
      <c r="D61" s="53"/>
      <c r="E61" s="52"/>
      <c r="F61" s="30"/>
      <c r="G61" s="54"/>
      <c r="H61" s="56"/>
      <c r="I61" s="60"/>
      <c r="J61" s="61"/>
      <c r="K61" s="61"/>
      <c r="L61" s="62"/>
      <c r="M61" s="61"/>
      <c r="N61" s="60"/>
      <c r="O61" s="61"/>
      <c r="P61" s="61"/>
      <c r="Q61" s="62"/>
      <c r="S61" s="60"/>
      <c r="T61" s="61"/>
      <c r="U61" s="61"/>
      <c r="V61" s="62"/>
    </row>
    <row r="62" spans="1:28" x14ac:dyDescent="0.8">
      <c r="A62" s="59"/>
      <c r="B62" s="52"/>
      <c r="C62" s="52"/>
      <c r="D62" s="53"/>
      <c r="E62" s="52"/>
      <c r="F62" s="54"/>
      <c r="G62" s="54"/>
      <c r="H62" s="56"/>
      <c r="I62" s="60" t="s">
        <v>17</v>
      </c>
      <c r="J62" s="63" t="s">
        <v>77</v>
      </c>
      <c r="L62" s="64"/>
      <c r="M62" s="65"/>
      <c r="N62" s="60" t="s">
        <v>17</v>
      </c>
      <c r="O62" s="63" t="s">
        <v>77</v>
      </c>
      <c r="Q62" s="64"/>
      <c r="S62" s="73" t="s">
        <v>17</v>
      </c>
      <c r="T62" s="63" t="s">
        <v>81</v>
      </c>
      <c r="U62" s="2"/>
      <c r="V62" s="64"/>
    </row>
    <row r="63" spans="1:28" ht="15" customHeight="1" x14ac:dyDescent="0.8">
      <c r="A63" s="59"/>
      <c r="B63" s="52"/>
      <c r="C63" s="52"/>
      <c r="D63" s="53"/>
      <c r="E63" s="52"/>
      <c r="F63" s="54"/>
      <c r="G63" s="54"/>
      <c r="H63" s="56"/>
      <c r="I63" s="60"/>
      <c r="J63" s="61"/>
      <c r="K63" s="61"/>
      <c r="L63" s="62"/>
      <c r="M63" s="61"/>
      <c r="N63" s="60"/>
      <c r="O63" s="61"/>
      <c r="P63" s="61"/>
      <c r="Q63" s="62"/>
      <c r="S63" s="60"/>
      <c r="T63" s="61"/>
      <c r="U63" s="61"/>
      <c r="V63" s="62"/>
    </row>
    <row r="64" spans="1:28" s="12" customFormat="1" ht="28.8" customHeight="1" x14ac:dyDescent="0.35">
      <c r="A64" s="100"/>
      <c r="B64" s="5"/>
      <c r="C64" s="101" t="s">
        <v>18</v>
      </c>
      <c r="D64" s="3"/>
      <c r="E64" s="5"/>
      <c r="F64" s="30"/>
      <c r="G64" s="30"/>
      <c r="H64" s="102"/>
      <c r="I64" s="90" t="s">
        <v>19</v>
      </c>
      <c r="J64" s="115"/>
      <c r="K64" s="115"/>
      <c r="L64" s="116"/>
      <c r="M64" s="89"/>
      <c r="N64" s="107" t="s">
        <v>19</v>
      </c>
      <c r="O64" s="115"/>
      <c r="P64" s="115"/>
      <c r="Q64" s="116"/>
      <c r="S64" s="90" t="s">
        <v>19</v>
      </c>
      <c r="T64" s="212"/>
      <c r="U64" s="212"/>
      <c r="V64" s="213"/>
      <c r="X64" s="103"/>
      <c r="Y64" s="103"/>
      <c r="Z64" s="103"/>
      <c r="AA64" s="103"/>
      <c r="AB64" s="103"/>
    </row>
    <row r="65" spans="1:22" ht="15" customHeight="1" x14ac:dyDescent="0.8">
      <c r="A65" s="59"/>
      <c r="B65" s="52"/>
      <c r="C65" s="5" t="s">
        <v>20</v>
      </c>
      <c r="D65" s="53"/>
      <c r="E65" s="52"/>
      <c r="F65" s="54"/>
      <c r="G65" s="54"/>
      <c r="H65" s="56"/>
      <c r="I65" s="60"/>
      <c r="J65" s="2"/>
      <c r="K65" s="2"/>
      <c r="L65" s="64"/>
      <c r="M65" s="2"/>
      <c r="N65" s="60"/>
      <c r="O65" s="2"/>
      <c r="P65" s="2"/>
      <c r="Q65" s="64"/>
      <c r="S65" s="60"/>
      <c r="T65" s="2"/>
      <c r="U65" s="2"/>
      <c r="V65" s="64"/>
    </row>
    <row r="66" spans="1:22" ht="15" customHeight="1" x14ac:dyDescent="0.8">
      <c r="A66" s="59"/>
      <c r="B66" s="52"/>
      <c r="C66" s="5" t="s">
        <v>21</v>
      </c>
      <c r="D66" s="53"/>
      <c r="E66" s="52"/>
      <c r="F66" s="54"/>
      <c r="G66" s="54"/>
      <c r="H66" s="56"/>
      <c r="I66" s="117" t="s">
        <v>78</v>
      </c>
      <c r="J66" s="118"/>
      <c r="K66" s="118"/>
      <c r="L66" s="220"/>
      <c r="M66" s="58"/>
      <c r="N66" s="117" t="s">
        <v>78</v>
      </c>
      <c r="O66" s="118"/>
      <c r="P66" s="118"/>
      <c r="Q66" s="220"/>
      <c r="S66" s="74" t="s">
        <v>22</v>
      </c>
      <c r="T66" s="75"/>
      <c r="U66" s="75"/>
      <c r="V66" s="76"/>
    </row>
    <row r="67" spans="1:22" ht="15" customHeight="1" x14ac:dyDescent="0.8">
      <c r="A67" s="59"/>
      <c r="B67" s="52"/>
      <c r="C67" s="5" t="s">
        <v>23</v>
      </c>
      <c r="D67" s="53"/>
      <c r="E67" s="52"/>
      <c r="F67" s="54"/>
      <c r="G67" s="54"/>
      <c r="H67" s="56"/>
      <c r="I67" s="66"/>
      <c r="J67" s="67"/>
      <c r="K67" s="58"/>
      <c r="L67" s="68"/>
      <c r="M67" s="58"/>
      <c r="N67" s="107"/>
      <c r="O67" s="108"/>
      <c r="P67" s="105"/>
      <c r="Q67" s="106"/>
      <c r="S67" s="66"/>
      <c r="T67" s="67"/>
      <c r="U67" s="58"/>
      <c r="V67" s="68"/>
    </row>
    <row r="68" spans="1:22" ht="15" customHeight="1" x14ac:dyDescent="0.8">
      <c r="A68" s="59"/>
      <c r="B68" s="52"/>
      <c r="C68" s="5" t="s">
        <v>24</v>
      </c>
      <c r="D68" s="53"/>
      <c r="E68" s="52"/>
      <c r="F68" s="54"/>
      <c r="G68" s="54"/>
      <c r="H68" s="56"/>
      <c r="I68" s="66" t="s">
        <v>76</v>
      </c>
      <c r="J68" s="2"/>
      <c r="K68" s="2"/>
      <c r="L68" s="64"/>
      <c r="M68" s="69"/>
      <c r="N68" s="107" t="s">
        <v>76</v>
      </c>
      <c r="O68" s="2"/>
      <c r="P68" s="2"/>
      <c r="Q68" s="64"/>
      <c r="S68" s="74" t="s">
        <v>25</v>
      </c>
      <c r="T68" s="2"/>
      <c r="U68" s="2"/>
      <c r="V68" s="64"/>
    </row>
    <row r="69" spans="1:22" ht="15" customHeight="1" x14ac:dyDescent="0.8">
      <c r="A69" s="59"/>
      <c r="B69" s="52"/>
      <c r="C69" s="5" t="s">
        <v>26</v>
      </c>
      <c r="D69" s="53"/>
      <c r="E69" s="52"/>
      <c r="F69" s="54"/>
      <c r="G69" s="54"/>
      <c r="H69" s="56"/>
      <c r="I69" s="109"/>
      <c r="J69" s="110"/>
      <c r="K69" s="110"/>
      <c r="L69" s="111"/>
      <c r="M69" s="69"/>
      <c r="N69" s="109"/>
      <c r="O69" s="110"/>
      <c r="P69" s="110"/>
      <c r="Q69" s="111"/>
      <c r="S69" s="198"/>
      <c r="T69" s="199"/>
      <c r="U69" s="199"/>
      <c r="V69" s="200"/>
    </row>
    <row r="70" spans="1:22" ht="15" customHeight="1" x14ac:dyDescent="0.8">
      <c r="A70" s="59"/>
      <c r="B70" s="52"/>
      <c r="C70" s="5" t="s">
        <v>27</v>
      </c>
      <c r="D70" s="53"/>
      <c r="E70" s="52"/>
      <c r="F70" s="54"/>
      <c r="G70" s="54"/>
      <c r="H70" s="56"/>
      <c r="I70" s="109"/>
      <c r="J70" s="110"/>
      <c r="K70" s="110"/>
      <c r="L70" s="111"/>
      <c r="M70" s="69"/>
      <c r="N70" s="109"/>
      <c r="O70" s="110"/>
      <c r="P70" s="110"/>
      <c r="Q70" s="111"/>
      <c r="S70" s="198"/>
      <c r="T70" s="199"/>
      <c r="U70" s="199"/>
      <c r="V70" s="200"/>
    </row>
    <row r="71" spans="1:22" ht="15" customHeight="1" x14ac:dyDescent="0.8">
      <c r="A71" s="59"/>
      <c r="B71" s="52"/>
      <c r="C71" s="52"/>
      <c r="D71" s="53"/>
      <c r="E71" s="52"/>
      <c r="F71" s="54"/>
      <c r="G71" s="54"/>
      <c r="H71" s="56"/>
      <c r="I71" s="109"/>
      <c r="J71" s="110"/>
      <c r="K71" s="110"/>
      <c r="L71" s="111"/>
      <c r="M71" s="69"/>
      <c r="N71" s="109"/>
      <c r="O71" s="110"/>
      <c r="P71" s="110"/>
      <c r="Q71" s="111"/>
      <c r="S71" s="198"/>
      <c r="T71" s="199"/>
      <c r="U71" s="199"/>
      <c r="V71" s="200"/>
    </row>
    <row r="72" spans="1:22" ht="15" customHeight="1" x14ac:dyDescent="0.8">
      <c r="A72" s="59"/>
      <c r="B72" s="52"/>
      <c r="C72" s="52"/>
      <c r="D72" s="53"/>
      <c r="E72" s="52"/>
      <c r="F72" s="54"/>
      <c r="G72" s="54"/>
      <c r="H72" s="56"/>
      <c r="I72" s="66" t="s">
        <v>28</v>
      </c>
      <c r="J72" s="61"/>
      <c r="K72" s="61"/>
      <c r="L72" s="62"/>
      <c r="M72" s="58"/>
      <c r="N72" s="107" t="s">
        <v>28</v>
      </c>
      <c r="O72" s="61"/>
      <c r="P72" s="61"/>
      <c r="Q72" s="62"/>
      <c r="S72" s="74" t="s">
        <v>28</v>
      </c>
      <c r="T72" s="75"/>
      <c r="U72" s="75"/>
      <c r="V72" s="76"/>
    </row>
    <row r="73" spans="1:22" ht="15" customHeight="1" thickBot="1" x14ac:dyDescent="0.85">
      <c r="A73" s="70"/>
      <c r="B73" s="52"/>
      <c r="C73" s="46"/>
      <c r="D73" s="71"/>
      <c r="E73" s="46"/>
      <c r="F73" s="72"/>
      <c r="G73" s="72"/>
      <c r="H73" s="56"/>
      <c r="I73" s="112"/>
      <c r="J73" s="113"/>
      <c r="K73" s="113"/>
      <c r="L73" s="114"/>
      <c r="M73" s="69"/>
      <c r="N73" s="112"/>
      <c r="O73" s="113"/>
      <c r="P73" s="113"/>
      <c r="Q73" s="114"/>
      <c r="S73" s="201"/>
      <c r="T73" s="202"/>
      <c r="U73" s="202"/>
      <c r="V73" s="203"/>
    </row>
    <row r="74" spans="1:22" x14ac:dyDescent="0.8">
      <c r="A74" s="55"/>
      <c r="B74" s="52"/>
      <c r="C74" s="46"/>
      <c r="D74" s="71"/>
      <c r="E74" s="46"/>
      <c r="F74" s="72"/>
      <c r="G74" s="72"/>
      <c r="H74" s="56"/>
    </row>
    <row r="75" spans="1:22" x14ac:dyDescent="0.8">
      <c r="A75" s="59"/>
      <c r="B75" s="52"/>
      <c r="C75" s="52"/>
      <c r="D75" s="53"/>
      <c r="E75" s="52"/>
      <c r="F75" s="54"/>
      <c r="G75" s="54"/>
      <c r="H75" s="56"/>
    </row>
    <row r="78" spans="1:22" x14ac:dyDescent="0.8">
      <c r="D78" s="71"/>
    </row>
    <row r="91" spans="12:16" x14ac:dyDescent="0.8">
      <c r="N91" s="94"/>
    </row>
    <row r="93" spans="12:16" x14ac:dyDescent="0.8">
      <c r="N93" s="94"/>
      <c r="P93" s="98"/>
    </row>
    <row r="95" spans="12:16" x14ac:dyDescent="0.8">
      <c r="L95" s="96"/>
      <c r="N95" s="94"/>
      <c r="O95" s="96"/>
      <c r="P95" s="96"/>
    </row>
  </sheetData>
  <mergeCells count="86">
    <mergeCell ref="K35:K36"/>
    <mergeCell ref="L35:L36"/>
    <mergeCell ref="U16:U18"/>
    <mergeCell ref="V16:V18"/>
    <mergeCell ref="S9:S11"/>
    <mergeCell ref="T9:T11"/>
    <mergeCell ref="U9:U11"/>
    <mergeCell ref="V9:V11"/>
    <mergeCell ref="S13:S15"/>
    <mergeCell ref="T13:T15"/>
    <mergeCell ref="U13:U15"/>
    <mergeCell ref="V13:V15"/>
    <mergeCell ref="N35:N36"/>
    <mergeCell ref="O35:O36"/>
    <mergeCell ref="P35:P36"/>
    <mergeCell ref="Q35:Q36"/>
    <mergeCell ref="S35:S36"/>
    <mergeCell ref="N13:N15"/>
    <mergeCell ref="O13:O15"/>
    <mergeCell ref="P13:P15"/>
    <mergeCell ref="Q13:Q15"/>
    <mergeCell ref="N16:N18"/>
    <mergeCell ref="O16:O18"/>
    <mergeCell ref="P16:P18"/>
    <mergeCell ref="Q16:Q18"/>
    <mergeCell ref="S2:V5"/>
    <mergeCell ref="S56:U57"/>
    <mergeCell ref="T60:V60"/>
    <mergeCell ref="S69:V71"/>
    <mergeCell ref="S73:V73"/>
    <mergeCell ref="S6:S7"/>
    <mergeCell ref="U6:U7"/>
    <mergeCell ref="V6:V7"/>
    <mergeCell ref="S53:U54"/>
    <mergeCell ref="V53:V54"/>
    <mergeCell ref="T64:V64"/>
    <mergeCell ref="T35:T36"/>
    <mergeCell ref="U35:U36"/>
    <mergeCell ref="V35:V36"/>
    <mergeCell ref="S16:S18"/>
    <mergeCell ref="T16:T18"/>
    <mergeCell ref="J60:L60"/>
    <mergeCell ref="I56:K57"/>
    <mergeCell ref="N56:P57"/>
    <mergeCell ref="N53:P54"/>
    <mergeCell ref="N6:N7"/>
    <mergeCell ref="P6:P7"/>
    <mergeCell ref="N8:Q8"/>
    <mergeCell ref="Q53:Q54"/>
    <mergeCell ref="O60:Q60"/>
    <mergeCell ref="N9:N11"/>
    <mergeCell ref="O9:O11"/>
    <mergeCell ref="P9:P11"/>
    <mergeCell ref="Q9:Q11"/>
    <mergeCell ref="F53:G54"/>
    <mergeCell ref="D6:G6"/>
    <mergeCell ref="C53:E54"/>
    <mergeCell ref="I53:K54"/>
    <mergeCell ref="L53:L54"/>
    <mergeCell ref="I6:I7"/>
    <mergeCell ref="K6:K7"/>
    <mergeCell ref="L6:L7"/>
    <mergeCell ref="C8:G8"/>
    <mergeCell ref="I8:L8"/>
    <mergeCell ref="I16:I18"/>
    <mergeCell ref="J16:J18"/>
    <mergeCell ref="K16:K18"/>
    <mergeCell ref="L16:L18"/>
    <mergeCell ref="I35:I36"/>
    <mergeCell ref="J35:J36"/>
    <mergeCell ref="N2:Q5"/>
    <mergeCell ref="G2:G4"/>
    <mergeCell ref="B2:F4"/>
    <mergeCell ref="D5:G5"/>
    <mergeCell ref="B5:B7"/>
    <mergeCell ref="C5:C7"/>
    <mergeCell ref="Q6:Q7"/>
    <mergeCell ref="I2:L5"/>
    <mergeCell ref="I69:L71"/>
    <mergeCell ref="I73:L73"/>
    <mergeCell ref="N73:Q73"/>
    <mergeCell ref="N69:Q71"/>
    <mergeCell ref="J64:L64"/>
    <mergeCell ref="O64:Q64"/>
    <mergeCell ref="I66:L66"/>
    <mergeCell ref="N66:Q66"/>
  </mergeCells>
  <phoneticPr fontId="8" type="noConversion"/>
  <printOptions horizontalCentered="1" verticalCentered="1"/>
  <pageMargins left="0.25" right="0.25" top="0.75" bottom="0.75" header="0.3" footer="0.3"/>
  <pageSetup scale="3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0bfb97-fe35-4d64-8485-05bb5b6f9e89" xsi:nil="true"/>
    <lcf76f155ced4ddcb4097134ff3c332f xmlns="3cabfbfa-22c1-4162-9775-2b67678c8080">
      <Terms xmlns="http://schemas.microsoft.com/office/infopath/2007/PartnerControls"/>
    </lcf76f155ced4ddcb4097134ff3c332f>
    <usuarios xmlns="3cabfbfa-22c1-4162-9775-2b67678c8080">
      <UserInfo>
        <DisplayName/>
        <AccountId xsi:nil="true"/>
        <AccountType/>
      </UserInfo>
    </usuario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A53D38D6F2F34CA3A81450F48BD0BA" ma:contentTypeVersion="17" ma:contentTypeDescription="Crear nuevo documento." ma:contentTypeScope="" ma:versionID="938e2e35b31074cba37bc2689d394fa0">
  <xsd:schema xmlns:xsd="http://www.w3.org/2001/XMLSchema" xmlns:xs="http://www.w3.org/2001/XMLSchema" xmlns:p="http://schemas.microsoft.com/office/2006/metadata/properties" xmlns:ns2="3cabfbfa-22c1-4162-9775-2b67678c8080" xmlns:ns3="670bfb97-fe35-4d64-8485-05bb5b6f9e89" targetNamespace="http://schemas.microsoft.com/office/2006/metadata/properties" ma:root="true" ma:fieldsID="a4bfe58f71e252900aed2f202e7b59bf" ns2:_="" ns3:_="">
    <xsd:import namespace="3cabfbfa-22c1-4162-9775-2b67678c8080"/>
    <xsd:import namespace="670bfb97-fe35-4d64-8485-05bb5b6f9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usuario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bfbfa-22c1-4162-9775-2b67678c8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a4174269-05ed-46f5-8424-ac65241c1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uarios" ma:index="23" nillable="true" ma:displayName="usuarios" ma:format="Dropdown" ma:list="UserInfo" ma:SharePointGroup="0" ma:internalName="usuario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bfb97-fe35-4d64-8485-05bb5b6f9e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bf90d49-a99d-481c-8813-378ef4fa6095}" ma:internalName="TaxCatchAll" ma:showField="CatchAllData" ma:web="670bfb97-fe35-4d64-8485-05bb5b6f9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2A3F27-FE18-40AE-ABC0-FED2A12EFAB6}">
  <ds:schemaRefs>
    <ds:schemaRef ds:uri="3cabfbfa-22c1-4162-9775-2b67678c8080"/>
    <ds:schemaRef ds:uri="http://schemas.microsoft.com/office/2006/metadata/properties"/>
    <ds:schemaRef ds:uri="670bfb97-fe35-4d64-8485-05bb5b6f9e89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CFEA642-C5E9-4B3E-A94A-CB5D8D473C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654EB9-2A59-4559-954B-90C1DAC58D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abfbfa-22c1-4162-9775-2b67678c8080"/>
    <ds:schemaRef ds:uri="670bfb97-fe35-4d64-8485-05bb5b6f9e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TOXEMENT</vt:lpstr>
      <vt:lpstr>TOXEMENT!Área_de_impresión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JORGE DAVID  ENCINALES ORTIZ</cp:lastModifiedBy>
  <cp:revision/>
  <dcterms:created xsi:type="dcterms:W3CDTF">2024-02-29T16:40:21Z</dcterms:created>
  <dcterms:modified xsi:type="dcterms:W3CDTF">2026-02-24T23:47:51Z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0x010100CEA53D38D6F2F34CA3A81450F48BD0BA</vt:lpwstr>
  </property>
  <property fmtid="{D5CDD505-2E9C-101B-9397-08002B2CF9AE}" pid="3" name="MediaServiceImageTags">
    <vt:lpwstr/>
  </property>
</Properties>
</file>