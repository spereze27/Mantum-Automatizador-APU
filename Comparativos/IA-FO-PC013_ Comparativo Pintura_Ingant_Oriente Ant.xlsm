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gant\Ingenieros de Antioquia S.A.S COMMUNITY\INGANT - 2025\Planeación y Control\FCOT 538-2022 Mant Ant Nutresa (Original)\8. Cuadros Comparativos\2026\Insumos_\"/>
    </mc:Choice>
  </mc:AlternateContent>
  <xr:revisionPtr revIDLastSave="0" documentId="13_ncr:1_{80D671E1-4E9B-4B4E-BD87-5FBD9F63416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adro comparativo" sheetId="7" r:id="rId1"/>
    <sheet name="Hoja1" sheetId="10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7" i="7" l="1"/>
  <c r="F35" i="7"/>
  <c r="F25" i="7"/>
  <c r="F24" i="7"/>
  <c r="F23" i="7"/>
  <c r="F22" i="7"/>
  <c r="D57" i="7"/>
  <c r="D35" i="7"/>
  <c r="D25" i="7"/>
  <c r="D24" i="7"/>
  <c r="D23" i="7"/>
  <c r="D22" i="7"/>
  <c r="Q13" i="7" l="1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E45" i="7"/>
  <c r="G45" i="7"/>
  <c r="I45" i="7"/>
  <c r="K45" i="7"/>
  <c r="M45" i="7"/>
  <c r="G46" i="7"/>
  <c r="I46" i="7"/>
  <c r="K46" i="7"/>
  <c r="M46" i="7"/>
  <c r="E47" i="7"/>
  <c r="G47" i="7"/>
  <c r="I47" i="7"/>
  <c r="K47" i="7"/>
  <c r="M47" i="7"/>
  <c r="E48" i="7"/>
  <c r="G48" i="7"/>
  <c r="I48" i="7"/>
  <c r="K48" i="7"/>
  <c r="M48" i="7"/>
  <c r="E49" i="7"/>
  <c r="G49" i="7"/>
  <c r="I49" i="7"/>
  <c r="K49" i="7"/>
  <c r="M49" i="7"/>
  <c r="E50" i="7"/>
  <c r="G50" i="7"/>
  <c r="I50" i="7"/>
  <c r="K50" i="7"/>
  <c r="M50" i="7"/>
  <c r="E51" i="7"/>
  <c r="G51" i="7"/>
  <c r="I51" i="7"/>
  <c r="K51" i="7"/>
  <c r="M51" i="7"/>
  <c r="E52" i="7"/>
  <c r="G52" i="7"/>
  <c r="I52" i="7"/>
  <c r="K52" i="7"/>
  <c r="M52" i="7"/>
  <c r="E53" i="7"/>
  <c r="G53" i="7"/>
  <c r="I53" i="7"/>
  <c r="M53" i="7"/>
  <c r="E54" i="7"/>
  <c r="G54" i="7"/>
  <c r="I54" i="7"/>
  <c r="K54" i="7"/>
  <c r="M54" i="7"/>
  <c r="E55" i="7"/>
  <c r="G55" i="7"/>
  <c r="I55" i="7"/>
  <c r="K55" i="7"/>
  <c r="M55" i="7"/>
  <c r="E56" i="7"/>
  <c r="G56" i="7"/>
  <c r="I56" i="7"/>
  <c r="K56" i="7"/>
  <c r="M56" i="7"/>
  <c r="E57" i="7"/>
  <c r="G57" i="7"/>
  <c r="I57" i="7"/>
  <c r="K57" i="7"/>
  <c r="M57" i="7"/>
  <c r="E37" i="7"/>
  <c r="G37" i="7"/>
  <c r="I37" i="7"/>
  <c r="K37" i="7"/>
  <c r="M37" i="7"/>
  <c r="E38" i="7"/>
  <c r="G38" i="7"/>
  <c r="I38" i="7"/>
  <c r="K38" i="7"/>
  <c r="M38" i="7"/>
  <c r="E39" i="7"/>
  <c r="G39" i="7"/>
  <c r="I39" i="7"/>
  <c r="K39" i="7"/>
  <c r="M39" i="7"/>
  <c r="E40" i="7"/>
  <c r="G40" i="7"/>
  <c r="I40" i="7"/>
  <c r="K40" i="7"/>
  <c r="M40" i="7"/>
  <c r="E41" i="7"/>
  <c r="G41" i="7"/>
  <c r="I41" i="7"/>
  <c r="K41" i="7"/>
  <c r="M41" i="7"/>
  <c r="E42" i="7"/>
  <c r="G42" i="7"/>
  <c r="I42" i="7"/>
  <c r="K42" i="7"/>
  <c r="M42" i="7"/>
  <c r="E43" i="7"/>
  <c r="G43" i="7"/>
  <c r="I43" i="7"/>
  <c r="K43" i="7"/>
  <c r="M43" i="7"/>
  <c r="E44" i="7"/>
  <c r="G44" i="7"/>
  <c r="I44" i="7"/>
  <c r="K44" i="7"/>
  <c r="M44" i="7"/>
  <c r="E58" i="7"/>
  <c r="G58" i="7"/>
  <c r="I58" i="7"/>
  <c r="K58" i="7"/>
  <c r="M58" i="7"/>
  <c r="E59" i="7"/>
  <c r="G59" i="7"/>
  <c r="I59" i="7"/>
  <c r="K59" i="7"/>
  <c r="M59" i="7"/>
  <c r="E60" i="7"/>
  <c r="G60" i="7"/>
  <c r="I60" i="7"/>
  <c r="K60" i="7"/>
  <c r="M60" i="7"/>
  <c r="E61" i="7"/>
  <c r="G61" i="7"/>
  <c r="I61" i="7"/>
  <c r="K61" i="7"/>
  <c r="M61" i="7"/>
  <c r="E62" i="7"/>
  <c r="G62" i="7"/>
  <c r="I62" i="7"/>
  <c r="K62" i="7"/>
  <c r="M62" i="7"/>
  <c r="E63" i="7"/>
  <c r="G63" i="7"/>
  <c r="I63" i="7"/>
  <c r="K63" i="7"/>
  <c r="M63" i="7"/>
  <c r="E26" i="7"/>
  <c r="G26" i="7"/>
  <c r="I26" i="7"/>
  <c r="K26" i="7"/>
  <c r="M26" i="7"/>
  <c r="E27" i="7"/>
  <c r="G27" i="7"/>
  <c r="I27" i="7"/>
  <c r="K27" i="7"/>
  <c r="M27" i="7"/>
  <c r="E28" i="7"/>
  <c r="G28" i="7"/>
  <c r="I28" i="7"/>
  <c r="K28" i="7"/>
  <c r="M28" i="7"/>
  <c r="E29" i="7"/>
  <c r="G29" i="7"/>
  <c r="I29" i="7"/>
  <c r="K29" i="7"/>
  <c r="M29" i="7"/>
  <c r="E30" i="7"/>
  <c r="G30" i="7"/>
  <c r="I30" i="7"/>
  <c r="K30" i="7"/>
  <c r="M30" i="7"/>
  <c r="E31" i="7"/>
  <c r="G31" i="7"/>
  <c r="I31" i="7"/>
  <c r="K31" i="7"/>
  <c r="M31" i="7"/>
  <c r="E32" i="7"/>
  <c r="G32" i="7"/>
  <c r="I32" i="7"/>
  <c r="K32" i="7"/>
  <c r="M32" i="7"/>
  <c r="E33" i="7"/>
  <c r="G33" i="7"/>
  <c r="I33" i="7"/>
  <c r="K33" i="7"/>
  <c r="M33" i="7"/>
  <c r="E34" i="7"/>
  <c r="G34" i="7"/>
  <c r="I34" i="7"/>
  <c r="K34" i="7"/>
  <c r="M34" i="7"/>
  <c r="E35" i="7"/>
  <c r="G35" i="7"/>
  <c r="I35" i="7"/>
  <c r="K35" i="7"/>
  <c r="M35" i="7"/>
  <c r="E36" i="7"/>
  <c r="G36" i="7"/>
  <c r="I36" i="7"/>
  <c r="K36" i="7"/>
  <c r="M36" i="7"/>
  <c r="E64" i="7"/>
  <c r="G64" i="7"/>
  <c r="I64" i="7"/>
  <c r="K64" i="7"/>
  <c r="M64" i="7"/>
  <c r="E65" i="7"/>
  <c r="G65" i="7"/>
  <c r="I65" i="7"/>
  <c r="K65" i="7"/>
  <c r="M65" i="7"/>
  <c r="E66" i="7"/>
  <c r="G66" i="7"/>
  <c r="I66" i="7"/>
  <c r="K66" i="7"/>
  <c r="M66" i="7"/>
  <c r="G67" i="7"/>
  <c r="I67" i="7"/>
  <c r="K67" i="7"/>
  <c r="M67" i="7"/>
  <c r="E68" i="7"/>
  <c r="G68" i="7"/>
  <c r="I68" i="7"/>
  <c r="K68" i="7"/>
  <c r="M68" i="7"/>
  <c r="E69" i="7"/>
  <c r="G69" i="7"/>
  <c r="I69" i="7"/>
  <c r="K69" i="7"/>
  <c r="M69" i="7"/>
  <c r="E70" i="7"/>
  <c r="G70" i="7"/>
  <c r="I70" i="7"/>
  <c r="K70" i="7"/>
  <c r="M70" i="7"/>
  <c r="E14" i="7"/>
  <c r="D83" i="7"/>
  <c r="O53" i="7" l="1"/>
  <c r="O55" i="7"/>
  <c r="N55" i="7" s="1"/>
  <c r="K53" i="7"/>
  <c r="O46" i="7"/>
  <c r="P46" i="7" s="1"/>
  <c r="O45" i="7"/>
  <c r="P45" i="7" s="1"/>
  <c r="O47" i="7"/>
  <c r="O57" i="7"/>
  <c r="P57" i="7" s="1"/>
  <c r="O54" i="7"/>
  <c r="N54" i="7" s="1"/>
  <c r="O51" i="7"/>
  <c r="N51" i="7" s="1"/>
  <c r="O49" i="7"/>
  <c r="P49" i="7" s="1"/>
  <c r="E46" i="7"/>
  <c r="O52" i="7"/>
  <c r="O50" i="7"/>
  <c r="O56" i="7"/>
  <c r="O48" i="7"/>
  <c r="O59" i="7"/>
  <c r="O39" i="7"/>
  <c r="O64" i="7"/>
  <c r="O61" i="7"/>
  <c r="O41" i="7"/>
  <c r="O44" i="7"/>
  <c r="O58" i="7"/>
  <c r="O38" i="7"/>
  <c r="O63" i="7"/>
  <c r="O43" i="7"/>
  <c r="O60" i="7"/>
  <c r="O40" i="7"/>
  <c r="O37" i="7"/>
  <c r="O62" i="7"/>
  <c r="O42" i="7"/>
  <c r="O29" i="7"/>
  <c r="P29" i="7" s="1"/>
  <c r="O67" i="7"/>
  <c r="P67" i="7" s="1"/>
  <c r="O68" i="7"/>
  <c r="O34" i="7"/>
  <c r="O65" i="7"/>
  <c r="O31" i="7"/>
  <c r="E67" i="7"/>
  <c r="O70" i="7"/>
  <c r="O36" i="7"/>
  <c r="O28" i="7"/>
  <c r="O33" i="7"/>
  <c r="O30" i="7"/>
  <c r="O69" i="7"/>
  <c r="O35" i="7"/>
  <c r="O27" i="7"/>
  <c r="O66" i="7"/>
  <c r="O32" i="7"/>
  <c r="O26" i="7"/>
  <c r="O12" i="7"/>
  <c r="E12" i="7"/>
  <c r="E20" i="7"/>
  <c r="G20" i="7"/>
  <c r="I20" i="7"/>
  <c r="K20" i="7"/>
  <c r="M20" i="7"/>
  <c r="O20" i="7"/>
  <c r="E21" i="7"/>
  <c r="G21" i="7"/>
  <c r="I21" i="7"/>
  <c r="K21" i="7"/>
  <c r="M21" i="7"/>
  <c r="O21" i="7"/>
  <c r="E22" i="7"/>
  <c r="G22" i="7"/>
  <c r="I22" i="7"/>
  <c r="K22" i="7"/>
  <c r="M22" i="7"/>
  <c r="O22" i="7"/>
  <c r="E23" i="7"/>
  <c r="G23" i="7"/>
  <c r="I23" i="7"/>
  <c r="K23" i="7"/>
  <c r="M23" i="7"/>
  <c r="O23" i="7"/>
  <c r="P23" i="7" s="1"/>
  <c r="P55" i="7" l="1"/>
  <c r="P53" i="7"/>
  <c r="P51" i="7"/>
  <c r="N45" i="7"/>
  <c r="P54" i="7"/>
  <c r="P47" i="7"/>
  <c r="N49" i="7"/>
  <c r="P52" i="7"/>
  <c r="P48" i="7"/>
  <c r="N56" i="7"/>
  <c r="P56" i="7"/>
  <c r="N50" i="7"/>
  <c r="P50" i="7"/>
  <c r="N39" i="7"/>
  <c r="N37" i="7"/>
  <c r="P42" i="7"/>
  <c r="P38" i="7"/>
  <c r="P37" i="7"/>
  <c r="P44" i="7"/>
  <c r="P41" i="7"/>
  <c r="P40" i="7"/>
  <c r="P61" i="7"/>
  <c r="N61" i="7"/>
  <c r="N60" i="7"/>
  <c r="P60" i="7"/>
  <c r="P64" i="7"/>
  <c r="P62" i="7"/>
  <c r="N43" i="7"/>
  <c r="P43" i="7"/>
  <c r="P39" i="7"/>
  <c r="P58" i="7"/>
  <c r="N63" i="7"/>
  <c r="P63" i="7"/>
  <c r="P59" i="7"/>
  <c r="P69" i="7"/>
  <c r="P30" i="7"/>
  <c r="P65" i="7"/>
  <c r="P31" i="7"/>
  <c r="P34" i="7"/>
  <c r="P35" i="7"/>
  <c r="P33" i="7"/>
  <c r="P32" i="7"/>
  <c r="P28" i="7"/>
  <c r="P66" i="7"/>
  <c r="P36" i="7"/>
  <c r="P68" i="7"/>
  <c r="P27" i="7"/>
  <c r="P70" i="7"/>
  <c r="P26" i="7"/>
  <c r="P20" i="7"/>
  <c r="P21" i="7"/>
  <c r="P22" i="7"/>
  <c r="E25" i="7"/>
  <c r="G25" i="7"/>
  <c r="I25" i="7"/>
  <c r="K25" i="7"/>
  <c r="M25" i="7"/>
  <c r="O25" i="7"/>
  <c r="F83" i="7"/>
  <c r="N64" i="7" s="1"/>
  <c r="H83" i="7"/>
  <c r="J83" i="7"/>
  <c r="L83" i="7"/>
  <c r="N62" i="7" s="1"/>
  <c r="N58" i="7" l="1"/>
  <c r="N48" i="7"/>
  <c r="N53" i="7"/>
  <c r="N47" i="7"/>
  <c r="N57" i="7"/>
  <c r="N40" i="7"/>
  <c r="N52" i="7"/>
  <c r="N46" i="7"/>
  <c r="N42" i="7"/>
  <c r="N41" i="7"/>
  <c r="N44" i="7"/>
  <c r="N38" i="7"/>
  <c r="N59" i="7"/>
  <c r="P25" i="7"/>
  <c r="F95" i="7"/>
  <c r="H95" i="7"/>
  <c r="J95" i="7"/>
  <c r="L95" i="7"/>
  <c r="D95" i="7"/>
  <c r="O16" i="7"/>
  <c r="P16" i="7" s="1"/>
  <c r="O17" i="7"/>
  <c r="P17" i="7" s="1"/>
  <c r="O18" i="7"/>
  <c r="P18" i="7" s="1"/>
  <c r="O19" i="7"/>
  <c r="P19" i="7" s="1"/>
  <c r="O24" i="7"/>
  <c r="P24" i="7" s="1"/>
  <c r="O15" i="7"/>
  <c r="P15" i="7" s="1"/>
  <c r="O13" i="7"/>
  <c r="P13" i="7" s="1"/>
  <c r="O14" i="7"/>
  <c r="P14" i="7" s="1"/>
  <c r="P12" i="7"/>
  <c r="M24" i="7"/>
  <c r="K24" i="7"/>
  <c r="I24" i="7"/>
  <c r="G24" i="7"/>
  <c r="E24" i="7"/>
  <c r="M12" i="7"/>
  <c r="M13" i="7"/>
  <c r="M14" i="7"/>
  <c r="M15" i="7"/>
  <c r="M16" i="7"/>
  <c r="K12" i="7"/>
  <c r="K13" i="7"/>
  <c r="K14" i="7"/>
  <c r="K15" i="7"/>
  <c r="I13" i="7"/>
  <c r="I14" i="7"/>
  <c r="I15" i="7"/>
  <c r="I16" i="7"/>
  <c r="G14" i="7"/>
  <c r="G15" i="7"/>
  <c r="E13" i="7"/>
  <c r="E15" i="7"/>
  <c r="E16" i="7"/>
  <c r="E17" i="7"/>
  <c r="E18" i="7"/>
  <c r="P72" i="7" l="1"/>
  <c r="P74" i="7" s="1"/>
  <c r="P75" i="7" s="1"/>
  <c r="P73" i="7" l="1"/>
  <c r="I19" i="7" l="1"/>
  <c r="M17" i="7"/>
  <c r="M18" i="7"/>
  <c r="M19" i="7"/>
  <c r="K16" i="7"/>
  <c r="K17" i="7"/>
  <c r="K18" i="7"/>
  <c r="K19" i="7"/>
  <c r="I12" i="7"/>
  <c r="I17" i="7"/>
  <c r="I18" i="7"/>
  <c r="G12" i="7"/>
  <c r="G16" i="7"/>
  <c r="G17" i="7"/>
  <c r="G18" i="7"/>
  <c r="G19" i="7"/>
  <c r="E19" i="7"/>
  <c r="I72" i="7" l="1"/>
  <c r="M72" i="7"/>
  <c r="M74" i="7" s="1"/>
  <c r="M75" i="7" s="1"/>
  <c r="E72" i="7"/>
  <c r="K72" i="7"/>
  <c r="K73" i="7" s="1"/>
  <c r="G72" i="7"/>
  <c r="G74" i="7" l="1"/>
  <c r="G75" i="7" s="1"/>
  <c r="I73" i="7"/>
  <c r="I74" i="7"/>
  <c r="I75" i="7" s="1"/>
  <c r="E74" i="7"/>
  <c r="E75" i="7" s="1"/>
  <c r="M73" i="7"/>
  <c r="E73" i="7"/>
  <c r="G73" i="7"/>
  <c r="N27" i="7" l="1"/>
  <c r="N28" i="7"/>
  <c r="N29" i="7"/>
  <c r="N31" i="7"/>
  <c r="N30" i="7"/>
  <c r="N32" i="7"/>
  <c r="N33" i="7"/>
  <c r="N34" i="7"/>
  <c r="N35" i="7"/>
  <c r="N36" i="7"/>
  <c r="N17" i="7"/>
  <c r="N14" i="7"/>
  <c r="N19" i="7"/>
  <c r="N15" i="7"/>
  <c r="N13" i="7"/>
  <c r="N68" i="7"/>
  <c r="N26" i="7"/>
  <c r="N22" i="7"/>
  <c r="N24" i="7"/>
  <c r="Q12" i="7"/>
  <c r="N12" i="7" s="1"/>
  <c r="N18" i="7"/>
  <c r="N21" i="7"/>
  <c r="N65" i="7"/>
  <c r="N20" i="7"/>
  <c r="N23" i="7"/>
  <c r="N25" i="7"/>
  <c r="N16" i="7"/>
  <c r="N66" i="7"/>
  <c r="N67" i="7"/>
  <c r="N69" i="7"/>
  <c r="N70" i="7"/>
  <c r="D90" i="7" l="1"/>
  <c r="F90" i="7"/>
  <c r="H90" i="7"/>
  <c r="B92" i="7" l="1"/>
</calcChain>
</file>

<file path=xl/sharedStrings.xml><?xml version="1.0" encoding="utf-8"?>
<sst xmlns="http://schemas.openxmlformats.org/spreadsheetml/2006/main" count="182" uniqueCount="119">
  <si>
    <t>CUADRO COMPARATIVO DE PROVEEDORES</t>
  </si>
  <si>
    <t>FF:</t>
  </si>
  <si>
    <t>Código</t>
  </si>
  <si>
    <t>IA-FO-PC013</t>
  </si>
  <si>
    <t>Versión</t>
  </si>
  <si>
    <t>Depto.:</t>
  </si>
  <si>
    <t>Ingeniería</t>
  </si>
  <si>
    <t>Área:</t>
  </si>
  <si>
    <t>Planeación y control</t>
  </si>
  <si>
    <t>Fecha:</t>
  </si>
  <si>
    <t>Proyecto:</t>
  </si>
  <si>
    <t>Dirección:</t>
  </si>
  <si>
    <t>N° Cotización:</t>
  </si>
  <si>
    <t xml:space="preserve">Responsable: </t>
  </si>
  <si>
    <t>Cargo:</t>
  </si>
  <si>
    <t>CUADRO COMPARATIVO DE</t>
  </si>
  <si>
    <t>Descripción del producto</t>
  </si>
  <si>
    <t>Cant.</t>
  </si>
  <si>
    <t>Und.</t>
  </si>
  <si>
    <t>Costos objetivos</t>
  </si>
  <si>
    <t>Valor unitario</t>
  </si>
  <si>
    <t>Subtotal</t>
  </si>
  <si>
    <t>Proveedor</t>
  </si>
  <si>
    <t>Menor valor</t>
  </si>
  <si>
    <t>N/A</t>
  </si>
  <si>
    <t>Descuento</t>
  </si>
  <si>
    <t xml:space="preserve">Iva 19% </t>
  </si>
  <si>
    <t>Total</t>
  </si>
  <si>
    <t>Transporte</t>
  </si>
  <si>
    <t>Incluido</t>
  </si>
  <si>
    <t xml:space="preserve">Iva sobre utilidad (19%) </t>
  </si>
  <si>
    <t>Formas de pago</t>
  </si>
  <si>
    <t>Tiempo de entrega</t>
  </si>
  <si>
    <t>Observaciones</t>
  </si>
  <si>
    <t>Información del proveedor</t>
  </si>
  <si>
    <t xml:space="preserve">Nombre o razón social </t>
  </si>
  <si>
    <t>Cédula o NIT</t>
  </si>
  <si>
    <t>Ciudad</t>
  </si>
  <si>
    <t>Dirección</t>
  </si>
  <si>
    <t>Teléfono</t>
  </si>
  <si>
    <t>Nombre de contacto</t>
  </si>
  <si>
    <t>Correo electrónico</t>
  </si>
  <si>
    <t xml:space="preserve">Participación (%) </t>
  </si>
  <si>
    <t>Decisión final</t>
  </si>
  <si>
    <t>Reponsable de la decisión</t>
  </si>
  <si>
    <t>EDUAR TABORDA</t>
  </si>
  <si>
    <t xml:space="preserve">Amoblamiento </t>
  </si>
  <si>
    <t>MTTO ZENÚ</t>
  </si>
  <si>
    <t>KEVEN VILLA</t>
  </si>
  <si>
    <t>RESIDENTE DE OBRA</t>
  </si>
  <si>
    <t>PINTURA ALUMINIO GRANO FINO 7540</t>
  </si>
  <si>
    <t>AUTOMOTRIZ - POLIURETANO AMARILLO ROJIZO 611 X 1GL - 10335822</t>
  </si>
  <si>
    <t>AUTOMOTRIZ - POLIURETANO BLANCO 604 X 1GL - 10290043</t>
  </si>
  <si>
    <t>AUTOMOTRIZ - POLIURETANO NEGRO AZULOSO 605 X 1GL - 10335821</t>
  </si>
  <si>
    <t>AUTOMOTRIZ PINTUCO BARNIZ CRYSTAL CLEAR 9400 1/1 GL - 10283788</t>
  </si>
  <si>
    <t>AUTOMOTRIZ PINTUCO ENDURECEDOR UNIVERSAL E40 1/4 GL - 10283791</t>
  </si>
  <si>
    <t>ESMALTE PINTULUX</t>
  </si>
  <si>
    <t>ESMALTE SINTETICO PINTULUX ANOLOC VERDE BRONCE 80 GALON - 10014370</t>
  </si>
  <si>
    <t>ESMALTE SINTETICO PINTULUX NEGRO 95 GALON - 10014362</t>
  </si>
  <si>
    <t>ESMALTE SINTETICO PINTULUX VERDE ESMERALDA 45 GALON - 10014358</t>
  </si>
  <si>
    <t>KIT PINTUCOAT BLANCO 13221 EN 0.91 GL Y CATAL 13227 EN 0.09 GL - 10703131</t>
  </si>
  <si>
    <t>KIT PINTUCOAT GRIS 13222 EN 0.91 GL Y CATAL 13227 EN 0.09 GL - 10703145</t>
  </si>
  <si>
    <t>KIT PINTUCOAT NEGRO 13239 EN 0.01 GL Y CATAL 13227 EN 0.09 GL - 10703130</t>
  </si>
  <si>
    <t>KIT PINTUCOAT ROJO 13263 EN 0.91GL Y CATAL 13227 EN 0.09 GL - 10353182</t>
  </si>
  <si>
    <t>KORAZA ELASTOMERICA BLANCO 2720 CANECA 5 GALONES - 10289242</t>
  </si>
  <si>
    <t>KORAZA GRIS BASALTO 2675 CANECA 5 GALONES - 10016189</t>
  </si>
  <si>
    <t>PINTUCOAT PLUS BLANCO GALON - 10221631</t>
  </si>
  <si>
    <t>PINTUCOAT PLUS CATALIZADOR RAPIDO SECADO GALON - 10367862</t>
  </si>
  <si>
    <t>PINTURA ACRILICA BRILLANTE BLANCO 113883 GALON - 10012991</t>
  </si>
  <si>
    <t>PINTURA ACRILICA BRILLANTE NEGRO 13887 GALON - 1001299</t>
  </si>
  <si>
    <t>PINTURA ACRILICO VERDE</t>
  </si>
  <si>
    <t>PINTURA ANTIGRAFITI</t>
  </si>
  <si>
    <t>PINTURA ANTIGRAFITI GRIS 11901 GALON - 10104653</t>
  </si>
  <si>
    <t>PINTURA EPOXICA POLIAMIDA BLANCA CON CATALIZADOR REF 13243/13229</t>
  </si>
  <si>
    <t>PINTUTRAFICO ACRILICO BASE SOLVENTE MOD. AMARILLO 13755 - 1 G - 10115025</t>
  </si>
  <si>
    <t>PINTUTRAFICO ACRILICO BASE SOLVENTE MOD. BLANCO 13754 - 1 G - 10115022</t>
  </si>
  <si>
    <t>PINTUTRAFICO ACRÍLICO BASE SOLVENTE NEGRO</t>
  </si>
  <si>
    <t>PINTUTRAFICO PLASTICO EN FRIO AMARILLO REF 10063230</t>
  </si>
  <si>
    <t>PINTUTRAFICO PLASTICO EN FRIO BLANCO REF 10012974</t>
  </si>
  <si>
    <t>PINTUTRAFICO PLASTICO EN FRIO RODILLO COMP. A NEGRO 1 GALON - 10342024</t>
  </si>
  <si>
    <t>REMOVEDOR DE PINTURAS INCOLORO 1020 GALON - 10014794</t>
  </si>
  <si>
    <t>TINTE PARA MADERA CAOBA 7437 1/4 GALON REF 10017633</t>
  </si>
  <si>
    <t>TINTE PARA MADERA MIEL 7435 1/4 GALON - 10017632</t>
  </si>
  <si>
    <t>TINTE PARA MADERA WENGUE 7454 1/4 GALON - 10127677</t>
  </si>
  <si>
    <t>VINILTEX BYC SATINADO BLANCO 2001 GALON - 10010743</t>
  </si>
  <si>
    <t>VINILTEX GREEN SPARK 54B-1P GALON</t>
  </si>
  <si>
    <t>VINILTEX MANDARINA TROPICAL 1554 GALON - 10013412</t>
  </si>
  <si>
    <t>VINILTEX PRO 650 BLANCO 1600 CANECA 5 GALONES - 10289235</t>
  </si>
  <si>
    <t>CATALIZADOR PARA PLASTICO EN FRIO LLANA Y SPRAY 13761- SOB 80 GRS - 10010327</t>
  </si>
  <si>
    <t>ESTUCO ACRILICO PARA EXTERIOR BLANCO 27060 CANECA 30 KILOS - 10016159</t>
  </si>
  <si>
    <t>ESTUCO PROFESIONAL INTERIORES BLANCO 17060 CANECA 30 KILOS - 10016018</t>
  </si>
  <si>
    <t>LACA NEGRO BRILLANTE AEROCOLOR AEROSOLES 125002-8016 400CC - 10228920</t>
  </si>
  <si>
    <t>MASILLA DE RELLENO</t>
  </si>
  <si>
    <t>MASILLA POLIESTER ULTRAFINA BLANCO 19167 1/4 GALON - 10015127</t>
  </si>
  <si>
    <t>ALUMINIO LIQUIDO BRILLANTE ECP100 X 1 GL - 10012969</t>
  </si>
  <si>
    <t>KIT EPOXIPOLIAMIDA VERDE 113247 EN GL Y CATALIZADOR 113229 1/4 GL</t>
  </si>
  <si>
    <t>ACRILICA BRILLANTE RAL 9002</t>
  </si>
  <si>
    <t>KIT LACA CATALIZADA MATE 18450 1 GL Y CATALIZADOR18448 1/16 GL REF 10387664</t>
  </si>
  <si>
    <t>PINTURA ACRILICA BRILLANTE AMARILLO 13880 GL- 10012989</t>
  </si>
  <si>
    <t>TECNOPINTURA</t>
  </si>
  <si>
    <t>PINTURAS INDUSTRIALES</t>
  </si>
  <si>
    <t>SAN PIO</t>
  </si>
  <si>
    <t>901051724 - 0</t>
  </si>
  <si>
    <t>CR 51 10B SUR 105</t>
  </si>
  <si>
    <t xml:space="preserve">MEDELLIN </t>
  </si>
  <si>
    <t>JUAN ESTEBAN GONZÁLEZ FLOREZ</t>
  </si>
  <si>
    <t>con copia a ventas@tecnopinturas.com</t>
  </si>
  <si>
    <t>800061228-5</t>
  </si>
  <si>
    <t>Itagûi</t>
  </si>
  <si>
    <t>Dg 47 31 67</t>
  </si>
  <si>
    <t>RONALD GONZALES</t>
  </si>
  <si>
    <t xml:space="preserve">Rgonzalez@gruposanpio.com </t>
  </si>
  <si>
    <t>890917961-9</t>
  </si>
  <si>
    <t xml:space="preserve">MEDELLÍN </t>
  </si>
  <si>
    <t>CR 5032 91</t>
  </si>
  <si>
    <t>314 8943316</t>
  </si>
  <si>
    <t xml:space="preserve">ALEXANDER </t>
  </si>
  <si>
    <t>asesorindustrial@grupoideasa.com</t>
  </si>
  <si>
    <t xml:space="preserve">LISTA DE PRECIO SIN ALZA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</si>
</sst>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-&quot;$&quot;\ * #,##0_-;\-&quot;$&quot;\ * #,##0_-;_-&quot;$&quot;\ * &quot;-&quot;_-;_-@_-"/>
    <numFmt numFmtId="43" formatCode="_-* #,##0.00_-;\-* #,##0.00_-;_-* &quot;-&quot;??_-;_-@_-"/>
    <numFmt numFmtId="164" formatCode="_-&quot;$&quot;* #,##0.00_-;\-&quot;$&quot;* #,##0.00_-;_-&quot;$&quot;* &quot;-&quot;??_-;_-@_-"/>
    <numFmt numFmtId="165" formatCode="_ * #,##0.00_ ;_ * \-#,##0.00_ ;_ * &quot;-&quot;??_ ;_ @_ "/>
    <numFmt numFmtId="166" formatCode="&quot;$&quot;\ #,##0.00"/>
    <numFmt numFmtId="167" formatCode="&quot;$&quot;\ #,##0"/>
    <numFmt numFmtId="168" formatCode="_ &quot;$&quot;\ * #,##0.00_ ;_ &quot;$&quot;\ * \-#,##0.00_ ;_ &quot;$&quot;\ * &quot;-&quot;??_ ;_ @_ "/>
    <numFmt numFmtId="169" formatCode="_ * #,##0_ ;_ * \-#,##0_ ;_ * &quot;-&quot;_ ;_ @_ "/>
    <numFmt numFmtId="170" formatCode="&quot;$&quot;#,##0.00"/>
    <numFmt numFmtId="171" formatCode="_-* #,##0_-;\-* #,##0_-;_-* &quot;-&quot;??_-;_-@_-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u/>
      <sz val="9"/>
      <color theme="10"/>
      <name val="Arial"/>
      <family val="2"/>
    </font>
    <font>
      <b/>
      <i/>
      <sz val="9"/>
      <color theme="1"/>
      <name val="Arial"/>
      <family val="2"/>
    </font>
    <font>
      <sz val="8"/>
      <name val="Calibri"/>
      <family val="2"/>
      <scheme val="minor"/>
    </font>
    <font>
      <u/>
      <sz val="8"/>
      <color theme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/>
    <xf numFmtId="0" fontId="4" fillId="0" borderId="0">
      <alignment vertical="center"/>
    </xf>
    <xf numFmtId="168" fontId="1" fillId="0" borderId="0" applyFont="0" applyFill="0" applyBorder="0" applyAlignment="0" applyProtection="0">
      <alignment vertical="center"/>
    </xf>
    <xf numFmtId="169" fontId="1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73">
    <xf numFmtId="0" fontId="0" fillId="0" borderId="0" xfId="0"/>
    <xf numFmtId="0" fontId="6" fillId="0" borderId="0" xfId="0" applyFont="1" applyAlignment="1">
      <alignment horizontal="left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2" fontId="5" fillId="0" borderId="1" xfId="0" applyNumberFormat="1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1" fontId="6" fillId="0" borderId="0" xfId="0" applyNumberFormat="1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42" fontId="5" fillId="2" borderId="1" xfId="0" applyNumberFormat="1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42" fontId="5" fillId="5" borderId="1" xfId="0" applyNumberFormat="1" applyFont="1" applyFill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70" fontId="6" fillId="0" borderId="0" xfId="0" applyNumberFormat="1" applyFont="1" applyAlignment="1">
      <alignment vertical="center"/>
    </xf>
    <xf numFmtId="170" fontId="5" fillId="0" borderId="0" xfId="0" applyNumberFormat="1" applyFont="1" applyAlignment="1">
      <alignment vertical="center"/>
    </xf>
    <xf numFmtId="166" fontId="5" fillId="0" borderId="1" xfId="0" applyNumberFormat="1" applyFont="1" applyBorder="1" applyAlignment="1">
      <alignment vertical="center"/>
    </xf>
    <xf numFmtId="167" fontId="5" fillId="0" borderId="1" xfId="0" applyNumberFormat="1" applyFont="1" applyBorder="1" applyAlignment="1">
      <alignment vertical="center"/>
    </xf>
    <xf numFmtId="170" fontId="5" fillId="0" borderId="1" xfId="0" applyNumberFormat="1" applyFont="1" applyBorder="1" applyAlignment="1">
      <alignment vertical="center"/>
    </xf>
    <xf numFmtId="167" fontId="5" fillId="2" borderId="1" xfId="0" applyNumberFormat="1" applyFont="1" applyFill="1" applyBorder="1" applyAlignment="1">
      <alignment vertical="center"/>
    </xf>
    <xf numFmtId="167" fontId="5" fillId="0" borderId="1" xfId="0" applyNumberFormat="1" applyFont="1" applyBorder="1" applyAlignment="1">
      <alignment horizontal="center" vertical="center"/>
    </xf>
    <xf numFmtId="9" fontId="5" fillId="0" borderId="1" xfId="8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6" fontId="5" fillId="0" borderId="0" xfId="0" applyNumberFormat="1" applyFont="1" applyAlignment="1">
      <alignment vertical="center"/>
    </xf>
    <xf numFmtId="171" fontId="0" fillId="0" borderId="0" xfId="9" applyNumberFormat="1" applyFont="1"/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0" borderId="1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quotePrefix="1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6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166" fontId="5" fillId="0" borderId="1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9" fontId="10" fillId="0" borderId="1" xfId="8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1" xfId="3" applyBorder="1" applyAlignment="1">
      <alignment horizontal="center" vertical="center"/>
    </xf>
    <xf numFmtId="0" fontId="13" fillId="0" borderId="1" xfId="3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1" fontId="6" fillId="0" borderId="0" xfId="0" applyNumberFormat="1" applyFont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164" fontId="5" fillId="0" borderId="1" xfId="7" applyFont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</cellXfs>
  <cellStyles count="10">
    <cellStyle name="Hipervínculo" xfId="3" builtinId="8"/>
    <cellStyle name="Millares" xfId="9" builtinId="3"/>
    <cellStyle name="Millares [0] 2" xfId="6" xr:uid="{00000000-0005-0000-0000-000001000000}"/>
    <cellStyle name="Millares 2" xfId="1" xr:uid="{00000000-0005-0000-0000-000002000000}"/>
    <cellStyle name="Moneda" xfId="7" builtinId="4"/>
    <cellStyle name="Moneda 2" xfId="5" xr:uid="{00000000-0005-0000-0000-000004000000}"/>
    <cellStyle name="Normal" xfId="0" builtinId="0"/>
    <cellStyle name="Normal 2" xfId="4" xr:uid="{00000000-0005-0000-0000-000006000000}"/>
    <cellStyle name="Normal 2 2" xfId="2" xr:uid="{00000000-0005-0000-0000-000007000000}"/>
    <cellStyle name="Porcentaje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0</xdr:row>
      <xdr:rowOff>200025</xdr:rowOff>
    </xdr:from>
    <xdr:to>
      <xdr:col>10</xdr:col>
      <xdr:colOff>438150</xdr:colOff>
      <xdr:row>2</xdr:row>
      <xdr:rowOff>123825</xdr:rowOff>
    </xdr:to>
    <xdr:sp macro="[0]!Insertar" textlink="">
      <xdr:nvSpPr>
        <xdr:cNvPr id="4" name="Rectángulo: esquina doblad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868150" y="200025"/>
          <a:ext cx="304800" cy="381000"/>
        </a:xfrm>
        <a:prstGeom prst="foldedCorner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10</xdr:col>
      <xdr:colOff>457200</xdr:colOff>
      <xdr:row>0</xdr:row>
      <xdr:rowOff>209550</xdr:rowOff>
    </xdr:from>
    <xdr:to>
      <xdr:col>11</xdr:col>
      <xdr:colOff>1009650</xdr:colOff>
      <xdr:row>2</xdr:row>
      <xdr:rowOff>66675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2192000" y="209550"/>
          <a:ext cx="1600200" cy="3143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900" b="1">
              <a:latin typeface="Arial" panose="020B0604020202020204" pitchFamily="34" charset="0"/>
              <a:cs typeface="Arial" panose="020B0604020202020204" pitchFamily="34" charset="0"/>
            </a:rPr>
            <a:t>INSERTAR</a:t>
          </a:r>
          <a:r>
            <a:rPr lang="es-CO" sz="900" b="1" baseline="0">
              <a:latin typeface="Arial" panose="020B0604020202020204" pitchFamily="34" charset="0"/>
              <a:cs typeface="Arial" panose="020B0604020202020204" pitchFamily="34" charset="0"/>
            </a:rPr>
            <a:t> ACTIVIDAD</a:t>
          </a:r>
          <a:endParaRPr lang="es-CO" sz="1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809625</xdr:colOff>
      <xdr:row>0</xdr:row>
      <xdr:rowOff>47627</xdr:rowOff>
    </xdr:from>
    <xdr:to>
      <xdr:col>0</xdr:col>
      <xdr:colOff>2909745</xdr:colOff>
      <xdr:row>2</xdr:row>
      <xdr:rowOff>190501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57183A9-AD74-4CD3-8689-9B6454864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5" y="47627"/>
          <a:ext cx="2094405" cy="6000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sesorindustrial@grupoideasa.com" TargetMode="External"/><Relationship Id="rId1" Type="http://schemas.openxmlformats.org/officeDocument/2006/relationships/hyperlink" Target="mailto:Rgonzalez@gruposanpio.com%20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R96"/>
  <sheetViews>
    <sheetView showGridLines="0" tabSelected="1" zoomScale="80" zoomScaleNormal="80" zoomScaleSheetLayoutView="90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H77" sqref="H77:I77"/>
    </sheetView>
  </sheetViews>
  <sheetFormatPr baseColWidth="10" defaultColWidth="11.44140625" defaultRowHeight="11.4" x14ac:dyDescent="0.3"/>
  <cols>
    <col min="1" max="1" width="66.5546875" style="15" customWidth="1"/>
    <col min="2" max="3" width="9.44140625" style="15" customWidth="1"/>
    <col min="4" max="11" width="13.88671875" style="15" customWidth="1"/>
    <col min="12" max="13" width="15.6640625" style="15" hidden="1" customWidth="1"/>
    <col min="14" max="16" width="15.6640625" style="15" customWidth="1"/>
    <col min="17" max="17" width="11.44140625" style="15" hidden="1" customWidth="1"/>
    <col min="18" max="18" width="15" style="15" hidden="1" customWidth="1"/>
    <col min="19" max="16384" width="11.44140625" style="15"/>
  </cols>
  <sheetData>
    <row r="1" spans="1:18" s="3" customFormat="1" ht="18" customHeight="1" x14ac:dyDescent="0.3">
      <c r="A1" s="45"/>
      <c r="B1" s="46"/>
      <c r="C1" s="51" t="s">
        <v>0</v>
      </c>
      <c r="D1" s="52"/>
      <c r="E1" s="52"/>
      <c r="F1" s="52"/>
      <c r="G1" s="52"/>
      <c r="H1" s="52"/>
      <c r="I1" s="5" t="s">
        <v>1</v>
      </c>
      <c r="J1" s="2">
        <v>43655</v>
      </c>
    </row>
    <row r="2" spans="1:18" s="3" customFormat="1" ht="18" customHeight="1" x14ac:dyDescent="0.3">
      <c r="A2" s="47"/>
      <c r="B2" s="48"/>
      <c r="C2" s="52"/>
      <c r="D2" s="52"/>
      <c r="E2" s="52"/>
      <c r="F2" s="52"/>
      <c r="G2" s="52"/>
      <c r="H2" s="52"/>
      <c r="I2" s="5" t="s">
        <v>2</v>
      </c>
      <c r="J2" s="5" t="s">
        <v>3</v>
      </c>
    </row>
    <row r="3" spans="1:18" s="3" customFormat="1" ht="18" customHeight="1" x14ac:dyDescent="0.3">
      <c r="A3" s="49"/>
      <c r="B3" s="50"/>
      <c r="C3" s="52"/>
      <c r="D3" s="52"/>
      <c r="E3" s="52"/>
      <c r="F3" s="52"/>
      <c r="G3" s="52"/>
      <c r="H3" s="52"/>
      <c r="I3" s="5" t="s">
        <v>4</v>
      </c>
      <c r="J3" s="5">
        <v>1</v>
      </c>
    </row>
    <row r="4" spans="1:18" s="3" customFormat="1" ht="18" customHeight="1" x14ac:dyDescent="0.3">
      <c r="A4" s="37" t="s">
        <v>5</v>
      </c>
      <c r="B4" s="37"/>
      <c r="C4" s="37" t="s">
        <v>6</v>
      </c>
      <c r="D4" s="37"/>
      <c r="E4" s="5" t="s">
        <v>7</v>
      </c>
      <c r="F4" s="43" t="s">
        <v>8</v>
      </c>
      <c r="G4" s="44"/>
      <c r="H4" s="58"/>
      <c r="I4" s="5" t="s">
        <v>9</v>
      </c>
      <c r="J4" s="2"/>
    </row>
    <row r="5" spans="1:18" s="3" customFormat="1" ht="13.2" x14ac:dyDescent="0.3">
      <c r="A5" s="32"/>
      <c r="B5" s="32"/>
      <c r="C5" s="32"/>
      <c r="D5" s="32"/>
      <c r="E5" s="32"/>
      <c r="F5" s="32"/>
      <c r="G5" s="32"/>
      <c r="H5" s="32"/>
      <c r="I5" s="32"/>
      <c r="J5" s="32"/>
    </row>
    <row r="6" spans="1:18" ht="27" customHeight="1" x14ac:dyDescent="0.3">
      <c r="A6" s="13" t="s">
        <v>10</v>
      </c>
      <c r="B6" s="33" t="s">
        <v>47</v>
      </c>
      <c r="C6" s="34"/>
      <c r="D6" s="34"/>
      <c r="E6" s="13" t="s">
        <v>11</v>
      </c>
      <c r="F6" s="35"/>
      <c r="G6" s="36"/>
      <c r="H6" s="36"/>
      <c r="I6" s="13" t="s">
        <v>12</v>
      </c>
      <c r="J6" s="37"/>
      <c r="K6" s="37"/>
      <c r="L6" s="37"/>
      <c r="M6" s="37"/>
      <c r="N6" s="6"/>
      <c r="O6" s="65"/>
      <c r="P6" s="65"/>
    </row>
    <row r="7" spans="1:18" ht="13.2" x14ac:dyDescent="0.3">
      <c r="A7" s="13" t="s">
        <v>13</v>
      </c>
      <c r="B7" s="34" t="s">
        <v>48</v>
      </c>
      <c r="C7" s="34"/>
      <c r="D7" s="34"/>
      <c r="E7" s="34"/>
      <c r="F7" s="13" t="s">
        <v>14</v>
      </c>
      <c r="G7" s="34" t="s">
        <v>49</v>
      </c>
      <c r="H7" s="34"/>
      <c r="I7" s="34"/>
      <c r="J7" s="34"/>
      <c r="K7" s="34"/>
      <c r="L7" s="34"/>
      <c r="M7" s="34"/>
      <c r="N7" s="1"/>
    </row>
    <row r="8" spans="1:18" ht="13.2" x14ac:dyDescent="0.3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16"/>
    </row>
    <row r="9" spans="1:18" ht="15" customHeight="1" x14ac:dyDescent="0.3">
      <c r="A9" s="39" t="s">
        <v>15</v>
      </c>
      <c r="B9" s="39"/>
      <c r="C9" s="39"/>
      <c r="D9" s="40" t="s">
        <v>46</v>
      </c>
      <c r="E9" s="40"/>
      <c r="F9" s="40"/>
      <c r="G9" s="40"/>
      <c r="H9" s="40"/>
      <c r="I9" s="40"/>
      <c r="J9" s="40"/>
      <c r="K9" s="40"/>
      <c r="L9" s="40"/>
      <c r="M9" s="40"/>
      <c r="N9" s="1"/>
    </row>
    <row r="10" spans="1:18" s="17" customFormat="1" ht="12" x14ac:dyDescent="0.3">
      <c r="A10" s="41" t="s">
        <v>16</v>
      </c>
      <c r="B10" s="42" t="s">
        <v>17</v>
      </c>
      <c r="C10" s="42" t="s">
        <v>18</v>
      </c>
      <c r="D10" s="41" t="s">
        <v>99</v>
      </c>
      <c r="E10" s="41"/>
      <c r="F10" s="41" t="s">
        <v>100</v>
      </c>
      <c r="G10" s="41"/>
      <c r="H10" s="41" t="s">
        <v>101</v>
      </c>
      <c r="I10" s="41"/>
      <c r="J10" s="41"/>
      <c r="K10" s="41"/>
      <c r="L10" s="41"/>
      <c r="M10" s="41"/>
      <c r="N10" s="41" t="s">
        <v>19</v>
      </c>
      <c r="O10" s="41"/>
      <c r="P10" s="41"/>
    </row>
    <row r="11" spans="1:18" s="17" customFormat="1" ht="12" x14ac:dyDescent="0.3">
      <c r="A11" s="41"/>
      <c r="B11" s="42"/>
      <c r="C11" s="42"/>
      <c r="D11" s="11" t="s">
        <v>20</v>
      </c>
      <c r="E11" s="11" t="s">
        <v>21</v>
      </c>
      <c r="F11" s="11" t="s">
        <v>20</v>
      </c>
      <c r="G11" s="11" t="s">
        <v>21</v>
      </c>
      <c r="H11" s="11" t="s">
        <v>20</v>
      </c>
      <c r="I11" s="11" t="s">
        <v>21</v>
      </c>
      <c r="J11" s="11" t="s">
        <v>20</v>
      </c>
      <c r="K11" s="11" t="s">
        <v>21</v>
      </c>
      <c r="L11" s="11" t="s">
        <v>20</v>
      </c>
      <c r="M11" s="11" t="s">
        <v>21</v>
      </c>
      <c r="N11" s="11" t="s">
        <v>22</v>
      </c>
      <c r="O11" s="11" t="s">
        <v>23</v>
      </c>
      <c r="P11" s="11" t="s">
        <v>21</v>
      </c>
      <c r="R11" s="18"/>
    </row>
    <row r="12" spans="1:18" ht="18.600000000000001" customHeight="1" x14ac:dyDescent="0.3">
      <c r="A12" s="9" t="s">
        <v>50</v>
      </c>
      <c r="B12" s="7">
        <v>1</v>
      </c>
      <c r="C12" s="7" t="s">
        <v>18</v>
      </c>
      <c r="D12" s="4">
        <v>150995</v>
      </c>
      <c r="E12" s="12">
        <f>+D12*B12</f>
        <v>150995</v>
      </c>
      <c r="F12" s="4">
        <v>143445</v>
      </c>
      <c r="G12" s="12">
        <f t="shared" ref="G12:G25" si="0">B12*F12</f>
        <v>143445</v>
      </c>
      <c r="H12" s="8">
        <v>127666</v>
      </c>
      <c r="I12" s="12">
        <f t="shared" ref="I12:I25" si="1">H12*B12</f>
        <v>127666</v>
      </c>
      <c r="J12" s="8"/>
      <c r="K12" s="12">
        <f t="shared" ref="K12:K15" si="2">J12*B12</f>
        <v>0</v>
      </c>
      <c r="L12" s="4"/>
      <c r="M12" s="12">
        <f t="shared" ref="M12:M16" si="3">L12*B12</f>
        <v>0</v>
      </c>
      <c r="N12" s="14" t="str">
        <f>+HLOOKUP(O12,A12:M83,Q12,FALSE)</f>
        <v>SAN PIO</v>
      </c>
      <c r="O12" s="4">
        <f>+MIN(D12,F12,H12,J12,L12)</f>
        <v>127666</v>
      </c>
      <c r="P12" s="4">
        <f>O12*B12</f>
        <v>127666</v>
      </c>
      <c r="Q12" s="15">
        <f>+COUNT(R12:R83)</f>
        <v>72</v>
      </c>
      <c r="R12" s="19">
        <v>1</v>
      </c>
    </row>
    <row r="13" spans="1:18" ht="18.600000000000001" customHeight="1" x14ac:dyDescent="0.3">
      <c r="A13" s="9" t="s">
        <v>51</v>
      </c>
      <c r="B13" s="7">
        <v>1</v>
      </c>
      <c r="C13" s="7" t="s">
        <v>18</v>
      </c>
      <c r="D13" s="4">
        <v>418579</v>
      </c>
      <c r="E13" s="12">
        <f t="shared" ref="E13:E25" si="4">+D13*B13</f>
        <v>418579</v>
      </c>
      <c r="F13" s="4">
        <v>397650</v>
      </c>
      <c r="G13" s="12">
        <v>0</v>
      </c>
      <c r="H13" s="8">
        <v>353908</v>
      </c>
      <c r="I13" s="12">
        <f t="shared" si="1"/>
        <v>353908</v>
      </c>
      <c r="J13" s="8"/>
      <c r="K13" s="12">
        <f t="shared" si="2"/>
        <v>0</v>
      </c>
      <c r="L13" s="4"/>
      <c r="M13" s="12">
        <f t="shared" si="3"/>
        <v>0</v>
      </c>
      <c r="N13" s="14" t="str">
        <f>+HLOOKUP(O13,A13:M84,Q13,FALSE)</f>
        <v>SAN PIO</v>
      </c>
      <c r="O13" s="4">
        <f t="shared" ref="O13:O24" si="5">+MIN(D13,F13,H13,J13,L13)</f>
        <v>353908</v>
      </c>
      <c r="P13" s="4">
        <f t="shared" ref="P13:P24" si="6">O13*B13</f>
        <v>353908</v>
      </c>
      <c r="Q13" s="15">
        <f t="shared" ref="Q13:Q76" si="7">+COUNT(R13:R84)</f>
        <v>71</v>
      </c>
      <c r="R13" s="19">
        <v>2</v>
      </c>
    </row>
    <row r="14" spans="1:18" ht="18.600000000000001" customHeight="1" x14ac:dyDescent="0.3">
      <c r="A14" s="9" t="s">
        <v>52</v>
      </c>
      <c r="B14" s="7">
        <v>1</v>
      </c>
      <c r="C14" s="7" t="s">
        <v>18</v>
      </c>
      <c r="D14" s="4">
        <v>166878</v>
      </c>
      <c r="E14" s="12">
        <f>+D14*B14</f>
        <v>166878</v>
      </c>
      <c r="F14" s="4">
        <v>158534</v>
      </c>
      <c r="G14" s="12">
        <f t="shared" si="0"/>
        <v>158534</v>
      </c>
      <c r="H14" s="8">
        <v>167529</v>
      </c>
      <c r="I14" s="12">
        <f t="shared" si="1"/>
        <v>167529</v>
      </c>
      <c r="J14" s="8"/>
      <c r="K14" s="12">
        <f t="shared" si="2"/>
        <v>0</v>
      </c>
      <c r="L14" s="4"/>
      <c r="M14" s="12">
        <f t="shared" si="3"/>
        <v>0</v>
      </c>
      <c r="N14" s="14" t="str">
        <f>+HLOOKUP(O14,A14:M85,Q14,FALSE)</f>
        <v>PINTURAS INDUSTRIALES</v>
      </c>
      <c r="O14" s="4">
        <f t="shared" si="5"/>
        <v>158534</v>
      </c>
      <c r="P14" s="4">
        <f t="shared" si="6"/>
        <v>158534</v>
      </c>
      <c r="Q14" s="15">
        <f t="shared" si="7"/>
        <v>70</v>
      </c>
      <c r="R14" s="19">
        <v>3</v>
      </c>
    </row>
    <row r="15" spans="1:18" ht="18.600000000000001" customHeight="1" x14ac:dyDescent="0.3">
      <c r="A15" s="9" t="s">
        <v>53</v>
      </c>
      <c r="B15" s="7">
        <v>1</v>
      </c>
      <c r="C15" s="7" t="s">
        <v>18</v>
      </c>
      <c r="D15" s="4">
        <v>174882</v>
      </c>
      <c r="E15" s="12">
        <f t="shared" si="4"/>
        <v>174882</v>
      </c>
      <c r="F15" s="4">
        <v>166138</v>
      </c>
      <c r="G15" s="12">
        <f t="shared" si="0"/>
        <v>166138</v>
      </c>
      <c r="H15" s="8">
        <v>147862</v>
      </c>
      <c r="I15" s="12">
        <f t="shared" si="1"/>
        <v>147862</v>
      </c>
      <c r="J15" s="8"/>
      <c r="K15" s="12">
        <f t="shared" si="2"/>
        <v>0</v>
      </c>
      <c r="L15" s="4"/>
      <c r="M15" s="12">
        <f t="shared" si="3"/>
        <v>0</v>
      </c>
      <c r="N15" s="14" t="str">
        <f>+HLOOKUP(O15,A15:M87,Q15,FALSE)</f>
        <v>SAN PIO</v>
      </c>
      <c r="O15" s="4">
        <f t="shared" si="5"/>
        <v>147862</v>
      </c>
      <c r="P15" s="4">
        <f t="shared" si="6"/>
        <v>147862</v>
      </c>
      <c r="Q15" s="15">
        <f t="shared" si="7"/>
        <v>69</v>
      </c>
      <c r="R15" s="19">
        <v>4</v>
      </c>
    </row>
    <row r="16" spans="1:18" ht="18.600000000000001" customHeight="1" x14ac:dyDescent="0.3">
      <c r="A16" s="9" t="s">
        <v>54</v>
      </c>
      <c r="B16" s="7">
        <v>1</v>
      </c>
      <c r="C16" s="7" t="s">
        <v>18</v>
      </c>
      <c r="D16" s="4">
        <v>157453</v>
      </c>
      <c r="E16" s="12">
        <f t="shared" si="4"/>
        <v>157453</v>
      </c>
      <c r="F16" s="4">
        <v>149580</v>
      </c>
      <c r="G16" s="12">
        <f t="shared" si="0"/>
        <v>149580</v>
      </c>
      <c r="H16" s="8">
        <v>149933</v>
      </c>
      <c r="I16" s="12">
        <f t="shared" si="1"/>
        <v>149933</v>
      </c>
      <c r="J16" s="8"/>
      <c r="K16" s="12">
        <f t="shared" ref="K16:K25" si="8">+J16*B16</f>
        <v>0</v>
      </c>
      <c r="L16" s="4"/>
      <c r="M16" s="12">
        <f t="shared" si="3"/>
        <v>0</v>
      </c>
      <c r="N16" s="14" t="str">
        <f>+HLOOKUP(O16,A16:M88,Q16,FALSE)</f>
        <v>PINTURAS INDUSTRIALES</v>
      </c>
      <c r="O16" s="4">
        <f t="shared" si="5"/>
        <v>149580</v>
      </c>
      <c r="P16" s="4">
        <f t="shared" si="6"/>
        <v>149580</v>
      </c>
      <c r="Q16" s="15">
        <f t="shared" si="7"/>
        <v>68</v>
      </c>
      <c r="R16" s="19">
        <v>5</v>
      </c>
    </row>
    <row r="17" spans="1:18" ht="18.600000000000001" customHeight="1" x14ac:dyDescent="0.3">
      <c r="A17" s="9" t="s">
        <v>55</v>
      </c>
      <c r="B17" s="7">
        <v>1</v>
      </c>
      <c r="C17" s="7" t="s">
        <v>18</v>
      </c>
      <c r="D17" s="4">
        <v>87969</v>
      </c>
      <c r="E17" s="12">
        <f t="shared" si="4"/>
        <v>87969</v>
      </c>
      <c r="F17" s="4">
        <v>83571</v>
      </c>
      <c r="G17" s="12">
        <f t="shared" si="0"/>
        <v>83571</v>
      </c>
      <c r="H17" s="8">
        <v>74377</v>
      </c>
      <c r="I17" s="12">
        <f t="shared" si="1"/>
        <v>74377</v>
      </c>
      <c r="J17" s="8"/>
      <c r="K17" s="12">
        <f t="shared" si="8"/>
        <v>0</v>
      </c>
      <c r="L17" s="4"/>
      <c r="M17" s="12">
        <f t="shared" ref="M17:M25" si="9">L17*B17</f>
        <v>0</v>
      </c>
      <c r="N17" s="14" t="str">
        <f>+HLOOKUP(O17,A17:M90,Q17,FALSE)</f>
        <v>SAN PIO</v>
      </c>
      <c r="O17" s="4">
        <f t="shared" si="5"/>
        <v>74377</v>
      </c>
      <c r="P17" s="4">
        <f t="shared" si="6"/>
        <v>74377</v>
      </c>
      <c r="Q17" s="15">
        <f t="shared" si="7"/>
        <v>67</v>
      </c>
      <c r="R17" s="19">
        <v>6</v>
      </c>
    </row>
    <row r="18" spans="1:18" ht="18.600000000000001" customHeight="1" x14ac:dyDescent="0.3">
      <c r="A18" s="9" t="s">
        <v>56</v>
      </c>
      <c r="B18" s="7">
        <v>1</v>
      </c>
      <c r="C18" s="7" t="s">
        <v>18</v>
      </c>
      <c r="D18" s="4">
        <v>99867</v>
      </c>
      <c r="E18" s="12">
        <f t="shared" si="4"/>
        <v>99867</v>
      </c>
      <c r="F18" s="4">
        <v>94874</v>
      </c>
      <c r="G18" s="12">
        <f t="shared" si="0"/>
        <v>94874</v>
      </c>
      <c r="H18" s="8">
        <v>84438</v>
      </c>
      <c r="I18" s="12">
        <f t="shared" si="1"/>
        <v>84438</v>
      </c>
      <c r="J18" s="8"/>
      <c r="K18" s="12">
        <f t="shared" si="8"/>
        <v>0</v>
      </c>
      <c r="L18" s="4"/>
      <c r="M18" s="12">
        <f t="shared" si="9"/>
        <v>0</v>
      </c>
      <c r="N18" s="14" t="str">
        <f>+HLOOKUP(O18,A18:M91,Q18,FALSE)</f>
        <v>SAN PIO</v>
      </c>
      <c r="O18" s="4">
        <f t="shared" si="5"/>
        <v>84438</v>
      </c>
      <c r="P18" s="4">
        <f t="shared" si="6"/>
        <v>84438</v>
      </c>
      <c r="Q18" s="15">
        <f t="shared" si="7"/>
        <v>66</v>
      </c>
      <c r="R18" s="19">
        <v>7</v>
      </c>
    </row>
    <row r="19" spans="1:18" ht="18.600000000000001" customHeight="1" x14ac:dyDescent="0.3">
      <c r="A19" s="9" t="s">
        <v>57</v>
      </c>
      <c r="B19" s="7">
        <v>1</v>
      </c>
      <c r="C19" s="7" t="s">
        <v>18</v>
      </c>
      <c r="D19" s="4">
        <v>113136</v>
      </c>
      <c r="E19" s="12">
        <f t="shared" si="4"/>
        <v>113136</v>
      </c>
      <c r="F19" s="4">
        <v>107479</v>
      </c>
      <c r="G19" s="12">
        <f t="shared" si="0"/>
        <v>107479</v>
      </c>
      <c r="H19" s="8">
        <v>95655</v>
      </c>
      <c r="I19" s="12">
        <f t="shared" si="1"/>
        <v>95655</v>
      </c>
      <c r="J19" s="8"/>
      <c r="K19" s="12">
        <f t="shared" si="8"/>
        <v>0</v>
      </c>
      <c r="L19" s="4"/>
      <c r="M19" s="12">
        <f t="shared" si="9"/>
        <v>0</v>
      </c>
      <c r="N19" s="14" t="str">
        <f>+HLOOKUP(O19,A19:M92,Q19,FALSE)</f>
        <v>SAN PIO</v>
      </c>
      <c r="O19" s="4">
        <f t="shared" si="5"/>
        <v>95655</v>
      </c>
      <c r="P19" s="4">
        <f t="shared" si="6"/>
        <v>95655</v>
      </c>
      <c r="Q19" s="15">
        <f t="shared" si="7"/>
        <v>65</v>
      </c>
      <c r="R19" s="19">
        <v>8</v>
      </c>
    </row>
    <row r="20" spans="1:18" ht="18.600000000000001" customHeight="1" x14ac:dyDescent="0.3">
      <c r="A20" s="9" t="s">
        <v>58</v>
      </c>
      <c r="B20" s="7">
        <v>1</v>
      </c>
      <c r="C20" s="7" t="s">
        <v>18</v>
      </c>
      <c r="D20" s="4">
        <v>99867</v>
      </c>
      <c r="E20" s="12">
        <f t="shared" si="4"/>
        <v>99867</v>
      </c>
      <c r="F20" s="4"/>
      <c r="G20" s="12">
        <f t="shared" si="0"/>
        <v>0</v>
      </c>
      <c r="H20" s="8">
        <v>84438</v>
      </c>
      <c r="I20" s="12">
        <f t="shared" si="1"/>
        <v>84438</v>
      </c>
      <c r="J20" s="8"/>
      <c r="K20" s="12">
        <f t="shared" si="8"/>
        <v>0</v>
      </c>
      <c r="L20" s="4"/>
      <c r="M20" s="12">
        <f t="shared" si="9"/>
        <v>0</v>
      </c>
      <c r="N20" s="14" t="str">
        <f>+HLOOKUP(O20,A20:M93,Q20,FALSE)</f>
        <v>SAN PIO</v>
      </c>
      <c r="O20" s="4">
        <f t="shared" ref="O20" si="10">+MIN(D20,F20,H20,J20,L20)</f>
        <v>84438</v>
      </c>
      <c r="P20" s="4">
        <f t="shared" ref="P20" si="11">O20*B20</f>
        <v>84438</v>
      </c>
      <c r="Q20" s="15">
        <f t="shared" si="7"/>
        <v>64</v>
      </c>
      <c r="R20" s="19">
        <v>9</v>
      </c>
    </row>
    <row r="21" spans="1:18" ht="18.600000000000001" customHeight="1" x14ac:dyDescent="0.3">
      <c r="A21" s="9" t="s">
        <v>59</v>
      </c>
      <c r="B21" s="7">
        <v>1</v>
      </c>
      <c r="C21" s="7" t="s">
        <v>18</v>
      </c>
      <c r="D21" s="4">
        <v>99867</v>
      </c>
      <c r="E21" s="12">
        <f t="shared" si="4"/>
        <v>99867</v>
      </c>
      <c r="F21" s="4">
        <v>94874</v>
      </c>
      <c r="G21" s="12">
        <f t="shared" si="0"/>
        <v>94874</v>
      </c>
      <c r="H21" s="8">
        <v>84438</v>
      </c>
      <c r="I21" s="12">
        <f t="shared" si="1"/>
        <v>84438</v>
      </c>
      <c r="J21" s="8"/>
      <c r="K21" s="12">
        <f t="shared" si="8"/>
        <v>0</v>
      </c>
      <c r="L21" s="4"/>
      <c r="M21" s="12">
        <f t="shared" si="9"/>
        <v>0</v>
      </c>
      <c r="N21" s="14" t="str">
        <f>+HLOOKUP(O21,A21:M93,Q21,FALSE)</f>
        <v>SAN PIO</v>
      </c>
      <c r="O21" s="4">
        <f t="shared" ref="O21" si="12">+MIN(D21,F21,H21,J21,L21)</f>
        <v>84438</v>
      </c>
      <c r="P21" s="4">
        <f t="shared" ref="P21" si="13">O21*B21</f>
        <v>84438</v>
      </c>
      <c r="Q21" s="15">
        <f t="shared" si="7"/>
        <v>63</v>
      </c>
      <c r="R21" s="19">
        <v>10</v>
      </c>
    </row>
    <row r="22" spans="1:18" ht="18.600000000000001" customHeight="1" x14ac:dyDescent="0.3">
      <c r="A22" s="9" t="s">
        <v>60</v>
      </c>
      <c r="B22" s="7">
        <v>1</v>
      </c>
      <c r="C22" s="7" t="s">
        <v>18</v>
      </c>
      <c r="D22" s="4">
        <f>194718+33852</f>
        <v>228570</v>
      </c>
      <c r="E22" s="12">
        <f t="shared" si="4"/>
        <v>228570</v>
      </c>
      <c r="F22" s="4">
        <f>184982+32159</f>
        <v>217141</v>
      </c>
      <c r="G22" s="12">
        <f t="shared" si="0"/>
        <v>217141</v>
      </c>
      <c r="H22" s="8">
        <v>193255</v>
      </c>
      <c r="I22" s="12">
        <f t="shared" si="1"/>
        <v>193255</v>
      </c>
      <c r="J22" s="8"/>
      <c r="K22" s="12">
        <f t="shared" si="8"/>
        <v>0</v>
      </c>
      <c r="L22" s="4"/>
      <c r="M22" s="12">
        <f t="shared" si="9"/>
        <v>0</v>
      </c>
      <c r="N22" s="14" t="str">
        <f>+HLOOKUP(O22,A22:M93,Q22,FALSE)</f>
        <v>SAN PIO</v>
      </c>
      <c r="O22" s="4">
        <f t="shared" ref="O22" si="14">+MIN(D22,F22,H22,J22,L22)</f>
        <v>193255</v>
      </c>
      <c r="P22" s="4">
        <f t="shared" ref="P22" si="15">O22*B22</f>
        <v>193255</v>
      </c>
      <c r="Q22" s="15">
        <f t="shared" si="7"/>
        <v>62</v>
      </c>
      <c r="R22" s="19">
        <v>11</v>
      </c>
    </row>
    <row r="23" spans="1:18" ht="18.600000000000001" customHeight="1" x14ac:dyDescent="0.3">
      <c r="A23" s="9" t="s">
        <v>61</v>
      </c>
      <c r="B23" s="7">
        <v>1</v>
      </c>
      <c r="C23" s="7" t="s">
        <v>18</v>
      </c>
      <c r="D23" s="4">
        <f>194718+33852</f>
        <v>228570</v>
      </c>
      <c r="E23" s="12">
        <f t="shared" si="4"/>
        <v>228570</v>
      </c>
      <c r="F23" s="4">
        <f t="shared" ref="F23:F25" si="16">184982+32159</f>
        <v>217141</v>
      </c>
      <c r="G23" s="12">
        <f t="shared" si="0"/>
        <v>217141</v>
      </c>
      <c r="H23" s="8">
        <v>193255</v>
      </c>
      <c r="I23" s="12">
        <f t="shared" si="1"/>
        <v>193255</v>
      </c>
      <c r="J23" s="8"/>
      <c r="K23" s="12">
        <f t="shared" si="8"/>
        <v>0</v>
      </c>
      <c r="L23" s="4"/>
      <c r="M23" s="12">
        <f t="shared" si="9"/>
        <v>0</v>
      </c>
      <c r="N23" s="14" t="str">
        <f>+HLOOKUP(O23,A23:M93,Q23,FALSE)</f>
        <v>SAN PIO</v>
      </c>
      <c r="O23" s="4">
        <f t="shared" ref="O23" si="17">+MIN(D23,F23,H23,J23,L23)</f>
        <v>193255</v>
      </c>
      <c r="P23" s="4">
        <f t="shared" ref="P23" si="18">O23*B23</f>
        <v>193255</v>
      </c>
      <c r="Q23" s="15">
        <f t="shared" si="7"/>
        <v>61</v>
      </c>
      <c r="R23" s="19">
        <v>12</v>
      </c>
    </row>
    <row r="24" spans="1:18" ht="18.600000000000001" customHeight="1" x14ac:dyDescent="0.3">
      <c r="A24" s="9" t="s">
        <v>62</v>
      </c>
      <c r="B24" s="7">
        <v>1</v>
      </c>
      <c r="C24" s="7" t="s">
        <v>18</v>
      </c>
      <c r="D24" s="4">
        <f>194718+33852</f>
        <v>228570</v>
      </c>
      <c r="E24" s="12">
        <f t="shared" si="4"/>
        <v>228570</v>
      </c>
      <c r="F24" s="4">
        <f t="shared" si="16"/>
        <v>217141</v>
      </c>
      <c r="G24" s="12">
        <f t="shared" si="0"/>
        <v>217141</v>
      </c>
      <c r="H24" s="8">
        <v>193255</v>
      </c>
      <c r="I24" s="12">
        <f t="shared" si="1"/>
        <v>193255</v>
      </c>
      <c r="J24" s="8"/>
      <c r="K24" s="12">
        <f t="shared" si="8"/>
        <v>0</v>
      </c>
      <c r="L24" s="4"/>
      <c r="M24" s="12">
        <f t="shared" si="9"/>
        <v>0</v>
      </c>
      <c r="N24" s="14" t="str">
        <f t="shared" ref="N24:N44" si="19">+HLOOKUP(O24,A24:M92,Q24,FALSE)</f>
        <v>SAN PIO</v>
      </c>
      <c r="O24" s="4">
        <f t="shared" si="5"/>
        <v>193255</v>
      </c>
      <c r="P24" s="4">
        <f t="shared" si="6"/>
        <v>193255</v>
      </c>
      <c r="Q24" s="15">
        <f t="shared" si="7"/>
        <v>60</v>
      </c>
      <c r="R24" s="19">
        <v>13</v>
      </c>
    </row>
    <row r="25" spans="1:18" ht="18.600000000000001" customHeight="1" x14ac:dyDescent="0.3">
      <c r="A25" s="9" t="s">
        <v>63</v>
      </c>
      <c r="B25" s="7">
        <v>1</v>
      </c>
      <c r="C25" s="7" t="s">
        <v>18</v>
      </c>
      <c r="D25" s="4">
        <f>194718+33852</f>
        <v>228570</v>
      </c>
      <c r="E25" s="12">
        <f t="shared" si="4"/>
        <v>228570</v>
      </c>
      <c r="F25" s="4">
        <f t="shared" si="16"/>
        <v>217141</v>
      </c>
      <c r="G25" s="12">
        <f t="shared" si="0"/>
        <v>217141</v>
      </c>
      <c r="H25" s="8">
        <v>193255</v>
      </c>
      <c r="I25" s="12">
        <f t="shared" si="1"/>
        <v>193255</v>
      </c>
      <c r="J25" s="8"/>
      <c r="K25" s="12">
        <f t="shared" si="8"/>
        <v>0</v>
      </c>
      <c r="L25" s="4"/>
      <c r="M25" s="12">
        <f t="shared" si="9"/>
        <v>0</v>
      </c>
      <c r="N25" s="14" t="str">
        <f t="shared" si="19"/>
        <v>SAN PIO</v>
      </c>
      <c r="O25" s="4">
        <f t="shared" ref="O25" si="20">+MIN(D25,F25,H25,J25,L25)</f>
        <v>193255</v>
      </c>
      <c r="P25" s="4">
        <f t="shared" ref="P25" si="21">O25*B25</f>
        <v>193255</v>
      </c>
      <c r="Q25" s="15">
        <f t="shared" si="7"/>
        <v>59</v>
      </c>
      <c r="R25" s="19">
        <v>14</v>
      </c>
    </row>
    <row r="26" spans="1:18" ht="18.600000000000001" customHeight="1" x14ac:dyDescent="0.3">
      <c r="A26" s="9" t="s">
        <v>64</v>
      </c>
      <c r="B26" s="7">
        <v>1</v>
      </c>
      <c r="C26" s="7" t="s">
        <v>18</v>
      </c>
      <c r="D26" s="4">
        <v>579431</v>
      </c>
      <c r="E26" s="12">
        <f t="shared" ref="E26:E70" si="22">+D26*B26</f>
        <v>579431</v>
      </c>
      <c r="F26" s="4">
        <v>550459</v>
      </c>
      <c r="G26" s="12">
        <f t="shared" ref="G26:G70" si="23">B26*F26</f>
        <v>550459</v>
      </c>
      <c r="H26" s="8">
        <v>489908</v>
      </c>
      <c r="I26" s="12">
        <f t="shared" ref="I26:I70" si="24">H26*B26</f>
        <v>489908</v>
      </c>
      <c r="J26" s="8"/>
      <c r="K26" s="12">
        <f t="shared" ref="K26:K70" si="25">+J26*B26</f>
        <v>0</v>
      </c>
      <c r="L26" s="4"/>
      <c r="M26" s="12">
        <f t="shared" ref="M26:M70" si="26">L26*B26</f>
        <v>0</v>
      </c>
      <c r="N26" s="14" t="str">
        <f t="shared" si="19"/>
        <v>SAN PIO</v>
      </c>
      <c r="O26" s="4">
        <f t="shared" ref="O26" si="27">+MIN(D26,F26,H26,J26,L26)</f>
        <v>489908</v>
      </c>
      <c r="P26" s="4">
        <f t="shared" ref="P26" si="28">O26*B26</f>
        <v>489908</v>
      </c>
      <c r="Q26" s="15">
        <f t="shared" si="7"/>
        <v>58</v>
      </c>
      <c r="R26" s="19">
        <v>15</v>
      </c>
    </row>
    <row r="27" spans="1:18" ht="18.600000000000001" customHeight="1" x14ac:dyDescent="0.3">
      <c r="A27" s="9" t="s">
        <v>65</v>
      </c>
      <c r="B27" s="7">
        <v>1</v>
      </c>
      <c r="C27" s="7" t="s">
        <v>18</v>
      </c>
      <c r="D27" s="4">
        <v>413014</v>
      </c>
      <c r="E27" s="12">
        <f t="shared" si="22"/>
        <v>413014</v>
      </c>
      <c r="F27" s="4">
        <v>443613</v>
      </c>
      <c r="G27" s="12">
        <f t="shared" si="23"/>
        <v>443613</v>
      </c>
      <c r="H27" s="8">
        <v>367582</v>
      </c>
      <c r="I27" s="12">
        <f t="shared" si="24"/>
        <v>367582</v>
      </c>
      <c r="J27" s="8"/>
      <c r="K27" s="12">
        <f t="shared" si="25"/>
        <v>0</v>
      </c>
      <c r="L27" s="4"/>
      <c r="M27" s="12">
        <f t="shared" si="26"/>
        <v>0</v>
      </c>
      <c r="N27" s="14" t="str">
        <f t="shared" si="19"/>
        <v>SAN PIO</v>
      </c>
      <c r="O27" s="4">
        <f t="shared" ref="O27:O70" si="29">+MIN(D27,F27,H27,J27,L27)</f>
        <v>367582</v>
      </c>
      <c r="P27" s="4">
        <f t="shared" ref="P27:P70" si="30">O27*B27</f>
        <v>367582</v>
      </c>
      <c r="Q27" s="15">
        <f t="shared" si="7"/>
        <v>57</v>
      </c>
      <c r="R27" s="19">
        <v>16</v>
      </c>
    </row>
    <row r="28" spans="1:18" ht="18.600000000000001" customHeight="1" x14ac:dyDescent="0.3">
      <c r="A28" s="9" t="s">
        <v>66</v>
      </c>
      <c r="B28" s="7">
        <v>1</v>
      </c>
      <c r="C28" s="7" t="s">
        <v>18</v>
      </c>
      <c r="D28" s="4">
        <v>242431</v>
      </c>
      <c r="E28" s="12">
        <f t="shared" si="22"/>
        <v>242431</v>
      </c>
      <c r="F28" s="4">
        <v>192000</v>
      </c>
      <c r="G28" s="12">
        <f t="shared" si="23"/>
        <v>192000</v>
      </c>
      <c r="H28" s="8">
        <v>204975</v>
      </c>
      <c r="I28" s="12">
        <f t="shared" si="24"/>
        <v>204975</v>
      </c>
      <c r="J28" s="8"/>
      <c r="K28" s="12">
        <f t="shared" si="25"/>
        <v>0</v>
      </c>
      <c r="L28" s="4"/>
      <c r="M28" s="12">
        <f t="shared" si="26"/>
        <v>0</v>
      </c>
      <c r="N28" s="14" t="str">
        <f t="shared" si="19"/>
        <v>PINTURAS INDUSTRIALES</v>
      </c>
      <c r="O28" s="4">
        <f t="shared" si="29"/>
        <v>192000</v>
      </c>
      <c r="P28" s="4">
        <f t="shared" si="30"/>
        <v>192000</v>
      </c>
      <c r="Q28" s="15">
        <f t="shared" si="7"/>
        <v>56</v>
      </c>
      <c r="R28" s="19">
        <v>17</v>
      </c>
    </row>
    <row r="29" spans="1:18" ht="18.600000000000001" customHeight="1" x14ac:dyDescent="0.3">
      <c r="A29" s="9" t="s">
        <v>67</v>
      </c>
      <c r="B29" s="7">
        <v>1</v>
      </c>
      <c r="C29" s="7" t="s">
        <v>18</v>
      </c>
      <c r="D29" s="4">
        <v>242431</v>
      </c>
      <c r="E29" s="12">
        <f t="shared" si="22"/>
        <v>242431</v>
      </c>
      <c r="F29" s="4">
        <v>51492</v>
      </c>
      <c r="G29" s="12">
        <f t="shared" si="23"/>
        <v>51492</v>
      </c>
      <c r="H29" s="8">
        <v>204975</v>
      </c>
      <c r="I29" s="12">
        <f t="shared" si="24"/>
        <v>204975</v>
      </c>
      <c r="J29" s="8"/>
      <c r="K29" s="12">
        <f t="shared" si="25"/>
        <v>0</v>
      </c>
      <c r="L29" s="4"/>
      <c r="M29" s="12">
        <f t="shared" si="26"/>
        <v>0</v>
      </c>
      <c r="N29" s="14" t="str">
        <f t="shared" si="19"/>
        <v>PINTURAS INDUSTRIALES</v>
      </c>
      <c r="O29" s="4">
        <f t="shared" si="29"/>
        <v>51492</v>
      </c>
      <c r="P29" s="4">
        <f t="shared" si="30"/>
        <v>51492</v>
      </c>
      <c r="Q29" s="15">
        <f t="shared" si="7"/>
        <v>55</v>
      </c>
      <c r="R29" s="19">
        <v>18</v>
      </c>
    </row>
    <row r="30" spans="1:18" ht="18.600000000000001" customHeight="1" x14ac:dyDescent="0.3">
      <c r="A30" s="9" t="s">
        <v>68</v>
      </c>
      <c r="B30" s="7">
        <v>1</v>
      </c>
      <c r="C30" s="7" t="s">
        <v>18</v>
      </c>
      <c r="D30" s="4">
        <v>159603</v>
      </c>
      <c r="E30" s="12">
        <f t="shared" si="22"/>
        <v>159603</v>
      </c>
      <c r="F30" s="4">
        <v>151623</v>
      </c>
      <c r="G30" s="12">
        <f t="shared" si="23"/>
        <v>151623</v>
      </c>
      <c r="H30" s="8">
        <v>134944</v>
      </c>
      <c r="I30" s="12">
        <f t="shared" si="24"/>
        <v>134944</v>
      </c>
      <c r="J30" s="8"/>
      <c r="K30" s="12">
        <f t="shared" si="25"/>
        <v>0</v>
      </c>
      <c r="L30" s="4"/>
      <c r="M30" s="12">
        <f t="shared" si="26"/>
        <v>0</v>
      </c>
      <c r="N30" s="14" t="str">
        <f t="shared" si="19"/>
        <v>SAN PIO</v>
      </c>
      <c r="O30" s="4">
        <f t="shared" si="29"/>
        <v>134944</v>
      </c>
      <c r="P30" s="4">
        <f t="shared" si="30"/>
        <v>134944</v>
      </c>
      <c r="Q30" s="15">
        <f t="shared" si="7"/>
        <v>54</v>
      </c>
      <c r="R30" s="19">
        <v>19</v>
      </c>
    </row>
    <row r="31" spans="1:18" ht="18.600000000000001" customHeight="1" x14ac:dyDescent="0.3">
      <c r="A31" s="9" t="s">
        <v>69</v>
      </c>
      <c r="B31" s="7">
        <v>1</v>
      </c>
      <c r="C31" s="7" t="s">
        <v>18</v>
      </c>
      <c r="D31" s="4">
        <v>166466</v>
      </c>
      <c r="E31" s="12">
        <f t="shared" si="22"/>
        <v>166466</v>
      </c>
      <c r="F31" s="4">
        <v>158143</v>
      </c>
      <c r="G31" s="12">
        <f t="shared" si="23"/>
        <v>158143</v>
      </c>
      <c r="H31" s="8">
        <v>140746</v>
      </c>
      <c r="I31" s="12">
        <f t="shared" si="24"/>
        <v>140746</v>
      </c>
      <c r="J31" s="8"/>
      <c r="K31" s="12">
        <f t="shared" si="25"/>
        <v>0</v>
      </c>
      <c r="L31" s="4"/>
      <c r="M31" s="12">
        <f t="shared" si="26"/>
        <v>0</v>
      </c>
      <c r="N31" s="14" t="str">
        <f t="shared" si="19"/>
        <v>SAN PIO</v>
      </c>
      <c r="O31" s="4">
        <f t="shared" si="29"/>
        <v>140746</v>
      </c>
      <c r="P31" s="4">
        <f t="shared" si="30"/>
        <v>140746</v>
      </c>
      <c r="Q31" s="15">
        <f t="shared" si="7"/>
        <v>53</v>
      </c>
      <c r="R31" s="19">
        <v>20</v>
      </c>
    </row>
    <row r="32" spans="1:18" ht="18.600000000000001" customHeight="1" x14ac:dyDescent="0.3">
      <c r="A32" s="9" t="s">
        <v>70</v>
      </c>
      <c r="B32" s="7">
        <v>1</v>
      </c>
      <c r="C32" s="7" t="s">
        <v>18</v>
      </c>
      <c r="D32" s="4">
        <v>166466</v>
      </c>
      <c r="E32" s="12">
        <f t="shared" si="22"/>
        <v>166466</v>
      </c>
      <c r="F32" s="4">
        <v>158143</v>
      </c>
      <c r="G32" s="12">
        <f t="shared" si="23"/>
        <v>158143</v>
      </c>
      <c r="H32" s="8">
        <v>140746</v>
      </c>
      <c r="I32" s="12">
        <f t="shared" si="24"/>
        <v>140746</v>
      </c>
      <c r="J32" s="8"/>
      <c r="K32" s="12">
        <f t="shared" si="25"/>
        <v>0</v>
      </c>
      <c r="L32" s="4"/>
      <c r="M32" s="12">
        <f t="shared" si="26"/>
        <v>0</v>
      </c>
      <c r="N32" s="14" t="str">
        <f t="shared" si="19"/>
        <v>SAN PIO</v>
      </c>
      <c r="O32" s="4">
        <f t="shared" si="29"/>
        <v>140746</v>
      </c>
      <c r="P32" s="4">
        <f t="shared" si="30"/>
        <v>140746</v>
      </c>
      <c r="Q32" s="15">
        <f t="shared" si="7"/>
        <v>52</v>
      </c>
      <c r="R32" s="19">
        <v>21</v>
      </c>
    </row>
    <row r="33" spans="1:18" ht="18.600000000000001" customHeight="1" x14ac:dyDescent="0.3">
      <c r="A33" s="9" t="s">
        <v>71</v>
      </c>
      <c r="B33" s="7">
        <v>1</v>
      </c>
      <c r="C33" s="7" t="s">
        <v>18</v>
      </c>
      <c r="D33" s="4">
        <v>505879</v>
      </c>
      <c r="E33" s="12">
        <f t="shared" si="22"/>
        <v>505879</v>
      </c>
      <c r="F33" s="4"/>
      <c r="G33" s="12">
        <f t="shared" si="23"/>
        <v>0</v>
      </c>
      <c r="H33" s="8">
        <v>427720</v>
      </c>
      <c r="I33" s="12">
        <f t="shared" si="24"/>
        <v>427720</v>
      </c>
      <c r="J33" s="8"/>
      <c r="K33" s="12">
        <f t="shared" si="25"/>
        <v>0</v>
      </c>
      <c r="L33" s="4"/>
      <c r="M33" s="12">
        <f t="shared" si="26"/>
        <v>0</v>
      </c>
      <c r="N33" s="14" t="str">
        <f t="shared" si="19"/>
        <v>SAN PIO</v>
      </c>
      <c r="O33" s="4">
        <f t="shared" si="29"/>
        <v>427720</v>
      </c>
      <c r="P33" s="4">
        <f t="shared" si="30"/>
        <v>427720</v>
      </c>
      <c r="Q33" s="15">
        <f t="shared" si="7"/>
        <v>51</v>
      </c>
      <c r="R33" s="19">
        <v>22</v>
      </c>
    </row>
    <row r="34" spans="1:18" ht="24.6" customHeight="1" x14ac:dyDescent="0.3">
      <c r="A34" s="9" t="s">
        <v>72</v>
      </c>
      <c r="B34" s="7">
        <v>1</v>
      </c>
      <c r="C34" s="7" t="s">
        <v>18</v>
      </c>
      <c r="D34" s="4"/>
      <c r="E34" s="12">
        <f t="shared" si="22"/>
        <v>0</v>
      </c>
      <c r="F34" s="4"/>
      <c r="G34" s="12">
        <f t="shared" si="23"/>
        <v>0</v>
      </c>
      <c r="H34" s="8"/>
      <c r="I34" s="12">
        <f t="shared" si="24"/>
        <v>0</v>
      </c>
      <c r="J34" s="8"/>
      <c r="K34" s="12">
        <f t="shared" si="25"/>
        <v>0</v>
      </c>
      <c r="L34" s="4"/>
      <c r="M34" s="12">
        <f t="shared" si="26"/>
        <v>0</v>
      </c>
      <c r="N34" s="14">
        <f t="shared" si="19"/>
        <v>0</v>
      </c>
      <c r="O34" s="4">
        <f t="shared" si="29"/>
        <v>0</v>
      </c>
      <c r="P34" s="4">
        <f t="shared" si="30"/>
        <v>0</v>
      </c>
      <c r="Q34" s="15">
        <f t="shared" si="7"/>
        <v>50</v>
      </c>
      <c r="R34" s="19">
        <v>23</v>
      </c>
    </row>
    <row r="35" spans="1:18" ht="18.600000000000001" customHeight="1" x14ac:dyDescent="0.3">
      <c r="A35" s="9" t="s">
        <v>73</v>
      </c>
      <c r="B35" s="7">
        <v>1</v>
      </c>
      <c r="C35" s="7" t="s">
        <v>18</v>
      </c>
      <c r="D35" s="4">
        <f>155595+67404</f>
        <v>222999</v>
      </c>
      <c r="E35" s="12">
        <f t="shared" si="22"/>
        <v>222999</v>
      </c>
      <c r="F35" s="4">
        <f>147815+64034</f>
        <v>211849</v>
      </c>
      <c r="G35" s="12">
        <f t="shared" si="23"/>
        <v>211849</v>
      </c>
      <c r="H35" s="8">
        <v>188545</v>
      </c>
      <c r="I35" s="12">
        <f t="shared" si="24"/>
        <v>188545</v>
      </c>
      <c r="J35" s="8"/>
      <c r="K35" s="12">
        <f t="shared" si="25"/>
        <v>0</v>
      </c>
      <c r="L35" s="4"/>
      <c r="M35" s="12">
        <f t="shared" si="26"/>
        <v>0</v>
      </c>
      <c r="N35" s="14" t="str">
        <f t="shared" si="19"/>
        <v>SAN PIO</v>
      </c>
      <c r="O35" s="4">
        <f t="shared" si="29"/>
        <v>188545</v>
      </c>
      <c r="P35" s="4">
        <f t="shared" si="30"/>
        <v>188545</v>
      </c>
      <c r="Q35" s="15">
        <f t="shared" si="7"/>
        <v>49</v>
      </c>
      <c r="R35" s="19">
        <v>24</v>
      </c>
    </row>
    <row r="36" spans="1:18" ht="18.600000000000001" customHeight="1" x14ac:dyDescent="0.3">
      <c r="A36" s="9" t="s">
        <v>74</v>
      </c>
      <c r="B36" s="7">
        <v>1</v>
      </c>
      <c r="C36" s="7" t="s">
        <v>18</v>
      </c>
      <c r="D36" s="4">
        <v>138877</v>
      </c>
      <c r="E36" s="12">
        <f t="shared" si="22"/>
        <v>138877</v>
      </c>
      <c r="F36" s="4">
        <v>131933</v>
      </c>
      <c r="G36" s="12">
        <f t="shared" si="23"/>
        <v>131933</v>
      </c>
      <c r="H36" s="8">
        <v>117419</v>
      </c>
      <c r="I36" s="12">
        <f t="shared" si="24"/>
        <v>117419</v>
      </c>
      <c r="J36" s="8"/>
      <c r="K36" s="12">
        <f t="shared" si="25"/>
        <v>0</v>
      </c>
      <c r="L36" s="4"/>
      <c r="M36" s="12">
        <f t="shared" si="26"/>
        <v>0</v>
      </c>
      <c r="N36" s="14" t="str">
        <f t="shared" si="19"/>
        <v>SAN PIO</v>
      </c>
      <c r="O36" s="4">
        <f t="shared" si="29"/>
        <v>117419</v>
      </c>
      <c r="P36" s="4">
        <f t="shared" si="30"/>
        <v>117419</v>
      </c>
      <c r="Q36" s="15">
        <f t="shared" si="7"/>
        <v>48</v>
      </c>
      <c r="R36" s="19">
        <v>25</v>
      </c>
    </row>
    <row r="37" spans="1:18" ht="18.600000000000001" customHeight="1" x14ac:dyDescent="0.3">
      <c r="A37" s="9" t="s">
        <v>75</v>
      </c>
      <c r="B37" s="7">
        <v>1</v>
      </c>
      <c r="C37" s="7" t="s">
        <v>18</v>
      </c>
      <c r="D37" s="4">
        <v>139319</v>
      </c>
      <c r="E37" s="12">
        <f t="shared" ref="E37:E63" si="31">+D37*B37</f>
        <v>139319</v>
      </c>
      <c r="F37" s="4">
        <v>131933</v>
      </c>
      <c r="G37" s="12">
        <f t="shared" ref="G37:G63" si="32">B37*F37</f>
        <v>131933</v>
      </c>
      <c r="H37" s="8">
        <v>117419</v>
      </c>
      <c r="I37" s="12">
        <f t="shared" ref="I37:I63" si="33">H37*B37</f>
        <v>117419</v>
      </c>
      <c r="J37" s="8"/>
      <c r="K37" s="12">
        <f t="shared" ref="K37:K63" si="34">+J37*B37</f>
        <v>0</v>
      </c>
      <c r="L37" s="4"/>
      <c r="M37" s="12">
        <f t="shared" ref="M37:M63" si="35">L37*B37</f>
        <v>0</v>
      </c>
      <c r="N37" s="14" t="str">
        <f t="shared" si="19"/>
        <v>SAN PIO</v>
      </c>
      <c r="O37" s="4">
        <f t="shared" ref="O37:O64" si="36">+MIN(D37,F37,H37,J37,L37)</f>
        <v>117419</v>
      </c>
      <c r="P37" s="4">
        <f t="shared" ref="P37:P64" si="37">O37*B37</f>
        <v>117419</v>
      </c>
      <c r="Q37" s="15">
        <f t="shared" si="7"/>
        <v>47</v>
      </c>
      <c r="R37" s="19">
        <v>26</v>
      </c>
    </row>
    <row r="38" spans="1:18" ht="18.600000000000001" customHeight="1" x14ac:dyDescent="0.3">
      <c r="A38" s="9" t="s">
        <v>76</v>
      </c>
      <c r="B38" s="7">
        <v>1</v>
      </c>
      <c r="C38" s="7" t="s">
        <v>18</v>
      </c>
      <c r="D38" s="4">
        <v>139319</v>
      </c>
      <c r="E38" s="12">
        <f t="shared" si="31"/>
        <v>139319</v>
      </c>
      <c r="F38" s="4">
        <v>132353</v>
      </c>
      <c r="G38" s="12">
        <f t="shared" si="32"/>
        <v>132353</v>
      </c>
      <c r="H38" s="8">
        <v>117419</v>
      </c>
      <c r="I38" s="12">
        <f t="shared" si="33"/>
        <v>117419</v>
      </c>
      <c r="J38" s="8"/>
      <c r="K38" s="12">
        <f t="shared" si="34"/>
        <v>0</v>
      </c>
      <c r="L38" s="4"/>
      <c r="M38" s="12">
        <f t="shared" si="35"/>
        <v>0</v>
      </c>
      <c r="N38" s="14" t="str">
        <f t="shared" si="19"/>
        <v>SAN PIO</v>
      </c>
      <c r="O38" s="4">
        <f t="shared" si="36"/>
        <v>117419</v>
      </c>
      <c r="P38" s="4">
        <f t="shared" si="37"/>
        <v>117419</v>
      </c>
      <c r="Q38" s="15">
        <f t="shared" si="7"/>
        <v>46</v>
      </c>
      <c r="R38" s="19">
        <v>27</v>
      </c>
    </row>
    <row r="39" spans="1:18" ht="18.600000000000001" customHeight="1" x14ac:dyDescent="0.3">
      <c r="A39" s="9" t="s">
        <v>77</v>
      </c>
      <c r="B39" s="7">
        <v>1</v>
      </c>
      <c r="C39" s="7" t="s">
        <v>18</v>
      </c>
      <c r="D39" s="4">
        <v>191951</v>
      </c>
      <c r="E39" s="12">
        <f t="shared" si="31"/>
        <v>191951</v>
      </c>
      <c r="F39" s="4">
        <v>182353</v>
      </c>
      <c r="G39" s="12">
        <f t="shared" si="32"/>
        <v>182353</v>
      </c>
      <c r="H39" s="8">
        <v>162294</v>
      </c>
      <c r="I39" s="12">
        <f t="shared" si="33"/>
        <v>162294</v>
      </c>
      <c r="J39" s="8"/>
      <c r="K39" s="12">
        <f t="shared" si="34"/>
        <v>0</v>
      </c>
      <c r="L39" s="4"/>
      <c r="M39" s="12">
        <f t="shared" si="35"/>
        <v>0</v>
      </c>
      <c r="N39" s="14" t="str">
        <f t="shared" si="19"/>
        <v>SAN PIO</v>
      </c>
      <c r="O39" s="4">
        <f t="shared" si="36"/>
        <v>162294</v>
      </c>
      <c r="P39" s="4">
        <f t="shared" si="37"/>
        <v>162294</v>
      </c>
      <c r="Q39" s="15">
        <f t="shared" si="7"/>
        <v>45</v>
      </c>
      <c r="R39" s="19">
        <v>28</v>
      </c>
    </row>
    <row r="40" spans="1:18" ht="18.600000000000001" customHeight="1" x14ac:dyDescent="0.3">
      <c r="A40" s="9" t="s">
        <v>78</v>
      </c>
      <c r="B40" s="7">
        <v>1</v>
      </c>
      <c r="C40" s="7" t="s">
        <v>18</v>
      </c>
      <c r="D40" s="4">
        <v>191951</v>
      </c>
      <c r="E40" s="12">
        <f t="shared" si="31"/>
        <v>191951</v>
      </c>
      <c r="F40" s="4">
        <v>182353</v>
      </c>
      <c r="G40" s="12">
        <f t="shared" si="32"/>
        <v>182353</v>
      </c>
      <c r="H40" s="8">
        <v>162294</v>
      </c>
      <c r="I40" s="12">
        <f t="shared" si="33"/>
        <v>162294</v>
      </c>
      <c r="J40" s="8"/>
      <c r="K40" s="12">
        <f t="shared" si="34"/>
        <v>0</v>
      </c>
      <c r="L40" s="4"/>
      <c r="M40" s="12">
        <f t="shared" si="35"/>
        <v>0</v>
      </c>
      <c r="N40" s="14" t="str">
        <f t="shared" si="19"/>
        <v>SAN PIO</v>
      </c>
      <c r="O40" s="4">
        <f t="shared" si="36"/>
        <v>162294</v>
      </c>
      <c r="P40" s="4">
        <f t="shared" si="37"/>
        <v>162294</v>
      </c>
      <c r="Q40" s="15">
        <f t="shared" si="7"/>
        <v>44</v>
      </c>
      <c r="R40" s="19">
        <v>29</v>
      </c>
    </row>
    <row r="41" spans="1:18" ht="18.600000000000001" customHeight="1" x14ac:dyDescent="0.3">
      <c r="A41" s="9" t="s">
        <v>79</v>
      </c>
      <c r="B41" s="7">
        <v>1</v>
      </c>
      <c r="C41" s="7" t="s">
        <v>18</v>
      </c>
      <c r="D41" s="4">
        <v>191951</v>
      </c>
      <c r="E41" s="12">
        <f t="shared" si="31"/>
        <v>191951</v>
      </c>
      <c r="F41" s="4">
        <v>132353</v>
      </c>
      <c r="G41" s="12">
        <f t="shared" si="32"/>
        <v>132353</v>
      </c>
      <c r="H41" s="8">
        <v>162294</v>
      </c>
      <c r="I41" s="12">
        <f t="shared" si="33"/>
        <v>162294</v>
      </c>
      <c r="J41" s="8"/>
      <c r="K41" s="12">
        <f t="shared" si="34"/>
        <v>0</v>
      </c>
      <c r="L41" s="4"/>
      <c r="M41" s="12">
        <f t="shared" si="35"/>
        <v>0</v>
      </c>
      <c r="N41" s="14" t="str">
        <f t="shared" si="19"/>
        <v>PINTURAS INDUSTRIALES</v>
      </c>
      <c r="O41" s="4">
        <f t="shared" si="36"/>
        <v>132353</v>
      </c>
      <c r="P41" s="4">
        <f t="shared" si="37"/>
        <v>132353</v>
      </c>
      <c r="Q41" s="15">
        <f t="shared" si="7"/>
        <v>43</v>
      </c>
      <c r="R41" s="19">
        <v>30</v>
      </c>
    </row>
    <row r="42" spans="1:18" ht="18.600000000000001" customHeight="1" x14ac:dyDescent="0.3">
      <c r="A42" s="9" t="s">
        <v>80</v>
      </c>
      <c r="B42" s="7">
        <v>1</v>
      </c>
      <c r="C42" s="7" t="s">
        <v>18</v>
      </c>
      <c r="D42" s="4">
        <v>105882</v>
      </c>
      <c r="E42" s="12">
        <f t="shared" si="31"/>
        <v>105882</v>
      </c>
      <c r="F42" s="4">
        <v>100588</v>
      </c>
      <c r="G42" s="12">
        <f t="shared" si="32"/>
        <v>100588</v>
      </c>
      <c r="H42" s="28">
        <v>89522.68907563026</v>
      </c>
      <c r="I42" s="12">
        <f t="shared" si="33"/>
        <v>89522.68907563026</v>
      </c>
      <c r="J42" s="8"/>
      <c r="K42" s="12">
        <f t="shared" si="34"/>
        <v>0</v>
      </c>
      <c r="L42" s="4"/>
      <c r="M42" s="12">
        <f t="shared" si="35"/>
        <v>0</v>
      </c>
      <c r="N42" s="14" t="str">
        <f t="shared" si="19"/>
        <v>SAN PIO</v>
      </c>
      <c r="O42" s="4">
        <f t="shared" si="36"/>
        <v>89522.68907563026</v>
      </c>
      <c r="P42" s="4">
        <f t="shared" si="37"/>
        <v>89522.68907563026</v>
      </c>
      <c r="Q42" s="15">
        <f t="shared" si="7"/>
        <v>42</v>
      </c>
      <c r="R42" s="19">
        <v>31</v>
      </c>
    </row>
    <row r="43" spans="1:18" ht="18.600000000000001" customHeight="1" x14ac:dyDescent="0.3">
      <c r="A43" s="9" t="s">
        <v>81</v>
      </c>
      <c r="B43" s="7">
        <v>1</v>
      </c>
      <c r="C43" s="7" t="s">
        <v>18</v>
      </c>
      <c r="D43" s="4">
        <v>23883</v>
      </c>
      <c r="E43" s="12">
        <f t="shared" si="31"/>
        <v>23883</v>
      </c>
      <c r="F43" s="4">
        <v>22689</v>
      </c>
      <c r="G43" s="12">
        <f t="shared" si="32"/>
        <v>22689</v>
      </c>
      <c r="H43" s="8">
        <v>20192.436974789918</v>
      </c>
      <c r="I43" s="12">
        <f t="shared" si="33"/>
        <v>20192.436974789918</v>
      </c>
      <c r="J43" s="8"/>
      <c r="K43" s="12">
        <f t="shared" si="34"/>
        <v>0</v>
      </c>
      <c r="L43" s="4"/>
      <c r="M43" s="12">
        <f t="shared" si="35"/>
        <v>0</v>
      </c>
      <c r="N43" s="14" t="str">
        <f t="shared" si="19"/>
        <v>SAN PIO</v>
      </c>
      <c r="O43" s="4">
        <f t="shared" si="36"/>
        <v>20192.436974789918</v>
      </c>
      <c r="P43" s="4">
        <f t="shared" si="37"/>
        <v>20192.436974789918</v>
      </c>
      <c r="Q43" s="15">
        <f t="shared" si="7"/>
        <v>41</v>
      </c>
      <c r="R43" s="19">
        <v>32</v>
      </c>
    </row>
    <row r="44" spans="1:18" ht="18.600000000000001" customHeight="1" x14ac:dyDescent="0.3">
      <c r="A44" s="9" t="s">
        <v>82</v>
      </c>
      <c r="B44" s="7">
        <v>1</v>
      </c>
      <c r="C44" s="7" t="s">
        <v>18</v>
      </c>
      <c r="D44" s="4"/>
      <c r="E44" s="12">
        <f t="shared" si="31"/>
        <v>0</v>
      </c>
      <c r="F44" s="4"/>
      <c r="G44" s="12">
        <f t="shared" si="32"/>
        <v>0</v>
      </c>
      <c r="H44" s="8">
        <v>20192.436974789918</v>
      </c>
      <c r="I44" s="12">
        <f t="shared" si="33"/>
        <v>20192.436974789918</v>
      </c>
      <c r="J44" s="8"/>
      <c r="K44" s="12">
        <f t="shared" si="34"/>
        <v>0</v>
      </c>
      <c r="L44" s="4"/>
      <c r="M44" s="12">
        <f t="shared" si="35"/>
        <v>0</v>
      </c>
      <c r="N44" s="14" t="str">
        <f t="shared" si="19"/>
        <v>SAN PIO</v>
      </c>
      <c r="O44" s="4">
        <f t="shared" si="36"/>
        <v>20192.436974789918</v>
      </c>
      <c r="P44" s="4">
        <f t="shared" si="37"/>
        <v>20192.436974789918</v>
      </c>
      <c r="Q44" s="15">
        <f t="shared" si="7"/>
        <v>40</v>
      </c>
      <c r="R44" s="19">
        <v>33</v>
      </c>
    </row>
    <row r="45" spans="1:18" ht="18.600000000000001" customHeight="1" x14ac:dyDescent="0.3">
      <c r="A45" s="9" t="s">
        <v>83</v>
      </c>
      <c r="B45" s="7">
        <v>1</v>
      </c>
      <c r="C45" s="7" t="s">
        <v>18</v>
      </c>
      <c r="D45" s="4">
        <v>23883</v>
      </c>
      <c r="E45" s="12">
        <f t="shared" ref="E45:E57" si="38">+D45*B45</f>
        <v>23883</v>
      </c>
      <c r="F45" s="4">
        <v>22689</v>
      </c>
      <c r="G45" s="12">
        <f t="shared" ref="G45:G57" si="39">B45*F45</f>
        <v>22689</v>
      </c>
      <c r="H45" s="8">
        <v>20192.436974789918</v>
      </c>
      <c r="I45" s="12">
        <f t="shared" ref="I45:I57" si="40">H45*B45</f>
        <v>20192.436974789918</v>
      </c>
      <c r="J45" s="8"/>
      <c r="K45" s="12">
        <f t="shared" ref="K45:K57" si="41">+J45*B45</f>
        <v>0</v>
      </c>
      <c r="L45" s="4"/>
      <c r="M45" s="12">
        <f t="shared" ref="M45:M57" si="42">L45*B45</f>
        <v>0</v>
      </c>
      <c r="N45" s="14" t="str">
        <f t="shared" ref="N45:N57" si="43">+HLOOKUP(O45,A45:M113,Q45,FALSE)</f>
        <v>SAN PIO</v>
      </c>
      <c r="O45" s="4">
        <f t="shared" ref="O45:O57" si="44">+MIN(D45,F45,H45,J45,L45)</f>
        <v>20192.436974789918</v>
      </c>
      <c r="P45" s="4">
        <f t="shared" ref="P45:P57" si="45">O45*B45</f>
        <v>20192.436974789918</v>
      </c>
      <c r="Q45" s="15">
        <f t="shared" si="7"/>
        <v>39</v>
      </c>
      <c r="R45" s="19">
        <v>34</v>
      </c>
    </row>
    <row r="46" spans="1:18" ht="18.600000000000001" customHeight="1" x14ac:dyDescent="0.3">
      <c r="A46" s="9" t="s">
        <v>84</v>
      </c>
      <c r="B46" s="7">
        <v>1</v>
      </c>
      <c r="C46" s="7" t="s">
        <v>18</v>
      </c>
      <c r="D46" s="4">
        <v>106944</v>
      </c>
      <c r="E46" s="12">
        <f t="shared" si="38"/>
        <v>106944</v>
      </c>
      <c r="F46" s="4">
        <v>101597</v>
      </c>
      <c r="G46" s="12">
        <f t="shared" si="39"/>
        <v>101597</v>
      </c>
      <c r="H46" s="8">
        <v>90420.168067226899</v>
      </c>
      <c r="I46" s="12">
        <f t="shared" si="40"/>
        <v>90420.168067226899</v>
      </c>
      <c r="J46" s="8"/>
      <c r="K46" s="12">
        <f t="shared" si="41"/>
        <v>0</v>
      </c>
      <c r="L46" s="4"/>
      <c r="M46" s="12">
        <f t="shared" si="42"/>
        <v>0</v>
      </c>
      <c r="N46" s="14" t="str">
        <f t="shared" si="43"/>
        <v>SAN PIO</v>
      </c>
      <c r="O46" s="4">
        <f t="shared" si="44"/>
        <v>90420.168067226899</v>
      </c>
      <c r="P46" s="4">
        <f t="shared" si="45"/>
        <v>90420.168067226899</v>
      </c>
      <c r="Q46" s="15">
        <f t="shared" si="7"/>
        <v>38</v>
      </c>
      <c r="R46" s="19">
        <v>35</v>
      </c>
    </row>
    <row r="47" spans="1:18" ht="18.600000000000001" customHeight="1" x14ac:dyDescent="0.3">
      <c r="A47" s="9" t="s">
        <v>85</v>
      </c>
      <c r="B47" s="7">
        <v>1</v>
      </c>
      <c r="C47" s="7" t="s">
        <v>18</v>
      </c>
      <c r="D47" s="4">
        <v>87483</v>
      </c>
      <c r="E47" s="12">
        <f t="shared" si="38"/>
        <v>87483</v>
      </c>
      <c r="F47" s="4"/>
      <c r="G47" s="12">
        <f t="shared" si="39"/>
        <v>0</v>
      </c>
      <c r="H47" s="8">
        <v>69528.571428571435</v>
      </c>
      <c r="I47" s="12">
        <f t="shared" si="40"/>
        <v>69528.571428571435</v>
      </c>
      <c r="J47" s="8"/>
      <c r="K47" s="12">
        <f t="shared" si="41"/>
        <v>0</v>
      </c>
      <c r="L47" s="4"/>
      <c r="M47" s="12">
        <f t="shared" si="42"/>
        <v>0</v>
      </c>
      <c r="N47" s="14" t="str">
        <f t="shared" si="43"/>
        <v>SAN PIO</v>
      </c>
      <c r="O47" s="4">
        <f t="shared" si="44"/>
        <v>69528.571428571435</v>
      </c>
      <c r="P47" s="4">
        <f t="shared" si="45"/>
        <v>69528.571428571435</v>
      </c>
      <c r="Q47" s="15">
        <f t="shared" si="7"/>
        <v>37</v>
      </c>
      <c r="R47" s="19">
        <v>36</v>
      </c>
    </row>
    <row r="48" spans="1:18" ht="18.600000000000001" customHeight="1" x14ac:dyDescent="0.3">
      <c r="A48" s="9" t="s">
        <v>86</v>
      </c>
      <c r="B48" s="7">
        <v>1</v>
      </c>
      <c r="C48" s="7" t="s">
        <v>18</v>
      </c>
      <c r="D48" s="4">
        <v>87483</v>
      </c>
      <c r="E48" s="12">
        <f t="shared" si="38"/>
        <v>87483</v>
      </c>
      <c r="F48" s="4">
        <v>83109</v>
      </c>
      <c r="G48" s="12">
        <f t="shared" si="39"/>
        <v>83109</v>
      </c>
      <c r="H48" s="8">
        <v>69528.571428571435</v>
      </c>
      <c r="I48" s="12">
        <f t="shared" si="40"/>
        <v>69528.571428571435</v>
      </c>
      <c r="J48" s="8"/>
      <c r="K48" s="12">
        <f t="shared" si="41"/>
        <v>0</v>
      </c>
      <c r="L48" s="4"/>
      <c r="M48" s="12">
        <f t="shared" si="42"/>
        <v>0</v>
      </c>
      <c r="N48" s="14" t="str">
        <f t="shared" si="43"/>
        <v>SAN PIO</v>
      </c>
      <c r="O48" s="4">
        <f t="shared" si="44"/>
        <v>69528.571428571435</v>
      </c>
      <c r="P48" s="4">
        <f t="shared" si="45"/>
        <v>69528.571428571435</v>
      </c>
      <c r="Q48" s="15">
        <f t="shared" si="7"/>
        <v>36</v>
      </c>
      <c r="R48" s="19">
        <v>37</v>
      </c>
    </row>
    <row r="49" spans="1:18" ht="18.600000000000001" customHeight="1" x14ac:dyDescent="0.3">
      <c r="A49" s="9" t="s">
        <v>87</v>
      </c>
      <c r="B49" s="7">
        <v>1</v>
      </c>
      <c r="C49" s="7" t="s">
        <v>18</v>
      </c>
      <c r="D49" s="4">
        <v>368203</v>
      </c>
      <c r="E49" s="12">
        <f t="shared" si="38"/>
        <v>368203</v>
      </c>
      <c r="F49" s="4">
        <v>346977</v>
      </c>
      <c r="G49" s="12">
        <f t="shared" si="39"/>
        <v>346977</v>
      </c>
      <c r="H49" s="8">
        <v>327700.84033613448</v>
      </c>
      <c r="I49" s="12">
        <f t="shared" si="40"/>
        <v>327700.84033613448</v>
      </c>
      <c r="J49" s="8"/>
      <c r="K49" s="12">
        <f t="shared" si="41"/>
        <v>0</v>
      </c>
      <c r="L49" s="4"/>
      <c r="M49" s="12">
        <f t="shared" si="42"/>
        <v>0</v>
      </c>
      <c r="N49" s="14" t="str">
        <f t="shared" si="43"/>
        <v>SAN PIO</v>
      </c>
      <c r="O49" s="4">
        <f t="shared" si="44"/>
        <v>327700.84033613448</v>
      </c>
      <c r="P49" s="4">
        <f t="shared" si="45"/>
        <v>327700.84033613448</v>
      </c>
      <c r="Q49" s="15">
        <f t="shared" si="7"/>
        <v>35</v>
      </c>
      <c r="R49" s="19">
        <v>38</v>
      </c>
    </row>
    <row r="50" spans="1:18" ht="18.600000000000001" customHeight="1" x14ac:dyDescent="0.3">
      <c r="A50" s="9" t="s">
        <v>88</v>
      </c>
      <c r="B50" s="7">
        <v>1</v>
      </c>
      <c r="C50" s="7" t="s">
        <v>18</v>
      </c>
      <c r="D50" s="4">
        <v>13711</v>
      </c>
      <c r="E50" s="12">
        <f t="shared" si="38"/>
        <v>13711</v>
      </c>
      <c r="F50" s="4">
        <v>13025</v>
      </c>
      <c r="G50" s="12">
        <f t="shared" si="39"/>
        <v>13025</v>
      </c>
      <c r="H50" s="8">
        <v>11951</v>
      </c>
      <c r="I50" s="12">
        <f t="shared" si="40"/>
        <v>11951</v>
      </c>
      <c r="J50" s="8"/>
      <c r="K50" s="12">
        <f t="shared" si="41"/>
        <v>0</v>
      </c>
      <c r="L50" s="4"/>
      <c r="M50" s="12">
        <f t="shared" si="42"/>
        <v>0</v>
      </c>
      <c r="N50" s="14" t="str">
        <f t="shared" si="43"/>
        <v>SAN PIO</v>
      </c>
      <c r="O50" s="4">
        <f t="shared" si="44"/>
        <v>11951</v>
      </c>
      <c r="P50" s="4">
        <f t="shared" si="45"/>
        <v>11951</v>
      </c>
      <c r="Q50" s="15">
        <f t="shared" si="7"/>
        <v>34</v>
      </c>
      <c r="R50" s="19">
        <v>39</v>
      </c>
    </row>
    <row r="51" spans="1:18" ht="18.600000000000001" customHeight="1" x14ac:dyDescent="0.3">
      <c r="A51" s="9" t="s">
        <v>89</v>
      </c>
      <c r="B51" s="7">
        <v>1</v>
      </c>
      <c r="C51" s="7" t="s">
        <v>18</v>
      </c>
      <c r="D51" s="4">
        <v>140177</v>
      </c>
      <c r="E51" s="12">
        <f t="shared" si="38"/>
        <v>140177</v>
      </c>
      <c r="F51" s="4">
        <v>133168</v>
      </c>
      <c r="G51" s="12">
        <f t="shared" si="39"/>
        <v>133168</v>
      </c>
      <c r="H51" s="8">
        <v>109197</v>
      </c>
      <c r="I51" s="12">
        <f t="shared" si="40"/>
        <v>109197</v>
      </c>
      <c r="J51" s="8"/>
      <c r="K51" s="12">
        <f t="shared" si="41"/>
        <v>0</v>
      </c>
      <c r="L51" s="4"/>
      <c r="M51" s="12">
        <f t="shared" si="42"/>
        <v>0</v>
      </c>
      <c r="N51" s="14" t="str">
        <f t="shared" si="43"/>
        <v>SAN PIO</v>
      </c>
      <c r="O51" s="4">
        <f t="shared" si="44"/>
        <v>109197</v>
      </c>
      <c r="P51" s="4">
        <f t="shared" si="45"/>
        <v>109197</v>
      </c>
      <c r="Q51" s="15">
        <f t="shared" si="7"/>
        <v>33</v>
      </c>
      <c r="R51" s="19">
        <v>40</v>
      </c>
    </row>
    <row r="52" spans="1:18" ht="18.600000000000001" customHeight="1" x14ac:dyDescent="0.3">
      <c r="A52" s="9" t="s">
        <v>90</v>
      </c>
      <c r="B52" s="7">
        <v>1</v>
      </c>
      <c r="C52" s="7" t="s">
        <v>18</v>
      </c>
      <c r="D52" s="4">
        <v>63950</v>
      </c>
      <c r="E52" s="12">
        <f t="shared" si="38"/>
        <v>63950</v>
      </c>
      <c r="F52" s="4">
        <v>72975</v>
      </c>
      <c r="G52" s="12">
        <f t="shared" si="39"/>
        <v>72975</v>
      </c>
      <c r="H52" s="8">
        <v>52439</v>
      </c>
      <c r="I52" s="12">
        <f t="shared" si="40"/>
        <v>52439</v>
      </c>
      <c r="J52" s="8"/>
      <c r="K52" s="12">
        <f t="shared" si="41"/>
        <v>0</v>
      </c>
      <c r="L52" s="4"/>
      <c r="M52" s="12">
        <f t="shared" si="42"/>
        <v>0</v>
      </c>
      <c r="N52" s="14" t="str">
        <f t="shared" si="43"/>
        <v>SAN PIO</v>
      </c>
      <c r="O52" s="4">
        <f t="shared" si="44"/>
        <v>52439</v>
      </c>
      <c r="P52" s="4">
        <f t="shared" si="45"/>
        <v>52439</v>
      </c>
      <c r="Q52" s="15">
        <f t="shared" si="7"/>
        <v>32</v>
      </c>
      <c r="R52" s="19">
        <v>41</v>
      </c>
    </row>
    <row r="53" spans="1:18" ht="18.600000000000001" customHeight="1" x14ac:dyDescent="0.3">
      <c r="A53" s="9" t="s">
        <v>91</v>
      </c>
      <c r="B53" s="7">
        <v>1</v>
      </c>
      <c r="C53" s="7" t="s">
        <v>18</v>
      </c>
      <c r="D53" s="4">
        <v>15834</v>
      </c>
      <c r="E53" s="12">
        <f t="shared" si="38"/>
        <v>15834</v>
      </c>
      <c r="F53" s="4">
        <v>16723</v>
      </c>
      <c r="G53" s="12">
        <f t="shared" si="39"/>
        <v>16723</v>
      </c>
      <c r="H53" s="8">
        <v>10529</v>
      </c>
      <c r="I53" s="12">
        <f t="shared" si="40"/>
        <v>10529</v>
      </c>
      <c r="J53" s="8"/>
      <c r="K53" s="12">
        <f t="shared" si="41"/>
        <v>0</v>
      </c>
      <c r="L53" s="4"/>
      <c r="M53" s="12">
        <f t="shared" si="42"/>
        <v>0</v>
      </c>
      <c r="N53" s="14" t="str">
        <f t="shared" si="43"/>
        <v>SAN PIO</v>
      </c>
      <c r="O53" s="4">
        <f t="shared" si="44"/>
        <v>10529</v>
      </c>
      <c r="P53" s="4">
        <f t="shared" si="45"/>
        <v>10529</v>
      </c>
      <c r="Q53" s="15">
        <f t="shared" si="7"/>
        <v>31</v>
      </c>
      <c r="R53" s="19">
        <v>42</v>
      </c>
    </row>
    <row r="54" spans="1:18" ht="18.600000000000001" customHeight="1" x14ac:dyDescent="0.3">
      <c r="A54" s="9" t="s">
        <v>92</v>
      </c>
      <c r="B54" s="7">
        <v>1</v>
      </c>
      <c r="C54" s="7" t="s">
        <v>18</v>
      </c>
      <c r="D54" s="4"/>
      <c r="E54" s="12">
        <f t="shared" si="38"/>
        <v>0</v>
      </c>
      <c r="F54" s="4">
        <v>94386</v>
      </c>
      <c r="G54" s="12">
        <f t="shared" si="39"/>
        <v>94386</v>
      </c>
      <c r="H54" s="8">
        <v>17696</v>
      </c>
      <c r="I54" s="12">
        <f t="shared" si="40"/>
        <v>17696</v>
      </c>
      <c r="J54" s="8"/>
      <c r="K54" s="12">
        <f t="shared" si="41"/>
        <v>0</v>
      </c>
      <c r="L54" s="4"/>
      <c r="M54" s="12">
        <f t="shared" si="42"/>
        <v>0</v>
      </c>
      <c r="N54" s="14" t="str">
        <f t="shared" si="43"/>
        <v>SAN PIO</v>
      </c>
      <c r="O54" s="4">
        <f t="shared" si="44"/>
        <v>17696</v>
      </c>
      <c r="P54" s="4">
        <f t="shared" si="45"/>
        <v>17696</v>
      </c>
      <c r="Q54" s="15">
        <f t="shared" si="7"/>
        <v>30</v>
      </c>
      <c r="R54" s="19">
        <v>43</v>
      </c>
    </row>
    <row r="55" spans="1:18" ht="18.600000000000001" customHeight="1" x14ac:dyDescent="0.3">
      <c r="A55" s="9" t="s">
        <v>93</v>
      </c>
      <c r="B55" s="7">
        <v>1</v>
      </c>
      <c r="C55" s="7" t="s">
        <v>18</v>
      </c>
      <c r="D55" s="4">
        <v>48297</v>
      </c>
      <c r="E55" s="12">
        <f t="shared" si="38"/>
        <v>48297</v>
      </c>
      <c r="F55" s="4">
        <v>45882</v>
      </c>
      <c r="G55" s="12">
        <f t="shared" si="39"/>
        <v>45882</v>
      </c>
      <c r="H55" s="8">
        <v>40834</v>
      </c>
      <c r="I55" s="12">
        <f t="shared" si="40"/>
        <v>40834</v>
      </c>
      <c r="J55" s="8"/>
      <c r="K55" s="12">
        <f t="shared" si="41"/>
        <v>0</v>
      </c>
      <c r="L55" s="4"/>
      <c r="M55" s="12">
        <f t="shared" si="42"/>
        <v>0</v>
      </c>
      <c r="N55" s="14" t="str">
        <f t="shared" si="43"/>
        <v>SAN PIO</v>
      </c>
      <c r="O55" s="4">
        <f t="shared" si="44"/>
        <v>40834</v>
      </c>
      <c r="P55" s="4">
        <f t="shared" si="45"/>
        <v>40834</v>
      </c>
      <c r="Q55" s="15">
        <f t="shared" si="7"/>
        <v>29</v>
      </c>
      <c r="R55" s="19">
        <v>44</v>
      </c>
    </row>
    <row r="56" spans="1:18" ht="18.600000000000001" customHeight="1" x14ac:dyDescent="0.3">
      <c r="A56" s="9" t="s">
        <v>94</v>
      </c>
      <c r="B56" s="7">
        <v>1</v>
      </c>
      <c r="C56" s="7" t="s">
        <v>18</v>
      </c>
      <c r="D56" s="4">
        <v>17505</v>
      </c>
      <c r="E56" s="12">
        <f t="shared" si="38"/>
        <v>17505</v>
      </c>
      <c r="F56" s="4">
        <v>166303</v>
      </c>
      <c r="G56" s="12">
        <f t="shared" si="39"/>
        <v>166303</v>
      </c>
      <c r="H56" s="8">
        <v>148009</v>
      </c>
      <c r="I56" s="12">
        <f t="shared" si="40"/>
        <v>148009</v>
      </c>
      <c r="J56" s="8"/>
      <c r="K56" s="12">
        <f t="shared" si="41"/>
        <v>0</v>
      </c>
      <c r="L56" s="4"/>
      <c r="M56" s="12">
        <f t="shared" si="42"/>
        <v>0</v>
      </c>
      <c r="N56" s="14" t="str">
        <f t="shared" si="43"/>
        <v>TECNOPINTURA</v>
      </c>
      <c r="O56" s="4">
        <f t="shared" si="44"/>
        <v>17505</v>
      </c>
      <c r="P56" s="4">
        <f t="shared" si="45"/>
        <v>17505</v>
      </c>
      <c r="Q56" s="15">
        <f t="shared" si="7"/>
        <v>28</v>
      </c>
      <c r="R56" s="19">
        <v>45</v>
      </c>
    </row>
    <row r="57" spans="1:18" ht="18.600000000000001" customHeight="1" x14ac:dyDescent="0.3">
      <c r="A57" s="9" t="s">
        <v>95</v>
      </c>
      <c r="B57" s="7">
        <v>1</v>
      </c>
      <c r="C57" s="7" t="s">
        <v>18</v>
      </c>
      <c r="D57" s="4">
        <f>155595+67404</f>
        <v>222999</v>
      </c>
      <c r="E57" s="12">
        <f t="shared" si="38"/>
        <v>222999</v>
      </c>
      <c r="F57" s="4">
        <f>147815+64034</f>
        <v>211849</v>
      </c>
      <c r="G57" s="12">
        <f t="shared" si="39"/>
        <v>211849</v>
      </c>
      <c r="H57" s="8">
        <v>188545</v>
      </c>
      <c r="I57" s="12">
        <f t="shared" si="40"/>
        <v>188545</v>
      </c>
      <c r="J57" s="8"/>
      <c r="K57" s="12">
        <f t="shared" si="41"/>
        <v>0</v>
      </c>
      <c r="L57" s="4"/>
      <c r="M57" s="12">
        <f t="shared" si="42"/>
        <v>0</v>
      </c>
      <c r="N57" s="14" t="str">
        <f t="shared" si="43"/>
        <v>SAN PIO</v>
      </c>
      <c r="O57" s="4">
        <f t="shared" si="44"/>
        <v>188545</v>
      </c>
      <c r="P57" s="4">
        <f t="shared" si="45"/>
        <v>188545</v>
      </c>
      <c r="Q57" s="15">
        <f t="shared" si="7"/>
        <v>27</v>
      </c>
      <c r="R57" s="19">
        <v>46</v>
      </c>
    </row>
    <row r="58" spans="1:18" ht="18.600000000000001" customHeight="1" x14ac:dyDescent="0.3">
      <c r="A58" s="9" t="s">
        <v>96</v>
      </c>
      <c r="B58" s="7">
        <v>1</v>
      </c>
      <c r="C58" s="7" t="s">
        <v>18</v>
      </c>
      <c r="D58" s="4">
        <v>175000</v>
      </c>
      <c r="E58" s="12">
        <f t="shared" si="31"/>
        <v>175000</v>
      </c>
      <c r="F58" s="4">
        <v>181848.74</v>
      </c>
      <c r="G58" s="12">
        <f t="shared" si="32"/>
        <v>181848.74</v>
      </c>
      <c r="H58" s="8">
        <v>137987</v>
      </c>
      <c r="I58" s="12">
        <f t="shared" si="33"/>
        <v>137987</v>
      </c>
      <c r="J58" s="8"/>
      <c r="K58" s="12">
        <f t="shared" si="34"/>
        <v>0</v>
      </c>
      <c r="L58" s="4"/>
      <c r="M58" s="12">
        <f t="shared" si="35"/>
        <v>0</v>
      </c>
      <c r="N58" s="14" t="str">
        <f t="shared" ref="N58:N64" si="46">+HLOOKUP(O58,A58:M114,Q58,FALSE)</f>
        <v>SAN PIO</v>
      </c>
      <c r="O58" s="4">
        <f t="shared" si="36"/>
        <v>137987</v>
      </c>
      <c r="P58" s="4">
        <f t="shared" si="37"/>
        <v>137987</v>
      </c>
      <c r="Q58" s="15">
        <f t="shared" si="7"/>
        <v>26</v>
      </c>
      <c r="R58" s="19">
        <v>47</v>
      </c>
    </row>
    <row r="59" spans="1:18" ht="18.600000000000001" customHeight="1" x14ac:dyDescent="0.3">
      <c r="A59" s="9" t="s">
        <v>97</v>
      </c>
      <c r="B59" s="7">
        <v>1</v>
      </c>
      <c r="C59" s="7" t="s">
        <v>18</v>
      </c>
      <c r="D59" s="4"/>
      <c r="E59" s="12">
        <f t="shared" si="31"/>
        <v>0</v>
      </c>
      <c r="F59" s="4"/>
      <c r="G59" s="12">
        <f t="shared" si="32"/>
        <v>0</v>
      </c>
      <c r="H59" s="8"/>
      <c r="I59" s="12">
        <f t="shared" si="33"/>
        <v>0</v>
      </c>
      <c r="J59" s="8"/>
      <c r="K59" s="12">
        <f t="shared" si="34"/>
        <v>0</v>
      </c>
      <c r="L59" s="4"/>
      <c r="M59" s="12">
        <f t="shared" si="35"/>
        <v>0</v>
      </c>
      <c r="N59" s="14">
        <f t="shared" si="46"/>
        <v>0</v>
      </c>
      <c r="O59" s="4">
        <f t="shared" si="36"/>
        <v>0</v>
      </c>
      <c r="P59" s="4">
        <f t="shared" si="37"/>
        <v>0</v>
      </c>
      <c r="Q59" s="15">
        <f t="shared" si="7"/>
        <v>25</v>
      </c>
      <c r="R59" s="19">
        <v>48</v>
      </c>
    </row>
    <row r="60" spans="1:18" ht="18.600000000000001" customHeight="1" x14ac:dyDescent="0.3">
      <c r="A60" s="9" t="s">
        <v>98</v>
      </c>
      <c r="B60" s="7">
        <v>1</v>
      </c>
      <c r="C60" s="7" t="s">
        <v>18</v>
      </c>
      <c r="D60" s="4">
        <v>170627</v>
      </c>
      <c r="E60" s="12">
        <f t="shared" si="31"/>
        <v>170627</v>
      </c>
      <c r="F60" s="4">
        <v>162096</v>
      </c>
      <c r="G60" s="12">
        <f t="shared" si="32"/>
        <v>162096</v>
      </c>
      <c r="H60" s="8">
        <v>144265</v>
      </c>
      <c r="I60" s="12">
        <f t="shared" si="33"/>
        <v>144265</v>
      </c>
      <c r="J60" s="8"/>
      <c r="K60" s="12">
        <f t="shared" si="34"/>
        <v>0</v>
      </c>
      <c r="L60" s="4"/>
      <c r="M60" s="12">
        <f t="shared" si="35"/>
        <v>0</v>
      </c>
      <c r="N60" s="14" t="str">
        <f t="shared" si="46"/>
        <v>SAN PIO</v>
      </c>
      <c r="O60" s="4">
        <f t="shared" si="36"/>
        <v>144265</v>
      </c>
      <c r="P60" s="4">
        <f t="shared" si="37"/>
        <v>144265</v>
      </c>
      <c r="Q60" s="15">
        <f t="shared" si="7"/>
        <v>24</v>
      </c>
      <c r="R60" s="19">
        <v>49</v>
      </c>
    </row>
    <row r="61" spans="1:18" ht="18.600000000000001" customHeight="1" x14ac:dyDescent="0.3">
      <c r="A61" s="9"/>
      <c r="B61" s="7"/>
      <c r="C61" s="7"/>
      <c r="D61" s="4"/>
      <c r="E61" s="12">
        <f t="shared" si="31"/>
        <v>0</v>
      </c>
      <c r="F61" s="4"/>
      <c r="G61" s="12">
        <f t="shared" si="32"/>
        <v>0</v>
      </c>
      <c r="H61" s="8"/>
      <c r="I61" s="12">
        <f t="shared" si="33"/>
        <v>0</v>
      </c>
      <c r="J61" s="8"/>
      <c r="K61" s="12">
        <f t="shared" si="34"/>
        <v>0</v>
      </c>
      <c r="L61" s="4"/>
      <c r="M61" s="12">
        <f t="shared" si="35"/>
        <v>0</v>
      </c>
      <c r="N61" s="14">
        <f t="shared" si="46"/>
        <v>0</v>
      </c>
      <c r="O61" s="4">
        <f t="shared" si="36"/>
        <v>0</v>
      </c>
      <c r="P61" s="4">
        <f t="shared" si="37"/>
        <v>0</v>
      </c>
      <c r="Q61" s="15">
        <f t="shared" si="7"/>
        <v>23</v>
      </c>
      <c r="R61" s="19">
        <v>50</v>
      </c>
    </row>
    <row r="62" spans="1:18" ht="18.600000000000001" hidden="1" customHeight="1" x14ac:dyDescent="0.3">
      <c r="A62" s="9"/>
      <c r="B62" s="7"/>
      <c r="C62" s="7"/>
      <c r="D62" s="4"/>
      <c r="E62" s="12">
        <f t="shared" si="31"/>
        <v>0</v>
      </c>
      <c r="F62" s="4"/>
      <c r="G62" s="12">
        <f t="shared" si="32"/>
        <v>0</v>
      </c>
      <c r="H62" s="8"/>
      <c r="I62" s="12">
        <f t="shared" si="33"/>
        <v>0</v>
      </c>
      <c r="J62" s="8"/>
      <c r="K62" s="12">
        <f t="shared" si="34"/>
        <v>0</v>
      </c>
      <c r="L62" s="4"/>
      <c r="M62" s="12">
        <f t="shared" si="35"/>
        <v>0</v>
      </c>
      <c r="N62" s="14">
        <f t="shared" si="46"/>
        <v>0</v>
      </c>
      <c r="O62" s="4">
        <f t="shared" si="36"/>
        <v>0</v>
      </c>
      <c r="P62" s="4">
        <f t="shared" si="37"/>
        <v>0</v>
      </c>
      <c r="Q62" s="15">
        <f t="shared" si="7"/>
        <v>22</v>
      </c>
      <c r="R62" s="19">
        <v>51</v>
      </c>
    </row>
    <row r="63" spans="1:18" ht="18.600000000000001" hidden="1" customHeight="1" x14ac:dyDescent="0.3">
      <c r="A63" s="9"/>
      <c r="B63" s="7"/>
      <c r="C63" s="7"/>
      <c r="D63" s="4"/>
      <c r="E63" s="12">
        <f t="shared" si="31"/>
        <v>0</v>
      </c>
      <c r="F63" s="4"/>
      <c r="G63" s="12">
        <f t="shared" si="32"/>
        <v>0</v>
      </c>
      <c r="H63" s="8"/>
      <c r="I63" s="12">
        <f t="shared" si="33"/>
        <v>0</v>
      </c>
      <c r="J63" s="8"/>
      <c r="K63" s="12">
        <f t="shared" si="34"/>
        <v>0</v>
      </c>
      <c r="L63" s="4"/>
      <c r="M63" s="12">
        <f t="shared" si="35"/>
        <v>0</v>
      </c>
      <c r="N63" s="14">
        <f t="shared" si="46"/>
        <v>0</v>
      </c>
      <c r="O63" s="4">
        <f t="shared" si="36"/>
        <v>0</v>
      </c>
      <c r="P63" s="4">
        <f t="shared" si="37"/>
        <v>0</v>
      </c>
      <c r="Q63" s="15">
        <f t="shared" si="7"/>
        <v>21</v>
      </c>
      <c r="R63" s="19">
        <v>52</v>
      </c>
    </row>
    <row r="64" spans="1:18" ht="27" hidden="1" customHeight="1" x14ac:dyDescent="0.3">
      <c r="A64" s="9"/>
      <c r="B64" s="7"/>
      <c r="C64" s="7"/>
      <c r="D64" s="4"/>
      <c r="E64" s="12">
        <f t="shared" si="22"/>
        <v>0</v>
      </c>
      <c r="F64" s="4"/>
      <c r="G64" s="12">
        <f t="shared" si="23"/>
        <v>0</v>
      </c>
      <c r="H64" s="8"/>
      <c r="I64" s="12">
        <f t="shared" si="24"/>
        <v>0</v>
      </c>
      <c r="J64" s="8"/>
      <c r="K64" s="12">
        <f t="shared" si="25"/>
        <v>0</v>
      </c>
      <c r="L64" s="4"/>
      <c r="M64" s="12">
        <f t="shared" si="26"/>
        <v>0</v>
      </c>
      <c r="N64" s="14">
        <f t="shared" si="46"/>
        <v>0</v>
      </c>
      <c r="O64" s="4">
        <f t="shared" si="36"/>
        <v>0</v>
      </c>
      <c r="P64" s="4">
        <f t="shared" si="37"/>
        <v>0</v>
      </c>
      <c r="Q64" s="15">
        <f t="shared" si="7"/>
        <v>20</v>
      </c>
      <c r="R64" s="19">
        <v>53</v>
      </c>
    </row>
    <row r="65" spans="1:18" ht="22.2" hidden="1" customHeight="1" x14ac:dyDescent="0.3">
      <c r="A65" s="9"/>
      <c r="B65" s="7"/>
      <c r="C65" s="7"/>
      <c r="D65" s="4"/>
      <c r="E65" s="12">
        <f t="shared" si="22"/>
        <v>0</v>
      </c>
      <c r="F65" s="4"/>
      <c r="G65" s="12">
        <f t="shared" si="23"/>
        <v>0</v>
      </c>
      <c r="H65" s="8"/>
      <c r="I65" s="12">
        <f t="shared" si="24"/>
        <v>0</v>
      </c>
      <c r="J65" s="8"/>
      <c r="K65" s="12">
        <f t="shared" si="25"/>
        <v>0</v>
      </c>
      <c r="L65" s="4"/>
      <c r="M65" s="12">
        <f t="shared" si="26"/>
        <v>0</v>
      </c>
      <c r="N65" s="14">
        <f t="shared" ref="N65:N70" si="47">+HLOOKUP(O65,A65:M107,Q65,FALSE)</f>
        <v>0</v>
      </c>
      <c r="O65" s="4">
        <f t="shared" si="29"/>
        <v>0</v>
      </c>
      <c r="P65" s="4">
        <f t="shared" si="30"/>
        <v>0</v>
      </c>
      <c r="Q65" s="15">
        <f t="shared" si="7"/>
        <v>19</v>
      </c>
      <c r="R65" s="19">
        <v>54</v>
      </c>
    </row>
    <row r="66" spans="1:18" ht="18.600000000000001" hidden="1" customHeight="1" x14ac:dyDescent="0.3">
      <c r="A66" s="9"/>
      <c r="B66" s="7"/>
      <c r="C66" s="7"/>
      <c r="D66" s="4"/>
      <c r="E66" s="12">
        <f t="shared" si="22"/>
        <v>0</v>
      </c>
      <c r="F66" s="4"/>
      <c r="G66" s="12">
        <f t="shared" si="23"/>
        <v>0</v>
      </c>
      <c r="H66" s="8"/>
      <c r="I66" s="12">
        <f t="shared" si="24"/>
        <v>0</v>
      </c>
      <c r="J66" s="8"/>
      <c r="K66" s="12">
        <f t="shared" si="25"/>
        <v>0</v>
      </c>
      <c r="L66" s="4"/>
      <c r="M66" s="12">
        <f t="shared" si="26"/>
        <v>0</v>
      </c>
      <c r="N66" s="14">
        <f t="shared" si="47"/>
        <v>0</v>
      </c>
      <c r="O66" s="4">
        <f t="shared" si="29"/>
        <v>0</v>
      </c>
      <c r="P66" s="4">
        <f t="shared" si="30"/>
        <v>0</v>
      </c>
      <c r="Q66" s="15">
        <f t="shared" si="7"/>
        <v>18</v>
      </c>
      <c r="R66" s="19">
        <v>55</v>
      </c>
    </row>
    <row r="67" spans="1:18" ht="18.600000000000001" hidden="1" customHeight="1" x14ac:dyDescent="0.3">
      <c r="A67" s="9"/>
      <c r="B67" s="7"/>
      <c r="C67" s="7"/>
      <c r="D67" s="4"/>
      <c r="E67" s="12">
        <f t="shared" si="22"/>
        <v>0</v>
      </c>
      <c r="F67" s="4"/>
      <c r="G67" s="12">
        <f t="shared" si="23"/>
        <v>0</v>
      </c>
      <c r="H67" s="8"/>
      <c r="I67" s="12">
        <f t="shared" si="24"/>
        <v>0</v>
      </c>
      <c r="J67" s="8"/>
      <c r="K67" s="12">
        <f t="shared" si="25"/>
        <v>0</v>
      </c>
      <c r="L67" s="4"/>
      <c r="M67" s="12">
        <f t="shared" si="26"/>
        <v>0</v>
      </c>
      <c r="N67" s="14">
        <f t="shared" si="47"/>
        <v>0</v>
      </c>
      <c r="O67" s="4">
        <f t="shared" si="29"/>
        <v>0</v>
      </c>
      <c r="P67" s="4">
        <f t="shared" si="30"/>
        <v>0</v>
      </c>
      <c r="Q67" s="15">
        <f t="shared" si="7"/>
        <v>17</v>
      </c>
      <c r="R67" s="19">
        <v>56</v>
      </c>
    </row>
    <row r="68" spans="1:18" ht="18.600000000000001" hidden="1" customHeight="1" x14ac:dyDescent="0.3">
      <c r="A68" s="9"/>
      <c r="B68" s="7"/>
      <c r="C68" s="7"/>
      <c r="D68" s="4"/>
      <c r="E68" s="12">
        <f t="shared" si="22"/>
        <v>0</v>
      </c>
      <c r="F68" s="4"/>
      <c r="G68" s="12">
        <f t="shared" si="23"/>
        <v>0</v>
      </c>
      <c r="H68" s="8"/>
      <c r="I68" s="12">
        <f t="shared" si="24"/>
        <v>0</v>
      </c>
      <c r="J68" s="8"/>
      <c r="K68" s="12">
        <f t="shared" si="25"/>
        <v>0</v>
      </c>
      <c r="L68" s="4"/>
      <c r="M68" s="12">
        <f t="shared" si="26"/>
        <v>0</v>
      </c>
      <c r="N68" s="14">
        <f t="shared" si="47"/>
        <v>0</v>
      </c>
      <c r="O68" s="4">
        <f t="shared" si="29"/>
        <v>0</v>
      </c>
      <c r="P68" s="4">
        <f t="shared" si="30"/>
        <v>0</v>
      </c>
      <c r="Q68" s="15">
        <f t="shared" si="7"/>
        <v>16</v>
      </c>
      <c r="R68" s="19">
        <v>57</v>
      </c>
    </row>
    <row r="69" spans="1:18" ht="18.600000000000001" hidden="1" customHeight="1" x14ac:dyDescent="0.3">
      <c r="A69" s="9"/>
      <c r="B69" s="7"/>
      <c r="C69" s="7"/>
      <c r="D69" s="4"/>
      <c r="E69" s="12">
        <f t="shared" si="22"/>
        <v>0</v>
      </c>
      <c r="F69" s="4"/>
      <c r="G69" s="12">
        <f t="shared" si="23"/>
        <v>0</v>
      </c>
      <c r="H69" s="8"/>
      <c r="I69" s="12">
        <f t="shared" si="24"/>
        <v>0</v>
      </c>
      <c r="J69" s="8"/>
      <c r="K69" s="12">
        <f t="shared" si="25"/>
        <v>0</v>
      </c>
      <c r="L69" s="4"/>
      <c r="M69" s="12">
        <f t="shared" si="26"/>
        <v>0</v>
      </c>
      <c r="N69" s="14">
        <f t="shared" si="47"/>
        <v>0</v>
      </c>
      <c r="O69" s="4">
        <f t="shared" si="29"/>
        <v>0</v>
      </c>
      <c r="P69" s="4">
        <f t="shared" si="30"/>
        <v>0</v>
      </c>
      <c r="Q69" s="15">
        <f t="shared" si="7"/>
        <v>15</v>
      </c>
      <c r="R69" s="19">
        <v>58</v>
      </c>
    </row>
    <row r="70" spans="1:18" ht="18.600000000000001" customHeight="1" x14ac:dyDescent="0.3">
      <c r="A70" s="9"/>
      <c r="B70" s="7"/>
      <c r="C70" s="7"/>
      <c r="D70" s="4"/>
      <c r="E70" s="12">
        <f t="shared" si="22"/>
        <v>0</v>
      </c>
      <c r="F70" s="4"/>
      <c r="G70" s="12">
        <f t="shared" si="23"/>
        <v>0</v>
      </c>
      <c r="H70" s="8"/>
      <c r="I70" s="12">
        <f t="shared" si="24"/>
        <v>0</v>
      </c>
      <c r="J70" s="8"/>
      <c r="K70" s="12">
        <f t="shared" si="25"/>
        <v>0</v>
      </c>
      <c r="L70" s="4"/>
      <c r="M70" s="12">
        <f t="shared" si="26"/>
        <v>0</v>
      </c>
      <c r="N70" s="14">
        <f t="shared" si="47"/>
        <v>0</v>
      </c>
      <c r="O70" s="4">
        <f t="shared" si="29"/>
        <v>0</v>
      </c>
      <c r="P70" s="4">
        <f t="shared" si="30"/>
        <v>0</v>
      </c>
      <c r="Q70" s="15">
        <f t="shared" si="7"/>
        <v>14</v>
      </c>
      <c r="R70" s="19">
        <v>59</v>
      </c>
    </row>
    <row r="71" spans="1:18" x14ac:dyDescent="0.3">
      <c r="A71" s="9"/>
      <c r="B71" s="7"/>
      <c r="C71" s="7"/>
      <c r="D71" s="20"/>
      <c r="E71" s="20"/>
      <c r="F71" s="21"/>
      <c r="G71" s="22"/>
      <c r="H71" s="23"/>
      <c r="I71" s="23"/>
      <c r="J71" s="23"/>
      <c r="K71" s="23"/>
      <c r="L71" s="21"/>
      <c r="M71" s="21"/>
      <c r="N71" s="24"/>
      <c r="O71" s="21"/>
      <c r="P71" s="21"/>
      <c r="Q71" s="15">
        <f t="shared" si="7"/>
        <v>13</v>
      </c>
      <c r="R71" s="19">
        <v>60</v>
      </c>
    </row>
    <row r="72" spans="1:18" ht="15" customHeight="1" x14ac:dyDescent="0.3">
      <c r="A72" s="56" t="s">
        <v>21</v>
      </c>
      <c r="B72" s="56"/>
      <c r="C72" s="56"/>
      <c r="D72" s="20"/>
      <c r="E72" s="20">
        <f>+SUM(E12:E71)</f>
        <v>7847722</v>
      </c>
      <c r="F72" s="20"/>
      <c r="G72" s="20">
        <f>+SUM(G12:G71)</f>
        <v>6453563.7400000002</v>
      </c>
      <c r="H72" s="20"/>
      <c r="I72" s="20">
        <f>+SUM(I12:I71)</f>
        <v>6851274.1512605054</v>
      </c>
      <c r="J72" s="20"/>
      <c r="K72" s="20">
        <f>+SUM(K12:K71)</f>
        <v>0</v>
      </c>
      <c r="L72" s="20"/>
      <c r="M72" s="20">
        <f>+SUM(M12:M71)</f>
        <v>0</v>
      </c>
      <c r="N72" s="20"/>
      <c r="O72" s="20"/>
      <c r="P72" s="20">
        <f>+SUM(P12:P71)</f>
        <v>6515023.1512605054</v>
      </c>
      <c r="Q72" s="15">
        <f t="shared" si="7"/>
        <v>12</v>
      </c>
      <c r="R72" s="19">
        <v>61</v>
      </c>
    </row>
    <row r="73" spans="1:18" ht="15" customHeight="1" x14ac:dyDescent="0.3">
      <c r="A73" s="66" t="s">
        <v>25</v>
      </c>
      <c r="B73" s="66"/>
      <c r="C73" s="66"/>
      <c r="D73" s="25">
        <v>0</v>
      </c>
      <c r="E73" s="20">
        <f>+D73*E72</f>
        <v>0</v>
      </c>
      <c r="F73" s="25">
        <v>0</v>
      </c>
      <c r="G73" s="20">
        <f>+F73*G72</f>
        <v>0</v>
      </c>
      <c r="H73" s="25">
        <v>0</v>
      </c>
      <c r="I73" s="20">
        <f>+H73*I72</f>
        <v>0</v>
      </c>
      <c r="J73" s="25">
        <v>0</v>
      </c>
      <c r="K73" s="20">
        <f>+J73*K72</f>
        <v>0</v>
      </c>
      <c r="L73" s="25">
        <v>0</v>
      </c>
      <c r="M73" s="20">
        <f>+L73*M72</f>
        <v>0</v>
      </c>
      <c r="N73" s="20"/>
      <c r="O73" s="25">
        <v>0</v>
      </c>
      <c r="P73" s="20">
        <f>+O73*P72</f>
        <v>0</v>
      </c>
      <c r="Q73" s="15">
        <f t="shared" si="7"/>
        <v>11</v>
      </c>
      <c r="R73" s="19">
        <v>62</v>
      </c>
    </row>
    <row r="74" spans="1:18" ht="15" customHeight="1" x14ac:dyDescent="0.3">
      <c r="A74" s="56" t="s">
        <v>26</v>
      </c>
      <c r="B74" s="56"/>
      <c r="C74" s="56"/>
      <c r="D74" s="25">
        <v>0.19</v>
      </c>
      <c r="E74" s="20">
        <f>+E72*D74</f>
        <v>1491067.18</v>
      </c>
      <c r="F74" s="25">
        <v>0.19</v>
      </c>
      <c r="G74" s="20">
        <f>+G72*F74</f>
        <v>1226177.1106</v>
      </c>
      <c r="H74" s="25">
        <v>0.19</v>
      </c>
      <c r="I74" s="20">
        <f>+I72*H74</f>
        <v>1301742.088739496</v>
      </c>
      <c r="J74" s="25">
        <v>0.19</v>
      </c>
      <c r="K74" s="20">
        <v>0</v>
      </c>
      <c r="L74" s="25">
        <v>0.19</v>
      </c>
      <c r="M74" s="20">
        <f>+M72*B74</f>
        <v>0</v>
      </c>
      <c r="N74" s="20"/>
      <c r="O74" s="25">
        <v>0.19</v>
      </c>
      <c r="P74" s="20">
        <f>+P72*D74</f>
        <v>1237854.398739496</v>
      </c>
      <c r="Q74" s="15">
        <f t="shared" si="7"/>
        <v>10</v>
      </c>
      <c r="R74" s="19">
        <v>63</v>
      </c>
    </row>
    <row r="75" spans="1:18" ht="15" customHeight="1" x14ac:dyDescent="0.3">
      <c r="A75" s="56" t="s">
        <v>27</v>
      </c>
      <c r="B75" s="56"/>
      <c r="C75" s="56"/>
      <c r="D75" s="20"/>
      <c r="E75" s="20">
        <f>+E74+E72</f>
        <v>9338789.1799999997</v>
      </c>
      <c r="F75" s="20"/>
      <c r="G75" s="20">
        <f>+G74+G72</f>
        <v>7679740.8506000005</v>
      </c>
      <c r="H75" s="20"/>
      <c r="I75" s="20">
        <f>+I74+I72</f>
        <v>8153016.2400000012</v>
      </c>
      <c r="J75" s="20"/>
      <c r="K75" s="20">
        <v>0</v>
      </c>
      <c r="L75" s="20"/>
      <c r="M75" s="20">
        <f>+M74+M72</f>
        <v>0</v>
      </c>
      <c r="N75" s="20"/>
      <c r="O75" s="20"/>
      <c r="P75" s="20">
        <f>+P74+P72</f>
        <v>7752877.5500000017</v>
      </c>
      <c r="Q75" s="15">
        <f t="shared" si="7"/>
        <v>9</v>
      </c>
      <c r="R75" s="19">
        <v>64</v>
      </c>
    </row>
    <row r="76" spans="1:18" ht="15" customHeight="1" x14ac:dyDescent="0.3">
      <c r="A76" s="56" t="s">
        <v>28</v>
      </c>
      <c r="B76" s="56"/>
      <c r="C76" s="56"/>
      <c r="D76" s="38" t="s">
        <v>29</v>
      </c>
      <c r="E76" s="38"/>
      <c r="F76" s="67" t="s">
        <v>29</v>
      </c>
      <c r="G76" s="67"/>
      <c r="H76" s="67" t="s">
        <v>29</v>
      </c>
      <c r="I76" s="67"/>
      <c r="J76" s="67"/>
      <c r="K76" s="67"/>
      <c r="L76" s="67"/>
      <c r="M76" s="67"/>
      <c r="Q76" s="15">
        <f t="shared" si="7"/>
        <v>8</v>
      </c>
      <c r="R76" s="19">
        <v>65</v>
      </c>
    </row>
    <row r="77" spans="1:18" ht="15" customHeight="1" x14ac:dyDescent="0.3">
      <c r="A77" s="66" t="s">
        <v>30</v>
      </c>
      <c r="B77" s="66"/>
      <c r="C77" s="66"/>
      <c r="D77" s="38" t="s">
        <v>24</v>
      </c>
      <c r="E77" s="38"/>
      <c r="F77" s="38" t="s">
        <v>24</v>
      </c>
      <c r="G77" s="38"/>
      <c r="H77" s="38" t="s">
        <v>24</v>
      </c>
      <c r="I77" s="38"/>
      <c r="J77" s="38"/>
      <c r="K77" s="38"/>
      <c r="L77" s="38"/>
      <c r="M77" s="38"/>
      <c r="Q77" s="15">
        <f t="shared" ref="Q77:Q83" si="48">+COUNT(R77:R148)</f>
        <v>7</v>
      </c>
      <c r="R77" s="19">
        <v>66</v>
      </c>
    </row>
    <row r="78" spans="1:18" ht="15" customHeight="1" x14ac:dyDescent="0.3">
      <c r="A78" s="66" t="s">
        <v>31</v>
      </c>
      <c r="B78" s="66"/>
      <c r="C78" s="66"/>
      <c r="D78" s="38"/>
      <c r="E78" s="38"/>
      <c r="F78" s="38"/>
      <c r="G78" s="38"/>
      <c r="H78" s="38"/>
      <c r="I78" s="38"/>
      <c r="J78" s="38"/>
      <c r="K78" s="38"/>
      <c r="L78" s="38"/>
      <c r="M78" s="38"/>
      <c r="Q78" s="15">
        <f t="shared" si="48"/>
        <v>6</v>
      </c>
      <c r="R78" s="19">
        <v>67</v>
      </c>
    </row>
    <row r="79" spans="1:18" ht="15" customHeight="1" x14ac:dyDescent="0.3">
      <c r="A79" s="66" t="s">
        <v>32</v>
      </c>
      <c r="B79" s="66"/>
      <c r="C79" s="66"/>
      <c r="D79" s="38"/>
      <c r="E79" s="38"/>
      <c r="F79" s="38"/>
      <c r="G79" s="38"/>
      <c r="H79" s="38"/>
      <c r="I79" s="38"/>
      <c r="J79" s="38"/>
      <c r="K79" s="38"/>
      <c r="L79" s="38"/>
      <c r="M79" s="38"/>
      <c r="Q79" s="15">
        <f t="shared" si="48"/>
        <v>5</v>
      </c>
      <c r="R79" s="19">
        <v>68</v>
      </c>
    </row>
    <row r="80" spans="1:18" ht="15" customHeight="1" x14ac:dyDescent="0.3">
      <c r="A80" s="56" t="s">
        <v>33</v>
      </c>
      <c r="B80" s="56"/>
      <c r="C80" s="56"/>
      <c r="D80" s="38"/>
      <c r="E80" s="38"/>
      <c r="F80" s="57"/>
      <c r="G80" s="38"/>
      <c r="H80" s="38" t="s">
        <v>118</v>
      </c>
      <c r="I80" s="38"/>
      <c r="J80" s="38"/>
      <c r="K80" s="38"/>
      <c r="L80" s="38"/>
      <c r="M80" s="38"/>
      <c r="Q80" s="15">
        <f t="shared" si="48"/>
        <v>4</v>
      </c>
      <c r="R80" s="19">
        <v>69</v>
      </c>
    </row>
    <row r="81" spans="1:18" ht="6.9" customHeight="1" x14ac:dyDescent="0.3">
      <c r="A81" s="53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5"/>
      <c r="N81" s="10"/>
      <c r="Q81" s="15">
        <f t="shared" si="48"/>
        <v>3</v>
      </c>
      <c r="R81" s="19">
        <v>70</v>
      </c>
    </row>
    <row r="82" spans="1:18" ht="16.5" customHeight="1" x14ac:dyDescent="0.3">
      <c r="A82" s="70" t="s">
        <v>34</v>
      </c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Q82" s="15">
        <f t="shared" si="48"/>
        <v>2</v>
      </c>
      <c r="R82" s="19">
        <v>71</v>
      </c>
    </row>
    <row r="83" spans="1:18" ht="15" customHeight="1" x14ac:dyDescent="0.3">
      <c r="A83" s="71" t="s">
        <v>35</v>
      </c>
      <c r="B83" s="71"/>
      <c r="C83" s="71"/>
      <c r="D83" s="41" t="str">
        <f>+D10</f>
        <v>TECNOPINTURA</v>
      </c>
      <c r="E83" s="41"/>
      <c r="F83" s="41" t="str">
        <f t="shared" ref="F83" si="49">+F10</f>
        <v>PINTURAS INDUSTRIALES</v>
      </c>
      <c r="G83" s="42"/>
      <c r="H83" s="41" t="str">
        <f t="shared" ref="H83" si="50">+H10</f>
        <v>SAN PIO</v>
      </c>
      <c r="I83" s="42"/>
      <c r="J83" s="41">
        <f t="shared" ref="J83" si="51">+J10</f>
        <v>0</v>
      </c>
      <c r="K83" s="42"/>
      <c r="L83" s="41">
        <f t="shared" ref="L83" si="52">+L10</f>
        <v>0</v>
      </c>
      <c r="M83" s="42"/>
      <c r="Q83" s="15">
        <f t="shared" si="48"/>
        <v>1</v>
      </c>
      <c r="R83" s="19">
        <v>72</v>
      </c>
    </row>
    <row r="84" spans="1:18" ht="15" customHeight="1" x14ac:dyDescent="0.3">
      <c r="A84" s="61" t="s">
        <v>36</v>
      </c>
      <c r="B84" s="61"/>
      <c r="C84" s="61"/>
      <c r="D84" s="38" t="s">
        <v>102</v>
      </c>
      <c r="E84" s="38"/>
      <c r="F84" s="38" t="s">
        <v>112</v>
      </c>
      <c r="G84" s="38"/>
      <c r="H84" s="38" t="s">
        <v>107</v>
      </c>
      <c r="I84" s="38"/>
      <c r="J84" s="38"/>
      <c r="K84" s="38"/>
      <c r="L84" s="38"/>
      <c r="M84" s="38"/>
    </row>
    <row r="85" spans="1:18" ht="15" customHeight="1" x14ac:dyDescent="0.3">
      <c r="A85" s="61" t="s">
        <v>37</v>
      </c>
      <c r="B85" s="61"/>
      <c r="C85" s="61"/>
      <c r="D85" s="38" t="s">
        <v>104</v>
      </c>
      <c r="E85" s="38"/>
      <c r="F85" s="38" t="s">
        <v>113</v>
      </c>
      <c r="G85" s="38"/>
      <c r="H85" s="38" t="s">
        <v>108</v>
      </c>
      <c r="I85" s="38"/>
      <c r="J85" s="38"/>
      <c r="K85" s="38"/>
      <c r="L85" s="38"/>
      <c r="M85" s="38"/>
    </row>
    <row r="86" spans="1:18" ht="15" customHeight="1" x14ac:dyDescent="0.3">
      <c r="A86" s="61" t="s">
        <v>38</v>
      </c>
      <c r="B86" s="61"/>
      <c r="C86" s="61"/>
      <c r="D86" s="38" t="s">
        <v>103</v>
      </c>
      <c r="E86" s="38"/>
      <c r="F86" s="38" t="s">
        <v>114</v>
      </c>
      <c r="G86" s="38"/>
      <c r="H86" s="38" t="s">
        <v>109</v>
      </c>
      <c r="I86" s="38"/>
      <c r="J86" s="38"/>
      <c r="K86" s="38"/>
      <c r="L86" s="38"/>
      <c r="M86" s="38"/>
    </row>
    <row r="87" spans="1:18" ht="15" customHeight="1" x14ac:dyDescent="0.3">
      <c r="A87" s="61" t="s">
        <v>39</v>
      </c>
      <c r="B87" s="61"/>
      <c r="C87" s="61"/>
      <c r="D87" s="38">
        <v>4442921</v>
      </c>
      <c r="E87" s="38"/>
      <c r="F87" s="38" t="s">
        <v>115</v>
      </c>
      <c r="G87" s="38"/>
      <c r="H87" s="38">
        <v>4440960</v>
      </c>
      <c r="I87" s="38"/>
      <c r="J87" s="38"/>
      <c r="K87" s="38"/>
      <c r="L87" s="38"/>
      <c r="M87" s="38"/>
    </row>
    <row r="88" spans="1:18" ht="15" customHeight="1" x14ac:dyDescent="0.3">
      <c r="A88" s="61" t="s">
        <v>40</v>
      </c>
      <c r="B88" s="61"/>
      <c r="C88" s="61"/>
      <c r="D88" s="38" t="s">
        <v>105</v>
      </c>
      <c r="E88" s="38"/>
      <c r="F88" s="38" t="s">
        <v>116</v>
      </c>
      <c r="G88" s="38"/>
      <c r="H88" s="38" t="s">
        <v>110</v>
      </c>
      <c r="I88" s="38"/>
      <c r="J88" s="38"/>
      <c r="K88" s="38"/>
      <c r="L88" s="38"/>
      <c r="M88" s="38"/>
    </row>
    <row r="89" spans="1:18" ht="15" customHeight="1" x14ac:dyDescent="0.3">
      <c r="A89" s="61" t="s">
        <v>41</v>
      </c>
      <c r="B89" s="61"/>
      <c r="C89" s="61"/>
      <c r="D89" s="62" t="s">
        <v>106</v>
      </c>
      <c r="E89" s="64"/>
      <c r="F89" s="62" t="s">
        <v>117</v>
      </c>
      <c r="G89" s="63"/>
      <c r="H89" s="62" t="s">
        <v>111</v>
      </c>
      <c r="I89" s="63"/>
      <c r="J89" s="64"/>
      <c r="K89" s="38"/>
      <c r="L89" s="38"/>
      <c r="M89" s="38"/>
    </row>
    <row r="90" spans="1:18" ht="15" customHeight="1" x14ac:dyDescent="0.3">
      <c r="A90" s="61" t="s">
        <v>42</v>
      </c>
      <c r="B90" s="61"/>
      <c r="C90" s="61"/>
      <c r="D90" s="59">
        <f>IFERROR((COUNTIF($N$12:$N$71,D83))/COUNT($B$12:$B$71),"")</f>
        <v>2.0408163265306121E-2</v>
      </c>
      <c r="E90" s="59"/>
      <c r="F90" s="59">
        <f>IFERROR((COUNTIF($N$12:$N$71,F83))/COUNT($B$12:$B$71),"")</f>
        <v>0.10204081632653061</v>
      </c>
      <c r="G90" s="59"/>
      <c r="H90" s="59">
        <f>IFERROR((COUNTIF($N$12:$N$71,H83))/COUNT($B$12:$B$71),"")</f>
        <v>0.83673469387755106</v>
      </c>
      <c r="I90" s="59"/>
      <c r="J90" s="59">
        <v>0</v>
      </c>
      <c r="K90" s="59"/>
      <c r="L90" s="59">
        <v>0</v>
      </c>
      <c r="M90" s="59"/>
    </row>
    <row r="91" spans="1:18" ht="6.9" customHeight="1" x14ac:dyDescent="0.3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</row>
    <row r="92" spans="1:18" ht="12" x14ac:dyDescent="0.3">
      <c r="A92" s="26" t="s">
        <v>43</v>
      </c>
      <c r="B92" s="60" t="str">
        <f>IFERROR(CONCATENATE("Según el análisis económico comparativo, el proveedor ",HLOOKUP(MAX(D90:M90),D90:M95,7,FALSE)," es el más adecuado"),"")</f>
        <v/>
      </c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8" ht="12" x14ac:dyDescent="0.3">
      <c r="A93" s="72" t="s">
        <v>44</v>
      </c>
      <c r="B93" s="72"/>
      <c r="C93" s="29" t="s">
        <v>45</v>
      </c>
      <c r="D93" s="30"/>
      <c r="E93" s="30"/>
      <c r="F93" s="30"/>
      <c r="G93" s="30"/>
      <c r="H93" s="30"/>
      <c r="I93" s="30"/>
      <c r="J93" s="30"/>
      <c r="K93" s="30"/>
      <c r="L93" s="30"/>
      <c r="M93" s="31"/>
    </row>
    <row r="95" spans="1:18" ht="12" hidden="1" x14ac:dyDescent="0.3">
      <c r="D95" s="68" t="str">
        <f>+D83</f>
        <v>TECNOPINTURA</v>
      </c>
      <c r="E95" s="69"/>
      <c r="F95" s="68" t="str">
        <f t="shared" ref="F95" si="53">+F83</f>
        <v>PINTURAS INDUSTRIALES</v>
      </c>
      <c r="G95" s="69"/>
      <c r="H95" s="68" t="str">
        <f t="shared" ref="H95" si="54">+H83</f>
        <v>SAN PIO</v>
      </c>
      <c r="I95" s="69"/>
      <c r="J95" s="68">
        <f t="shared" ref="J95" si="55">+J83</f>
        <v>0</v>
      </c>
      <c r="K95" s="69"/>
      <c r="L95" s="68">
        <f t="shared" ref="L95" si="56">+L83</f>
        <v>0</v>
      </c>
      <c r="M95" s="69"/>
    </row>
    <row r="96" spans="1:18" x14ac:dyDescent="0.3">
      <c r="H96" s="27"/>
    </row>
  </sheetData>
  <mergeCells count="117">
    <mergeCell ref="D95:E95"/>
    <mergeCell ref="F95:G95"/>
    <mergeCell ref="H95:I95"/>
    <mergeCell ref="J95:K95"/>
    <mergeCell ref="L95:M95"/>
    <mergeCell ref="A89:C89"/>
    <mergeCell ref="D89:E89"/>
    <mergeCell ref="F89:G89"/>
    <mergeCell ref="A82:M82"/>
    <mergeCell ref="D83:E83"/>
    <mergeCell ref="D84:E84"/>
    <mergeCell ref="D85:E85"/>
    <mergeCell ref="D86:E86"/>
    <mergeCell ref="A83:C83"/>
    <mergeCell ref="A84:C84"/>
    <mergeCell ref="A85:C85"/>
    <mergeCell ref="A86:C86"/>
    <mergeCell ref="A93:B93"/>
    <mergeCell ref="F90:G90"/>
    <mergeCell ref="H90:I90"/>
    <mergeCell ref="J90:K90"/>
    <mergeCell ref="D90:E90"/>
    <mergeCell ref="A90:C90"/>
    <mergeCell ref="A91:M91"/>
    <mergeCell ref="N10:P10"/>
    <mergeCell ref="O6:P6"/>
    <mergeCell ref="A72:C72"/>
    <mergeCell ref="A73:C73"/>
    <mergeCell ref="A77:C77"/>
    <mergeCell ref="A78:C78"/>
    <mergeCell ref="A79:C79"/>
    <mergeCell ref="A74:C74"/>
    <mergeCell ref="A75:C75"/>
    <mergeCell ref="A76:C76"/>
    <mergeCell ref="F77:G77"/>
    <mergeCell ref="H77:I77"/>
    <mergeCell ref="J77:K77"/>
    <mergeCell ref="L77:M77"/>
    <mergeCell ref="D77:E77"/>
    <mergeCell ref="F78:G78"/>
    <mergeCell ref="H78:I78"/>
    <mergeCell ref="J78:K78"/>
    <mergeCell ref="L78:M78"/>
    <mergeCell ref="D78:E78"/>
    <mergeCell ref="F76:G76"/>
    <mergeCell ref="H76:I76"/>
    <mergeCell ref="J76:K76"/>
    <mergeCell ref="L76:M76"/>
    <mergeCell ref="H86:I86"/>
    <mergeCell ref="J86:K86"/>
    <mergeCell ref="L86:M86"/>
    <mergeCell ref="F83:G83"/>
    <mergeCell ref="H83:I83"/>
    <mergeCell ref="J83:K83"/>
    <mergeCell ref="L83:M83"/>
    <mergeCell ref="L90:M90"/>
    <mergeCell ref="B92:M92"/>
    <mergeCell ref="F87:G87"/>
    <mergeCell ref="H87:I87"/>
    <mergeCell ref="J87:K87"/>
    <mergeCell ref="L87:M87"/>
    <mergeCell ref="F88:G88"/>
    <mergeCell ref="H88:I88"/>
    <mergeCell ref="J88:K88"/>
    <mergeCell ref="L88:M88"/>
    <mergeCell ref="D87:E87"/>
    <mergeCell ref="D88:E88"/>
    <mergeCell ref="A87:C87"/>
    <mergeCell ref="A88:C88"/>
    <mergeCell ref="H89:I89"/>
    <mergeCell ref="J89:K89"/>
    <mergeCell ref="L89:M89"/>
    <mergeCell ref="A1:B3"/>
    <mergeCell ref="C1:H3"/>
    <mergeCell ref="A4:B4"/>
    <mergeCell ref="A81:M81"/>
    <mergeCell ref="D80:E80"/>
    <mergeCell ref="A80:C80"/>
    <mergeCell ref="F84:G84"/>
    <mergeCell ref="H84:I84"/>
    <mergeCell ref="J84:K84"/>
    <mergeCell ref="L84:M84"/>
    <mergeCell ref="F79:G79"/>
    <mergeCell ref="H79:I79"/>
    <mergeCell ref="J79:K79"/>
    <mergeCell ref="L79:M79"/>
    <mergeCell ref="D79:E79"/>
    <mergeCell ref="F80:G80"/>
    <mergeCell ref="H80:I80"/>
    <mergeCell ref="J80:K80"/>
    <mergeCell ref="L80:M80"/>
    <mergeCell ref="F4:H4"/>
    <mergeCell ref="C4:D4"/>
    <mergeCell ref="C93:M93"/>
    <mergeCell ref="A5:J5"/>
    <mergeCell ref="B6:D6"/>
    <mergeCell ref="F6:H6"/>
    <mergeCell ref="J6:M6"/>
    <mergeCell ref="D76:E76"/>
    <mergeCell ref="B7:E7"/>
    <mergeCell ref="G7:M7"/>
    <mergeCell ref="A9:C9"/>
    <mergeCell ref="D9:M9"/>
    <mergeCell ref="A10:A11"/>
    <mergeCell ref="B10:B11"/>
    <mergeCell ref="C10:C11"/>
    <mergeCell ref="D10:E10"/>
    <mergeCell ref="F10:G10"/>
    <mergeCell ref="H10:I10"/>
    <mergeCell ref="J10:K10"/>
    <mergeCell ref="L10:M10"/>
    <mergeCell ref="A8:M8"/>
    <mergeCell ref="F85:G85"/>
    <mergeCell ref="H85:I85"/>
    <mergeCell ref="J85:K85"/>
    <mergeCell ref="L85:M85"/>
    <mergeCell ref="F86:G86"/>
  </mergeCells>
  <phoneticPr fontId="12" type="noConversion"/>
  <hyperlinks>
    <hyperlink ref="H89" r:id="rId1" xr:uid="{7455D226-2826-4DFA-8878-B5EA1CF34317}"/>
    <hyperlink ref="F89" r:id="rId2" xr:uid="{DEC21E85-6328-4713-8167-5C7ADBDDA6F9}"/>
  </hyperlinks>
  <printOptions horizontalCentered="1" verticalCentered="1"/>
  <pageMargins left="0.31496062992125984" right="0.31496062992125984" top="0.35433070866141736" bottom="0.35433070866141736" header="0.31496062992125984" footer="0.31496062992125984"/>
  <pageSetup scale="48" orientation="landscape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F42E9-808D-4878-8B26-BC2A34A2DC3A}">
  <dimension ref="A1"/>
  <sheetViews>
    <sheetView workbookViewId="0">
      <selection activeCell="B29" sqref="B29"/>
    </sheetView>
  </sheetViews>
  <sheetFormatPr baseColWidth="10" defaultRowHeight="14.4" x14ac:dyDescent="0.3"/>
  <cols>
    <col min="2" max="2" width="121.10937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48abf51-0622-4536-a904-370db087c848" xsi:nil="true"/>
    <lcf76f155ced4ddcb4097134ff3c332f xmlns="0e48cec0-cc19-4e5b-84a7-83cb7ff8583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58333A7FA8ED47AE997B3C051B91C9" ma:contentTypeVersion="14" ma:contentTypeDescription="Crear nuevo documento." ma:contentTypeScope="" ma:versionID="27380c58e825d07aa93672a06e5dfb6f">
  <xsd:schema xmlns:xsd="http://www.w3.org/2001/XMLSchema" xmlns:xs="http://www.w3.org/2001/XMLSchema" xmlns:p="http://schemas.microsoft.com/office/2006/metadata/properties" xmlns:ns2="0e48cec0-cc19-4e5b-84a7-83cb7ff85836" xmlns:ns3="a48abf51-0622-4536-a904-370db087c848" targetNamespace="http://schemas.microsoft.com/office/2006/metadata/properties" ma:root="true" ma:fieldsID="87cf5d9da6c3fac8f592e23c157f04c5" ns2:_="" ns3:_="">
    <xsd:import namespace="0e48cec0-cc19-4e5b-84a7-83cb7ff85836"/>
    <xsd:import namespace="a48abf51-0622-4536-a904-370db087c8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48cec0-cc19-4e5b-84a7-83cb7ff858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166a8ef6-8a66-4e83-9a5a-219d91e0ed4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8abf51-0622-4536-a904-370db087c848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da17c5e-5a47-4729-b745-83170dbc06fd}" ma:internalName="TaxCatchAll" ma:showField="CatchAllData" ma:web="a48abf51-0622-4536-a904-370db087c84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FCD33E-AA52-4781-9524-D9183ACA1308}">
  <ds:schemaRefs>
    <ds:schemaRef ds:uri="http://schemas.microsoft.com/office/2006/metadata/properties"/>
    <ds:schemaRef ds:uri="http://schemas.microsoft.com/office/infopath/2007/PartnerControls"/>
    <ds:schemaRef ds:uri="a48abf51-0622-4536-a904-370db087c848"/>
    <ds:schemaRef ds:uri="0e48cec0-cc19-4e5b-84a7-83cb7ff85836"/>
  </ds:schemaRefs>
</ds:datastoreItem>
</file>

<file path=customXml/itemProps2.xml><?xml version="1.0" encoding="utf-8"?>
<ds:datastoreItem xmlns:ds="http://schemas.openxmlformats.org/officeDocument/2006/customXml" ds:itemID="{6753CF05-6629-4353-A742-59850EDE2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48cec0-cc19-4e5b-84a7-83cb7ff85836"/>
    <ds:schemaRef ds:uri="a48abf51-0622-4536-a904-370db087c8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F7E2E50-CD29-446D-8F75-2CCF3BC8972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Cuadro comparativo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Marbelys Barreto</cp:lastModifiedBy>
  <cp:revision/>
  <dcterms:created xsi:type="dcterms:W3CDTF">2012-04-24T22:03:28Z</dcterms:created>
  <dcterms:modified xsi:type="dcterms:W3CDTF">2026-01-28T18:45:22Z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0x010100EE58333A7FA8ED47AE997B3C051B91C9</vt:lpwstr>
  </property>
  <property fmtid="{D5CDD505-2E9C-101B-9397-08002B2CF9AE}" pid="3" name="Order">
    <vt:r8>5400</vt:r8>
  </property>
  <property fmtid="{D5CDD505-2E9C-101B-9397-08002B2CF9AE}" pid="4" name="MediaServiceImageTags">
    <vt:lpwstr/>
  </property>
</Properties>
</file>