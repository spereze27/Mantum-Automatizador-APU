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scritorio\AUDITORIA\ACUERDO MACRO DE  PRECIOS\"/>
    </mc:Choice>
  </mc:AlternateContent>
  <xr:revisionPtr revIDLastSave="0" documentId="13_ncr:1_{60B6B5E4-503B-48FD-A597-6A3AC6020D4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ISTADO MACRO" sheetId="3" r:id="rId1"/>
  </sheets>
  <definedNames>
    <definedName name="_xlnm._FilterDatabase" localSheetId="0" hidden="1">'LISTADO MACRO'!$C$7:$AF$211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211" i="3" l="1"/>
  <c r="AF211" i="3" s="1"/>
  <c r="S211" i="3"/>
  <c r="T211" i="3" s="1"/>
  <c r="AE9" i="3"/>
  <c r="AF9" i="3" s="1"/>
  <c r="AE10" i="3"/>
  <c r="AF10" i="3" s="1"/>
  <c r="AE11" i="3"/>
  <c r="AF11" i="3"/>
  <c r="AE12" i="3"/>
  <c r="AF12" i="3" s="1"/>
  <c r="AE13" i="3"/>
  <c r="AF13" i="3" s="1"/>
  <c r="AE14" i="3"/>
  <c r="AF14" i="3" s="1"/>
  <c r="AE15" i="3"/>
  <c r="AF15" i="3" s="1"/>
  <c r="AE16" i="3"/>
  <c r="AF16" i="3" s="1"/>
  <c r="AE17" i="3"/>
  <c r="AF17" i="3" s="1"/>
  <c r="AE18" i="3"/>
  <c r="AF18" i="3" s="1"/>
  <c r="AE19" i="3"/>
  <c r="AF19" i="3" s="1"/>
  <c r="AE20" i="3"/>
  <c r="AF20" i="3" s="1"/>
  <c r="AE21" i="3"/>
  <c r="AF21" i="3" s="1"/>
  <c r="AE22" i="3"/>
  <c r="AF22" i="3" s="1"/>
  <c r="AE23" i="3"/>
  <c r="AF23" i="3" s="1"/>
  <c r="AE24" i="3"/>
  <c r="AF24" i="3" s="1"/>
  <c r="AE25" i="3"/>
  <c r="AF25" i="3" s="1"/>
  <c r="AE26" i="3"/>
  <c r="AF26" i="3" s="1"/>
  <c r="AE27" i="3"/>
  <c r="AF27" i="3" s="1"/>
  <c r="AE28" i="3"/>
  <c r="AF28" i="3" s="1"/>
  <c r="AE29" i="3"/>
  <c r="AF29" i="3" s="1"/>
  <c r="AE30" i="3"/>
  <c r="AF30" i="3" s="1"/>
  <c r="AE31" i="3"/>
  <c r="AF31" i="3" s="1"/>
  <c r="AE32" i="3"/>
  <c r="AF32" i="3" s="1"/>
  <c r="AE33" i="3"/>
  <c r="AF33" i="3" s="1"/>
  <c r="AE34" i="3"/>
  <c r="AF34" i="3" s="1"/>
  <c r="AE35" i="3"/>
  <c r="AF35" i="3" s="1"/>
  <c r="AE36" i="3"/>
  <c r="AF36" i="3" s="1"/>
  <c r="AE37" i="3"/>
  <c r="AF37" i="3" s="1"/>
  <c r="AE38" i="3"/>
  <c r="AF38" i="3" s="1"/>
  <c r="AE39" i="3"/>
  <c r="AF39" i="3" s="1"/>
  <c r="AE40" i="3"/>
  <c r="AF40" i="3" s="1"/>
  <c r="AE41" i="3"/>
  <c r="AF41" i="3" s="1"/>
  <c r="AE42" i="3"/>
  <c r="AF42" i="3" s="1"/>
  <c r="AE43" i="3"/>
  <c r="AF43" i="3" s="1"/>
  <c r="AE44" i="3"/>
  <c r="AF44" i="3" s="1"/>
  <c r="AE45" i="3"/>
  <c r="AF45" i="3" s="1"/>
  <c r="AE46" i="3"/>
  <c r="AF46" i="3" s="1"/>
  <c r="AE47" i="3"/>
  <c r="AF47" i="3" s="1"/>
  <c r="AE48" i="3"/>
  <c r="AF48" i="3" s="1"/>
  <c r="AE49" i="3"/>
  <c r="AF49" i="3" s="1"/>
  <c r="AE50" i="3"/>
  <c r="AF50" i="3" s="1"/>
  <c r="AE51" i="3"/>
  <c r="AF51" i="3" s="1"/>
  <c r="AE52" i="3"/>
  <c r="AF52" i="3" s="1"/>
  <c r="AE53" i="3"/>
  <c r="AF53" i="3" s="1"/>
  <c r="AE54" i="3"/>
  <c r="AF54" i="3" s="1"/>
  <c r="AE55" i="3"/>
  <c r="AF55" i="3" s="1"/>
  <c r="AE56" i="3"/>
  <c r="AF56" i="3" s="1"/>
  <c r="AE57" i="3"/>
  <c r="AF57" i="3" s="1"/>
  <c r="AE58" i="3"/>
  <c r="AF58" i="3" s="1"/>
  <c r="AE59" i="3"/>
  <c r="AF59" i="3" s="1"/>
  <c r="AE60" i="3"/>
  <c r="AF60" i="3" s="1"/>
  <c r="AE61" i="3"/>
  <c r="AF61" i="3" s="1"/>
  <c r="AE62" i="3"/>
  <c r="AF62" i="3" s="1"/>
  <c r="AE63" i="3"/>
  <c r="AF63" i="3" s="1"/>
  <c r="AE64" i="3"/>
  <c r="AF64" i="3" s="1"/>
  <c r="AE65" i="3"/>
  <c r="AF65" i="3" s="1"/>
  <c r="AE66" i="3"/>
  <c r="AF66" i="3" s="1"/>
  <c r="AE67" i="3"/>
  <c r="AF67" i="3" s="1"/>
  <c r="AE68" i="3"/>
  <c r="AF68" i="3" s="1"/>
  <c r="AE69" i="3"/>
  <c r="AF69" i="3" s="1"/>
  <c r="AE70" i="3"/>
  <c r="AF70" i="3" s="1"/>
  <c r="AE71" i="3"/>
  <c r="AF71" i="3" s="1"/>
  <c r="AE72" i="3"/>
  <c r="AF72" i="3" s="1"/>
  <c r="AE73" i="3"/>
  <c r="AF73" i="3" s="1"/>
  <c r="AE74" i="3"/>
  <c r="AF74" i="3" s="1"/>
  <c r="AE75" i="3"/>
  <c r="AF75" i="3" s="1"/>
  <c r="AE76" i="3"/>
  <c r="AF76" i="3" s="1"/>
  <c r="AE77" i="3"/>
  <c r="AF77" i="3" s="1"/>
  <c r="AE78" i="3"/>
  <c r="AF78" i="3" s="1"/>
  <c r="AE79" i="3"/>
  <c r="AF79" i="3" s="1"/>
  <c r="AE80" i="3"/>
  <c r="AF80" i="3" s="1"/>
  <c r="AE81" i="3"/>
  <c r="AF81" i="3" s="1"/>
  <c r="AE82" i="3"/>
  <c r="AF82" i="3" s="1"/>
  <c r="AE83" i="3"/>
  <c r="AF83" i="3" s="1"/>
  <c r="AE84" i="3"/>
  <c r="AF84" i="3" s="1"/>
  <c r="AE85" i="3"/>
  <c r="AF85" i="3" s="1"/>
  <c r="AE86" i="3"/>
  <c r="AF86" i="3" s="1"/>
  <c r="AE87" i="3"/>
  <c r="AF87" i="3" s="1"/>
  <c r="AE88" i="3"/>
  <c r="AF88" i="3" s="1"/>
  <c r="AE89" i="3"/>
  <c r="AF89" i="3" s="1"/>
  <c r="AE90" i="3"/>
  <c r="AF90" i="3" s="1"/>
  <c r="AE91" i="3"/>
  <c r="AF91" i="3" s="1"/>
  <c r="AE92" i="3"/>
  <c r="AF92" i="3" s="1"/>
  <c r="AE93" i="3"/>
  <c r="AF93" i="3" s="1"/>
  <c r="AE94" i="3"/>
  <c r="AF94" i="3" s="1"/>
  <c r="AE95" i="3"/>
  <c r="AF95" i="3" s="1"/>
  <c r="AE96" i="3"/>
  <c r="AF96" i="3" s="1"/>
  <c r="AE97" i="3"/>
  <c r="AF97" i="3" s="1"/>
  <c r="AE98" i="3"/>
  <c r="AF98" i="3" s="1"/>
  <c r="AE99" i="3"/>
  <c r="AF99" i="3" s="1"/>
  <c r="AE100" i="3"/>
  <c r="AF100" i="3" s="1"/>
  <c r="AE101" i="3"/>
  <c r="AF101" i="3" s="1"/>
  <c r="AE102" i="3"/>
  <c r="AF102" i="3" s="1"/>
  <c r="AE103" i="3"/>
  <c r="AF103" i="3" s="1"/>
  <c r="AE104" i="3"/>
  <c r="AF104" i="3" s="1"/>
  <c r="AE105" i="3"/>
  <c r="AF105" i="3" s="1"/>
  <c r="AE106" i="3"/>
  <c r="AF106" i="3" s="1"/>
  <c r="AE107" i="3"/>
  <c r="AF107" i="3" s="1"/>
  <c r="AE108" i="3"/>
  <c r="AF108" i="3" s="1"/>
  <c r="AE109" i="3"/>
  <c r="AF109" i="3" s="1"/>
  <c r="AE110" i="3"/>
  <c r="AF110" i="3" s="1"/>
  <c r="AE111" i="3"/>
  <c r="AF111" i="3" s="1"/>
  <c r="AE112" i="3"/>
  <c r="AF112" i="3" s="1"/>
  <c r="AE113" i="3"/>
  <c r="AF113" i="3" s="1"/>
  <c r="AE114" i="3"/>
  <c r="AF114" i="3" s="1"/>
  <c r="AE115" i="3"/>
  <c r="AF115" i="3" s="1"/>
  <c r="AE116" i="3"/>
  <c r="AF116" i="3" s="1"/>
  <c r="AE117" i="3"/>
  <c r="AF117" i="3" s="1"/>
  <c r="AE118" i="3"/>
  <c r="AF118" i="3" s="1"/>
  <c r="AE119" i="3"/>
  <c r="AF119" i="3" s="1"/>
  <c r="AE120" i="3"/>
  <c r="AF120" i="3" s="1"/>
  <c r="AE121" i="3"/>
  <c r="AF121" i="3" s="1"/>
  <c r="AE122" i="3"/>
  <c r="AF122" i="3" s="1"/>
  <c r="AE123" i="3"/>
  <c r="AF123" i="3" s="1"/>
  <c r="AE124" i="3"/>
  <c r="AF124" i="3" s="1"/>
  <c r="AE125" i="3"/>
  <c r="AF125" i="3" s="1"/>
  <c r="AE126" i="3"/>
  <c r="AF126" i="3" s="1"/>
  <c r="AE127" i="3"/>
  <c r="AF127" i="3" s="1"/>
  <c r="AE128" i="3"/>
  <c r="AF128" i="3" s="1"/>
  <c r="AE129" i="3"/>
  <c r="AF129" i="3" s="1"/>
  <c r="AE130" i="3"/>
  <c r="AF130" i="3" s="1"/>
  <c r="AE131" i="3"/>
  <c r="AF131" i="3" s="1"/>
  <c r="AE132" i="3"/>
  <c r="AF132" i="3" s="1"/>
  <c r="AE133" i="3"/>
  <c r="AF133" i="3" s="1"/>
  <c r="AE134" i="3"/>
  <c r="AF134" i="3" s="1"/>
  <c r="AE135" i="3"/>
  <c r="AF135" i="3" s="1"/>
  <c r="AE136" i="3"/>
  <c r="AF136" i="3" s="1"/>
  <c r="AE137" i="3"/>
  <c r="AF137" i="3" s="1"/>
  <c r="AE138" i="3"/>
  <c r="AF138" i="3" s="1"/>
  <c r="AE139" i="3"/>
  <c r="AF139" i="3" s="1"/>
  <c r="AE140" i="3"/>
  <c r="AF140" i="3" s="1"/>
  <c r="AE141" i="3"/>
  <c r="AF141" i="3" s="1"/>
  <c r="AE142" i="3"/>
  <c r="AF142" i="3" s="1"/>
  <c r="AE143" i="3"/>
  <c r="AF143" i="3" s="1"/>
  <c r="AE144" i="3"/>
  <c r="AF144" i="3" s="1"/>
  <c r="AE145" i="3"/>
  <c r="AF145" i="3" s="1"/>
  <c r="AE146" i="3"/>
  <c r="AF146" i="3" s="1"/>
  <c r="AE147" i="3"/>
  <c r="AF147" i="3" s="1"/>
  <c r="AE148" i="3"/>
  <c r="AF148" i="3" s="1"/>
  <c r="AE149" i="3"/>
  <c r="AF149" i="3" s="1"/>
  <c r="AE150" i="3"/>
  <c r="AF150" i="3" s="1"/>
  <c r="AE151" i="3"/>
  <c r="AF151" i="3" s="1"/>
  <c r="AE152" i="3"/>
  <c r="AF152" i="3" s="1"/>
  <c r="AE153" i="3"/>
  <c r="AF153" i="3" s="1"/>
  <c r="AE154" i="3"/>
  <c r="AF154" i="3" s="1"/>
  <c r="AE155" i="3"/>
  <c r="AF155" i="3" s="1"/>
  <c r="AE156" i="3"/>
  <c r="AF156" i="3" s="1"/>
  <c r="AE157" i="3"/>
  <c r="AF157" i="3" s="1"/>
  <c r="AE158" i="3"/>
  <c r="AF158" i="3" s="1"/>
  <c r="AE159" i="3"/>
  <c r="AF159" i="3" s="1"/>
  <c r="AE160" i="3"/>
  <c r="AF160" i="3" s="1"/>
  <c r="AE161" i="3"/>
  <c r="AF161" i="3" s="1"/>
  <c r="AE162" i="3"/>
  <c r="AF162" i="3" s="1"/>
  <c r="AE163" i="3"/>
  <c r="AF163" i="3" s="1"/>
  <c r="AE164" i="3"/>
  <c r="AF164" i="3" s="1"/>
  <c r="AE165" i="3"/>
  <c r="AF165" i="3" s="1"/>
  <c r="AE166" i="3"/>
  <c r="AF166" i="3" s="1"/>
  <c r="AE167" i="3"/>
  <c r="AF167" i="3" s="1"/>
  <c r="AE168" i="3"/>
  <c r="AF168" i="3" s="1"/>
  <c r="AE169" i="3"/>
  <c r="AF169" i="3" s="1"/>
  <c r="AE170" i="3"/>
  <c r="AF170" i="3" s="1"/>
  <c r="AE171" i="3"/>
  <c r="AF171" i="3" s="1"/>
  <c r="AE172" i="3"/>
  <c r="AF172" i="3" s="1"/>
  <c r="AE173" i="3"/>
  <c r="AF173" i="3" s="1"/>
  <c r="AE174" i="3"/>
  <c r="AF174" i="3" s="1"/>
  <c r="AE175" i="3"/>
  <c r="AF175" i="3" s="1"/>
  <c r="AE176" i="3"/>
  <c r="AF176" i="3" s="1"/>
  <c r="AE177" i="3"/>
  <c r="AF177" i="3" s="1"/>
  <c r="AE178" i="3"/>
  <c r="AF178" i="3" s="1"/>
  <c r="AE179" i="3"/>
  <c r="AF179" i="3" s="1"/>
  <c r="AE180" i="3"/>
  <c r="AF180" i="3" s="1"/>
  <c r="AE181" i="3"/>
  <c r="AF181" i="3" s="1"/>
  <c r="AE182" i="3"/>
  <c r="AF182" i="3" s="1"/>
  <c r="AE183" i="3"/>
  <c r="AF183" i="3" s="1"/>
  <c r="AE184" i="3"/>
  <c r="AF184" i="3" s="1"/>
  <c r="AE185" i="3"/>
  <c r="AF185" i="3" s="1"/>
  <c r="AE186" i="3"/>
  <c r="AF186" i="3" s="1"/>
  <c r="AE187" i="3"/>
  <c r="AF187" i="3" s="1"/>
  <c r="AE188" i="3"/>
  <c r="AF188" i="3" s="1"/>
  <c r="AE189" i="3"/>
  <c r="AF189" i="3" s="1"/>
  <c r="AE190" i="3"/>
  <c r="AF190" i="3" s="1"/>
  <c r="AE191" i="3"/>
  <c r="AF191" i="3" s="1"/>
  <c r="AE192" i="3"/>
  <c r="AF192" i="3" s="1"/>
  <c r="AE193" i="3"/>
  <c r="AF193" i="3" s="1"/>
  <c r="AE194" i="3"/>
  <c r="AF194" i="3" s="1"/>
  <c r="AE195" i="3"/>
  <c r="AF195" i="3" s="1"/>
  <c r="AE196" i="3"/>
  <c r="AF196" i="3" s="1"/>
  <c r="AE197" i="3"/>
  <c r="AF197" i="3" s="1"/>
  <c r="AE198" i="3"/>
  <c r="AF198" i="3" s="1"/>
  <c r="AE199" i="3"/>
  <c r="AF199" i="3" s="1"/>
  <c r="AE200" i="3"/>
  <c r="AF200" i="3" s="1"/>
  <c r="AE201" i="3"/>
  <c r="AF201" i="3" s="1"/>
  <c r="AE202" i="3"/>
  <c r="AF202" i="3" s="1"/>
  <c r="AE203" i="3"/>
  <c r="AF203" i="3" s="1"/>
  <c r="AE204" i="3"/>
  <c r="AF204" i="3" s="1"/>
  <c r="AE205" i="3"/>
  <c r="AF205" i="3" s="1"/>
  <c r="AE206" i="3"/>
  <c r="AF206" i="3" s="1"/>
  <c r="AE207" i="3"/>
  <c r="AF207" i="3" s="1"/>
  <c r="AE208" i="3"/>
  <c r="AF208" i="3" s="1"/>
  <c r="AE209" i="3"/>
  <c r="AF209" i="3" s="1"/>
  <c r="AE210" i="3"/>
  <c r="AF210" i="3" s="1"/>
  <c r="AE8" i="3"/>
  <c r="AF8" i="3" s="1"/>
  <c r="X127" i="3"/>
  <c r="Y127" i="3" s="1"/>
  <c r="Z127" i="3" s="1"/>
  <c r="X126" i="3"/>
  <c r="Y126" i="3" s="1"/>
  <c r="Z126" i="3" s="1"/>
  <c r="X125" i="3"/>
  <c r="Y125" i="3" s="1"/>
  <c r="Z125" i="3" s="1"/>
  <c r="X124" i="3"/>
  <c r="Y124" i="3" s="1"/>
  <c r="X123" i="3"/>
  <c r="Y123" i="3" s="1"/>
  <c r="Z123" i="3" s="1"/>
  <c r="X122" i="3"/>
  <c r="Y122" i="3" s="1"/>
  <c r="R127" i="3"/>
  <c r="S127" i="3" s="1"/>
  <c r="T127" i="3" s="1"/>
  <c r="R126" i="3"/>
  <c r="S126" i="3" s="1"/>
  <c r="T126" i="3" s="1"/>
  <c r="R125" i="3"/>
  <c r="S125" i="3" s="1"/>
  <c r="T125" i="3" s="1"/>
  <c r="R124" i="3"/>
  <c r="S124" i="3" s="1"/>
  <c r="T124" i="3" s="1"/>
  <c r="R123" i="3"/>
  <c r="S123" i="3" s="1"/>
  <c r="T123" i="3" s="1"/>
  <c r="R122" i="3"/>
  <c r="S122" i="3" s="1"/>
  <c r="S9" i="3"/>
  <c r="T9" i="3" s="1"/>
  <c r="S10" i="3"/>
  <c r="T10" i="3" s="1"/>
  <c r="S11" i="3"/>
  <c r="T11" i="3" s="1"/>
  <c r="S12" i="3"/>
  <c r="T12" i="3" s="1"/>
  <c r="S13" i="3"/>
  <c r="T13" i="3" s="1"/>
  <c r="S14" i="3"/>
  <c r="T14" i="3" s="1"/>
  <c r="S15" i="3"/>
  <c r="T15" i="3" s="1"/>
  <c r="S16" i="3"/>
  <c r="T16" i="3" s="1"/>
  <c r="S17" i="3"/>
  <c r="T17" i="3" s="1"/>
  <c r="S18" i="3"/>
  <c r="T18" i="3" s="1"/>
  <c r="S19" i="3"/>
  <c r="T19" i="3" s="1"/>
  <c r="S20" i="3"/>
  <c r="T20" i="3" s="1"/>
  <c r="S21" i="3"/>
  <c r="T21" i="3" s="1"/>
  <c r="S22" i="3"/>
  <c r="T22" i="3" s="1"/>
  <c r="S23" i="3"/>
  <c r="T23" i="3" s="1"/>
  <c r="S24" i="3"/>
  <c r="T24" i="3" s="1"/>
  <c r="S25" i="3"/>
  <c r="T25" i="3" s="1"/>
  <c r="S26" i="3"/>
  <c r="T26" i="3" s="1"/>
  <c r="S27" i="3"/>
  <c r="T27" i="3" s="1"/>
  <c r="S28" i="3"/>
  <c r="T28" i="3" s="1"/>
  <c r="S29" i="3"/>
  <c r="T29" i="3" s="1"/>
  <c r="S30" i="3"/>
  <c r="T30" i="3" s="1"/>
  <c r="S31" i="3"/>
  <c r="T31" i="3" s="1"/>
  <c r="S32" i="3"/>
  <c r="T32" i="3" s="1"/>
  <c r="S33" i="3"/>
  <c r="T33" i="3" s="1"/>
  <c r="S34" i="3"/>
  <c r="T34" i="3" s="1"/>
  <c r="S35" i="3"/>
  <c r="T35" i="3" s="1"/>
  <c r="S36" i="3"/>
  <c r="T36" i="3" s="1"/>
  <c r="S37" i="3"/>
  <c r="T37" i="3" s="1"/>
  <c r="S38" i="3"/>
  <c r="T38" i="3" s="1"/>
  <c r="S39" i="3"/>
  <c r="T39" i="3" s="1"/>
  <c r="S40" i="3"/>
  <c r="T40" i="3" s="1"/>
  <c r="S41" i="3"/>
  <c r="T41" i="3" s="1"/>
  <c r="S42" i="3"/>
  <c r="T42" i="3" s="1"/>
  <c r="S43" i="3"/>
  <c r="T43" i="3" s="1"/>
  <c r="S44" i="3"/>
  <c r="T44" i="3" s="1"/>
  <c r="S45" i="3"/>
  <c r="T45" i="3" s="1"/>
  <c r="S46" i="3"/>
  <c r="T46" i="3" s="1"/>
  <c r="S47" i="3"/>
  <c r="T47" i="3" s="1"/>
  <c r="S48" i="3"/>
  <c r="T48" i="3" s="1"/>
  <c r="S49" i="3"/>
  <c r="T49" i="3" s="1"/>
  <c r="S50" i="3"/>
  <c r="T50" i="3" s="1"/>
  <c r="S51" i="3"/>
  <c r="T51" i="3" s="1"/>
  <c r="S52" i="3"/>
  <c r="T52" i="3" s="1"/>
  <c r="S53" i="3"/>
  <c r="T53" i="3" s="1"/>
  <c r="S54" i="3"/>
  <c r="T54" i="3" s="1"/>
  <c r="S55" i="3"/>
  <c r="T55" i="3" s="1"/>
  <c r="S56" i="3"/>
  <c r="T56" i="3" s="1"/>
  <c r="S57" i="3"/>
  <c r="T57" i="3" s="1"/>
  <c r="S58" i="3"/>
  <c r="T58" i="3" s="1"/>
  <c r="S59" i="3"/>
  <c r="T59" i="3" s="1"/>
  <c r="S60" i="3"/>
  <c r="T60" i="3" s="1"/>
  <c r="S61" i="3"/>
  <c r="T61" i="3" s="1"/>
  <c r="S62" i="3"/>
  <c r="T62" i="3" s="1"/>
  <c r="S63" i="3"/>
  <c r="T63" i="3" s="1"/>
  <c r="S64" i="3"/>
  <c r="T64" i="3" s="1"/>
  <c r="S65" i="3"/>
  <c r="T65" i="3" s="1"/>
  <c r="S66" i="3"/>
  <c r="T66" i="3" s="1"/>
  <c r="S67" i="3"/>
  <c r="T67" i="3" s="1"/>
  <c r="S68" i="3"/>
  <c r="T68" i="3" s="1"/>
  <c r="S69" i="3"/>
  <c r="T69" i="3" s="1"/>
  <c r="S70" i="3"/>
  <c r="T70" i="3" s="1"/>
  <c r="S71" i="3"/>
  <c r="T71" i="3" s="1"/>
  <c r="S72" i="3"/>
  <c r="T72" i="3" s="1"/>
  <c r="S73" i="3"/>
  <c r="T73" i="3" s="1"/>
  <c r="S74" i="3"/>
  <c r="T74" i="3" s="1"/>
  <c r="S75" i="3"/>
  <c r="T75" i="3" s="1"/>
  <c r="S76" i="3"/>
  <c r="T76" i="3" s="1"/>
  <c r="S77" i="3"/>
  <c r="T77" i="3" s="1"/>
  <c r="S78" i="3"/>
  <c r="T78" i="3" s="1"/>
  <c r="S79" i="3"/>
  <c r="T79" i="3" s="1"/>
  <c r="S80" i="3"/>
  <c r="T80" i="3" s="1"/>
  <c r="S81" i="3"/>
  <c r="T81" i="3" s="1"/>
  <c r="S82" i="3"/>
  <c r="T82" i="3" s="1"/>
  <c r="S83" i="3"/>
  <c r="T83" i="3" s="1"/>
  <c r="S84" i="3"/>
  <c r="T84" i="3" s="1"/>
  <c r="S85" i="3"/>
  <c r="T85" i="3" s="1"/>
  <c r="S86" i="3"/>
  <c r="T86" i="3" s="1"/>
  <c r="S87" i="3"/>
  <c r="T87" i="3" s="1"/>
  <c r="S88" i="3"/>
  <c r="T88" i="3" s="1"/>
  <c r="S89" i="3"/>
  <c r="T89" i="3" s="1"/>
  <c r="S90" i="3"/>
  <c r="T90" i="3" s="1"/>
  <c r="S91" i="3"/>
  <c r="T91" i="3" s="1"/>
  <c r="S92" i="3"/>
  <c r="T92" i="3" s="1"/>
  <c r="S93" i="3"/>
  <c r="T93" i="3" s="1"/>
  <c r="S94" i="3"/>
  <c r="T94" i="3" s="1"/>
  <c r="S95" i="3"/>
  <c r="T95" i="3" s="1"/>
  <c r="S96" i="3"/>
  <c r="T96" i="3" s="1"/>
  <c r="S97" i="3"/>
  <c r="T97" i="3" s="1"/>
  <c r="S98" i="3"/>
  <c r="T98" i="3" s="1"/>
  <c r="S99" i="3"/>
  <c r="T99" i="3" s="1"/>
  <c r="S100" i="3"/>
  <c r="T100" i="3" s="1"/>
  <c r="S101" i="3"/>
  <c r="T101" i="3" s="1"/>
  <c r="S102" i="3"/>
  <c r="T102" i="3" s="1"/>
  <c r="S103" i="3"/>
  <c r="T103" i="3" s="1"/>
  <c r="S104" i="3"/>
  <c r="T104" i="3" s="1"/>
  <c r="S105" i="3"/>
  <c r="T105" i="3" s="1"/>
  <c r="S106" i="3"/>
  <c r="T106" i="3" s="1"/>
  <c r="S107" i="3"/>
  <c r="T107" i="3" s="1"/>
  <c r="S108" i="3"/>
  <c r="T108" i="3" s="1"/>
  <c r="S109" i="3"/>
  <c r="T109" i="3" s="1"/>
  <c r="S110" i="3"/>
  <c r="T110" i="3" s="1"/>
  <c r="S111" i="3"/>
  <c r="T111" i="3" s="1"/>
  <c r="S112" i="3"/>
  <c r="T112" i="3" s="1"/>
  <c r="S113" i="3"/>
  <c r="T113" i="3" s="1"/>
  <c r="S114" i="3"/>
  <c r="T114" i="3" s="1"/>
  <c r="S115" i="3"/>
  <c r="T115" i="3" s="1"/>
  <c r="S116" i="3"/>
  <c r="T116" i="3" s="1"/>
  <c r="S117" i="3"/>
  <c r="T117" i="3" s="1"/>
  <c r="S118" i="3"/>
  <c r="T118" i="3" s="1"/>
  <c r="S119" i="3"/>
  <c r="T119" i="3" s="1"/>
  <c r="S120" i="3"/>
  <c r="T120" i="3" s="1"/>
  <c r="S121" i="3"/>
  <c r="T121" i="3" s="1"/>
  <c r="S128" i="3"/>
  <c r="T128" i="3" s="1"/>
  <c r="S129" i="3"/>
  <c r="T129" i="3" s="1"/>
  <c r="S130" i="3"/>
  <c r="T130" i="3" s="1"/>
  <c r="S131" i="3"/>
  <c r="T131" i="3" s="1"/>
  <c r="S132" i="3"/>
  <c r="T132" i="3" s="1"/>
  <c r="S133" i="3"/>
  <c r="T133" i="3" s="1"/>
  <c r="S134" i="3"/>
  <c r="T134" i="3" s="1"/>
  <c r="S135" i="3"/>
  <c r="T135" i="3" s="1"/>
  <c r="S136" i="3"/>
  <c r="T136" i="3" s="1"/>
  <c r="S137" i="3"/>
  <c r="T137" i="3" s="1"/>
  <c r="S138" i="3"/>
  <c r="T138" i="3" s="1"/>
  <c r="S139" i="3"/>
  <c r="T139" i="3" s="1"/>
  <c r="S140" i="3"/>
  <c r="T140" i="3" s="1"/>
  <c r="S141" i="3"/>
  <c r="T141" i="3" s="1"/>
  <c r="S142" i="3"/>
  <c r="T142" i="3" s="1"/>
  <c r="S143" i="3"/>
  <c r="T143" i="3" s="1"/>
  <c r="S144" i="3"/>
  <c r="T144" i="3" s="1"/>
  <c r="S145" i="3"/>
  <c r="T145" i="3" s="1"/>
  <c r="S146" i="3"/>
  <c r="T146" i="3" s="1"/>
  <c r="S147" i="3"/>
  <c r="T147" i="3" s="1"/>
  <c r="S148" i="3"/>
  <c r="T148" i="3" s="1"/>
  <c r="S149" i="3"/>
  <c r="T149" i="3" s="1"/>
  <c r="S150" i="3"/>
  <c r="T150" i="3" s="1"/>
  <c r="S151" i="3"/>
  <c r="T151" i="3" s="1"/>
  <c r="S152" i="3"/>
  <c r="T152" i="3" s="1"/>
  <c r="S153" i="3"/>
  <c r="T153" i="3" s="1"/>
  <c r="S154" i="3"/>
  <c r="T154" i="3" s="1"/>
  <c r="S155" i="3"/>
  <c r="T155" i="3" s="1"/>
  <c r="S156" i="3"/>
  <c r="T156" i="3" s="1"/>
  <c r="S157" i="3"/>
  <c r="T157" i="3" s="1"/>
  <c r="S158" i="3"/>
  <c r="T158" i="3" s="1"/>
  <c r="S159" i="3"/>
  <c r="T159" i="3" s="1"/>
  <c r="S160" i="3"/>
  <c r="T160" i="3" s="1"/>
  <c r="S161" i="3"/>
  <c r="T161" i="3" s="1"/>
  <c r="S162" i="3"/>
  <c r="T162" i="3" s="1"/>
  <c r="S163" i="3"/>
  <c r="T163" i="3" s="1"/>
  <c r="S164" i="3"/>
  <c r="T164" i="3" s="1"/>
  <c r="S165" i="3"/>
  <c r="T165" i="3" s="1"/>
  <c r="S166" i="3"/>
  <c r="T166" i="3" s="1"/>
  <c r="S167" i="3"/>
  <c r="T167" i="3" s="1"/>
  <c r="S168" i="3"/>
  <c r="T168" i="3" s="1"/>
  <c r="S169" i="3"/>
  <c r="T169" i="3" s="1"/>
  <c r="S170" i="3"/>
  <c r="T170" i="3" s="1"/>
  <c r="S171" i="3"/>
  <c r="T171" i="3" s="1"/>
  <c r="S172" i="3"/>
  <c r="T172" i="3" s="1"/>
  <c r="S173" i="3"/>
  <c r="T173" i="3" s="1"/>
  <c r="S174" i="3"/>
  <c r="T174" i="3" s="1"/>
  <c r="S175" i="3"/>
  <c r="T175" i="3" s="1"/>
  <c r="S176" i="3"/>
  <c r="T176" i="3" s="1"/>
  <c r="S177" i="3"/>
  <c r="T177" i="3" s="1"/>
  <c r="S178" i="3"/>
  <c r="T178" i="3" s="1"/>
  <c r="S179" i="3"/>
  <c r="T179" i="3" s="1"/>
  <c r="S180" i="3"/>
  <c r="T180" i="3" s="1"/>
  <c r="S181" i="3"/>
  <c r="T181" i="3" s="1"/>
  <c r="S182" i="3"/>
  <c r="T182" i="3" s="1"/>
  <c r="S183" i="3"/>
  <c r="T183" i="3" s="1"/>
  <c r="S184" i="3"/>
  <c r="T184" i="3" s="1"/>
  <c r="S185" i="3"/>
  <c r="T185" i="3" s="1"/>
  <c r="S186" i="3"/>
  <c r="T186" i="3" s="1"/>
  <c r="S187" i="3"/>
  <c r="T187" i="3" s="1"/>
  <c r="S188" i="3"/>
  <c r="T188" i="3" s="1"/>
  <c r="S189" i="3"/>
  <c r="T189" i="3" s="1"/>
  <c r="S190" i="3"/>
  <c r="T190" i="3" s="1"/>
  <c r="S191" i="3"/>
  <c r="T191" i="3" s="1"/>
  <c r="S192" i="3"/>
  <c r="T192" i="3" s="1"/>
  <c r="S193" i="3"/>
  <c r="T193" i="3" s="1"/>
  <c r="S194" i="3"/>
  <c r="T194" i="3" s="1"/>
  <c r="S195" i="3"/>
  <c r="T195" i="3" s="1"/>
  <c r="S196" i="3"/>
  <c r="T196" i="3" s="1"/>
  <c r="S197" i="3"/>
  <c r="T197" i="3" s="1"/>
  <c r="S198" i="3"/>
  <c r="T198" i="3" s="1"/>
  <c r="S199" i="3"/>
  <c r="T199" i="3" s="1"/>
  <c r="S200" i="3"/>
  <c r="T200" i="3" s="1"/>
  <c r="S201" i="3"/>
  <c r="T201" i="3" s="1"/>
  <c r="S202" i="3"/>
  <c r="T202" i="3" s="1"/>
  <c r="S203" i="3"/>
  <c r="T203" i="3" s="1"/>
  <c r="S204" i="3"/>
  <c r="T204" i="3" s="1"/>
  <c r="S205" i="3"/>
  <c r="T205" i="3" s="1"/>
  <c r="S206" i="3"/>
  <c r="T206" i="3" s="1"/>
  <c r="S207" i="3"/>
  <c r="T207" i="3" s="1"/>
  <c r="S208" i="3"/>
  <c r="T208" i="3" s="1"/>
  <c r="S209" i="3"/>
  <c r="T209" i="3" s="1"/>
  <c r="S210" i="3"/>
  <c r="T210" i="3" s="1"/>
  <c r="S8" i="3"/>
  <c r="T8" i="3" s="1"/>
  <c r="O208" i="3"/>
  <c r="P208" i="3" s="1"/>
  <c r="Q208" i="3" s="1"/>
  <c r="O207" i="3"/>
  <c r="P207" i="3" s="1"/>
  <c r="Q207" i="3" s="1"/>
  <c r="O205" i="3"/>
  <c r="P205" i="3" s="1"/>
  <c r="Q205" i="3" s="1"/>
  <c r="O206" i="3"/>
  <c r="P206" i="3" s="1"/>
  <c r="Q206" i="3" s="1"/>
  <c r="N160" i="3"/>
  <c r="O190" i="3"/>
  <c r="P190" i="3" s="1"/>
  <c r="Q190" i="3" s="1"/>
  <c r="O192" i="3"/>
  <c r="O193" i="3"/>
  <c r="O188" i="3"/>
  <c r="P188" i="3" s="1"/>
  <c r="O187" i="3"/>
  <c r="P187" i="3" s="1"/>
  <c r="Q187" i="3" s="1"/>
  <c r="O186" i="3"/>
  <c r="P186" i="3" s="1"/>
  <c r="O184" i="3"/>
  <c r="O183" i="3"/>
  <c r="P183" i="3" s="1"/>
  <c r="O185" i="3"/>
  <c r="O182" i="3"/>
  <c r="P182" i="3" s="1"/>
  <c r="Q182" i="3" s="1"/>
  <c r="O181" i="3"/>
  <c r="P181" i="3" s="1"/>
  <c r="Q181" i="3" s="1"/>
  <c r="O180" i="3"/>
  <c r="P180" i="3" s="1"/>
  <c r="Q180" i="3" s="1"/>
  <c r="O178" i="3"/>
  <c r="P178" i="3" s="1"/>
  <c r="O177" i="3"/>
  <c r="P177" i="3" s="1"/>
  <c r="Q177" i="3" s="1"/>
  <c r="O176" i="3"/>
  <c r="P176" i="3" s="1"/>
  <c r="O175" i="3"/>
  <c r="P175" i="3" s="1"/>
  <c r="O174" i="3"/>
  <c r="P174" i="3" s="1"/>
  <c r="O173" i="3"/>
  <c r="P173" i="3" s="1"/>
  <c r="Q173" i="3" s="1"/>
  <c r="O172" i="3"/>
  <c r="P172" i="3" s="1"/>
  <c r="Q172" i="3" s="1"/>
  <c r="O171" i="3"/>
  <c r="P171" i="3" s="1"/>
  <c r="Q171" i="3" s="1"/>
  <c r="O170" i="3"/>
  <c r="P170" i="3" s="1"/>
  <c r="Q170" i="3" s="1"/>
  <c r="O169" i="3"/>
  <c r="P169" i="3" s="1"/>
  <c r="O168" i="3"/>
  <c r="O167" i="3"/>
  <c r="P167" i="3" s="1"/>
  <c r="O166" i="3"/>
  <c r="P166" i="3" s="1"/>
  <c r="Q166" i="3" s="1"/>
  <c r="O165" i="3"/>
  <c r="P165" i="3" s="1"/>
  <c r="Q165" i="3" s="1"/>
  <c r="O164" i="3"/>
  <c r="P164" i="3" s="1"/>
  <c r="Q164" i="3" s="1"/>
  <c r="O163" i="3"/>
  <c r="P163" i="3" s="1"/>
  <c r="Q163" i="3" s="1"/>
  <c r="O162" i="3"/>
  <c r="O161" i="3"/>
  <c r="P161" i="3" s="1"/>
  <c r="O160" i="3"/>
  <c r="P160" i="3" s="1"/>
  <c r="O159" i="3"/>
  <c r="P159" i="3" s="1"/>
  <c r="O158" i="3"/>
  <c r="P158" i="3" s="1"/>
  <c r="Q158" i="3" s="1"/>
  <c r="O157" i="3"/>
  <c r="P157" i="3" s="1"/>
  <c r="Q157" i="3" s="1"/>
  <c r="O156" i="3"/>
  <c r="P156" i="3" s="1"/>
  <c r="Q156" i="3" s="1"/>
  <c r="O155" i="3"/>
  <c r="P155" i="3" s="1"/>
  <c r="Q155" i="3" s="1"/>
  <c r="O154" i="3"/>
  <c r="P154" i="3" s="1"/>
  <c r="O153" i="3"/>
  <c r="P153" i="3" s="1"/>
  <c r="O152" i="3"/>
  <c r="P152" i="3" s="1"/>
  <c r="O151" i="3"/>
  <c r="P151" i="3" s="1"/>
  <c r="Q151" i="3" s="1"/>
  <c r="O150" i="3"/>
  <c r="P150" i="3" s="1"/>
  <c r="Q150" i="3" s="1"/>
  <c r="O149" i="3"/>
  <c r="P149" i="3" s="1"/>
  <c r="Q149" i="3" s="1"/>
  <c r="O148" i="3"/>
  <c r="P148" i="3" s="1"/>
  <c r="Q148" i="3" s="1"/>
  <c r="O147" i="3"/>
  <c r="P147" i="3" s="1"/>
  <c r="Q147" i="3" s="1"/>
  <c r="O146" i="3"/>
  <c r="P146" i="3" s="1"/>
  <c r="O145" i="3"/>
  <c r="P145" i="3" s="1"/>
  <c r="O144" i="3"/>
  <c r="P144" i="3" s="1"/>
  <c r="O143" i="3"/>
  <c r="P143" i="3" s="1"/>
  <c r="Q143" i="3" s="1"/>
  <c r="O142" i="3"/>
  <c r="P142" i="3" s="1"/>
  <c r="Q142" i="3" s="1"/>
  <c r="O136" i="3"/>
  <c r="P136" i="3" s="1"/>
  <c r="O135" i="3"/>
  <c r="O137" i="3"/>
  <c r="P137" i="3" s="1"/>
  <c r="O139" i="3"/>
  <c r="O140" i="3"/>
  <c r="P140" i="3" s="1"/>
  <c r="Q140" i="3" s="1"/>
  <c r="O141" i="3"/>
  <c r="P141" i="3" s="1"/>
  <c r="Q141" i="3" s="1"/>
  <c r="O132" i="3"/>
  <c r="P132" i="3" s="1"/>
  <c r="Q132" i="3" s="1"/>
  <c r="O130" i="3"/>
  <c r="P130" i="3" s="1"/>
  <c r="O128" i="3"/>
  <c r="P128" i="3" s="1"/>
  <c r="O124" i="3"/>
  <c r="P124" i="3" s="1"/>
  <c r="Q124" i="3" s="1"/>
  <c r="O123" i="3"/>
  <c r="P123" i="3" s="1"/>
  <c r="Q123" i="3" s="1"/>
  <c r="O122" i="3"/>
  <c r="P122" i="3" s="1"/>
  <c r="O121" i="3"/>
  <c r="O118" i="3"/>
  <c r="P118" i="3" s="1"/>
  <c r="Q118" i="3" s="1"/>
  <c r="O116" i="3"/>
  <c r="P116" i="3" s="1"/>
  <c r="Q116" i="3" s="1"/>
  <c r="O115" i="3"/>
  <c r="P115" i="3" s="1"/>
  <c r="Q115" i="3" s="1"/>
  <c r="O112" i="3"/>
  <c r="P112" i="3" s="1"/>
  <c r="O113" i="3"/>
  <c r="P113" i="3" s="1"/>
  <c r="O111" i="3"/>
  <c r="P111" i="3" s="1"/>
  <c r="Q111" i="3" s="1"/>
  <c r="O109" i="3"/>
  <c r="P109" i="3" s="1"/>
  <c r="O108" i="3"/>
  <c r="P108" i="3" s="1"/>
  <c r="Q108" i="3" s="1"/>
  <c r="O107" i="3"/>
  <c r="P107" i="3" s="1"/>
  <c r="Q107" i="3" s="1"/>
  <c r="O105" i="3"/>
  <c r="P105" i="3" s="1"/>
  <c r="O104" i="3"/>
  <c r="P104" i="3" s="1"/>
  <c r="O97" i="3"/>
  <c r="P97" i="3" s="1"/>
  <c r="O91" i="3"/>
  <c r="P91" i="3" s="1"/>
  <c r="Q91" i="3" s="1"/>
  <c r="O93" i="3"/>
  <c r="P93" i="3" s="1"/>
  <c r="Q93" i="3" s="1"/>
  <c r="O94" i="3"/>
  <c r="P94" i="3" s="1"/>
  <c r="Q94" i="3" s="1"/>
  <c r="O95" i="3"/>
  <c r="P95" i="3" s="1"/>
  <c r="O96" i="3"/>
  <c r="P96" i="3" s="1"/>
  <c r="O98" i="3"/>
  <c r="P98" i="3" s="1"/>
  <c r="O99" i="3"/>
  <c r="P99" i="3" s="1"/>
  <c r="Q99" i="3" s="1"/>
  <c r="O100" i="3"/>
  <c r="P100" i="3" s="1"/>
  <c r="Q100" i="3" s="1"/>
  <c r="O101" i="3"/>
  <c r="P101" i="3" s="1"/>
  <c r="Q101" i="3" s="1"/>
  <c r="O102" i="3"/>
  <c r="P102" i="3" s="1"/>
  <c r="Q102" i="3" s="1"/>
  <c r="O89" i="3"/>
  <c r="O88" i="3"/>
  <c r="P88" i="3" s="1"/>
  <c r="O87" i="3"/>
  <c r="P87" i="3" s="1"/>
  <c r="Q87" i="3" s="1"/>
  <c r="O86" i="3"/>
  <c r="P86" i="3" s="1"/>
  <c r="Q86" i="3" s="1"/>
  <c r="O85" i="3"/>
  <c r="P85" i="3" s="1"/>
  <c r="O84" i="3"/>
  <c r="P84" i="3" s="1"/>
  <c r="Q84" i="3" s="1"/>
  <c r="O83" i="3"/>
  <c r="P83" i="3" s="1"/>
  <c r="Q83" i="3" s="1"/>
  <c r="O82" i="3"/>
  <c r="P82" i="3" s="1"/>
  <c r="O81" i="3"/>
  <c r="O80" i="3"/>
  <c r="P80" i="3" s="1"/>
  <c r="O79" i="3"/>
  <c r="P79" i="3" s="1"/>
  <c r="Q79" i="3" s="1"/>
  <c r="O78" i="3"/>
  <c r="P78" i="3" s="1"/>
  <c r="Q78" i="3" s="1"/>
  <c r="O77" i="3"/>
  <c r="P77" i="3" s="1"/>
  <c r="Q77" i="3" s="1"/>
  <c r="O76" i="3"/>
  <c r="P76" i="3" s="1"/>
  <c r="Q76" i="3" s="1"/>
  <c r="O75" i="3"/>
  <c r="P75" i="3" s="1"/>
  <c r="Q75" i="3" s="1"/>
  <c r="O74" i="3"/>
  <c r="P74" i="3" s="1"/>
  <c r="O73" i="3"/>
  <c r="P73" i="3" s="1"/>
  <c r="O72" i="3"/>
  <c r="P72" i="3" s="1"/>
  <c r="O71" i="3"/>
  <c r="P71" i="3" s="1"/>
  <c r="Q71" i="3" s="1"/>
  <c r="O70" i="3"/>
  <c r="P70" i="3" s="1"/>
  <c r="Q70" i="3" s="1"/>
  <c r="O69" i="3"/>
  <c r="P69" i="3" s="1"/>
  <c r="Q69" i="3" s="1"/>
  <c r="O67" i="3"/>
  <c r="P67" i="3" s="1"/>
  <c r="Q67" i="3" s="1"/>
  <c r="O66" i="3"/>
  <c r="P66" i="3" s="1"/>
  <c r="O65" i="3"/>
  <c r="P65" i="3" s="1"/>
  <c r="O64" i="3"/>
  <c r="P64" i="3" s="1"/>
  <c r="O62" i="3"/>
  <c r="P62" i="3" s="1"/>
  <c r="Q62" i="3" s="1"/>
  <c r="O61" i="3"/>
  <c r="P61" i="3" s="1"/>
  <c r="Q61" i="3" s="1"/>
  <c r="O60" i="3"/>
  <c r="P60" i="3" s="1"/>
  <c r="Q60" i="3" s="1"/>
  <c r="O204" i="3"/>
  <c r="P204" i="3" s="1"/>
  <c r="Q204" i="3" s="1"/>
  <c r="O57" i="3"/>
  <c r="O53" i="3"/>
  <c r="P53" i="3" s="1"/>
  <c r="Q53" i="3" s="1"/>
  <c r="O52" i="3"/>
  <c r="P52" i="3" s="1"/>
  <c r="Q52" i="3" s="1"/>
  <c r="O51" i="3"/>
  <c r="O50" i="3"/>
  <c r="P50" i="3" s="1"/>
  <c r="O49" i="3"/>
  <c r="O48" i="3"/>
  <c r="P48" i="3" s="1"/>
  <c r="O47" i="3"/>
  <c r="P47" i="3" s="1"/>
  <c r="Q47" i="3" s="1"/>
  <c r="O46" i="3"/>
  <c r="P46" i="3" s="1"/>
  <c r="Q46" i="3" s="1"/>
  <c r="O45" i="3"/>
  <c r="P45" i="3" s="1"/>
  <c r="Q45" i="3" s="1"/>
  <c r="O44" i="3"/>
  <c r="P44" i="3" s="1"/>
  <c r="Q44" i="3" s="1"/>
  <c r="O43" i="3"/>
  <c r="P43" i="3" s="1"/>
  <c r="Q43" i="3" s="1"/>
  <c r="O42" i="3"/>
  <c r="P42" i="3" s="1"/>
  <c r="O41" i="3"/>
  <c r="P41" i="3" s="1"/>
  <c r="O40" i="3"/>
  <c r="P40" i="3" s="1"/>
  <c r="O39" i="3"/>
  <c r="P39" i="3" s="1"/>
  <c r="O38" i="3"/>
  <c r="P38" i="3" s="1"/>
  <c r="Q38" i="3" s="1"/>
  <c r="O36" i="3"/>
  <c r="P36" i="3" s="1"/>
  <c r="Q36" i="3" s="1"/>
  <c r="O34" i="3"/>
  <c r="P34" i="3" s="1"/>
  <c r="O31" i="3"/>
  <c r="P31" i="3" s="1"/>
  <c r="Q31" i="3" s="1"/>
  <c r="O30" i="3"/>
  <c r="P30" i="3" s="1"/>
  <c r="Q30" i="3" s="1"/>
  <c r="O35" i="3"/>
  <c r="P35" i="3" s="1"/>
  <c r="O37" i="3"/>
  <c r="P37" i="3" s="1"/>
  <c r="O29" i="3"/>
  <c r="P29" i="3" s="1"/>
  <c r="O26" i="3"/>
  <c r="P26" i="3" s="1"/>
  <c r="O25" i="3"/>
  <c r="O24" i="3"/>
  <c r="P24" i="3" s="1"/>
  <c r="O20" i="3"/>
  <c r="P20" i="3" s="1"/>
  <c r="Q20" i="3" s="1"/>
  <c r="O19" i="3"/>
  <c r="O18" i="3"/>
  <c r="P18" i="3" s="1"/>
  <c r="O17" i="3"/>
  <c r="O16" i="3"/>
  <c r="P16" i="3" s="1"/>
  <c r="O15" i="3"/>
  <c r="P15" i="3" s="1"/>
  <c r="O14" i="3"/>
  <c r="P14" i="3" s="1"/>
  <c r="Q14" i="3" s="1"/>
  <c r="O13" i="3"/>
  <c r="P13" i="3" s="1"/>
  <c r="O12" i="3"/>
  <c r="P12" i="3" s="1"/>
  <c r="Q12" i="3" s="1"/>
  <c r="O11" i="3"/>
  <c r="P11" i="3" s="1"/>
  <c r="Q11" i="3" s="1"/>
  <c r="P22" i="3"/>
  <c r="Q22" i="3" s="1"/>
  <c r="P32" i="3"/>
  <c r="P54" i="3"/>
  <c r="Q54" i="3" s="1"/>
  <c r="P56" i="3"/>
  <c r="P58" i="3"/>
  <c r="P90" i="3"/>
  <c r="P106" i="3"/>
  <c r="P110" i="3"/>
  <c r="Q110" i="3" s="1"/>
  <c r="P120" i="3"/>
  <c r="P126" i="3"/>
  <c r="Q126" i="3" s="1"/>
  <c r="P134" i="3"/>
  <c r="Q134" i="3" s="1"/>
  <c r="P138" i="3"/>
  <c r="P189" i="3"/>
  <c r="Q189" i="3" s="1"/>
  <c r="P191" i="3"/>
  <c r="P196" i="3"/>
  <c r="Q196" i="3" s="1"/>
  <c r="P198" i="3"/>
  <c r="P199" i="3"/>
  <c r="O10" i="3"/>
  <c r="P10" i="3" s="1"/>
  <c r="P9" i="3"/>
  <c r="Q9" i="3" s="1"/>
  <c r="P21" i="3"/>
  <c r="Q21" i="3" s="1"/>
  <c r="P23" i="3"/>
  <c r="Q23" i="3" s="1"/>
  <c r="P27" i="3"/>
  <c r="Q27" i="3" s="1"/>
  <c r="P28" i="3"/>
  <c r="Q28" i="3" s="1"/>
  <c r="P51" i="3"/>
  <c r="Q51" i="3" s="1"/>
  <c r="P55" i="3"/>
  <c r="Q55" i="3" s="1"/>
  <c r="P59" i="3"/>
  <c r="Q59" i="3" s="1"/>
  <c r="P63" i="3"/>
  <c r="Q63" i="3" s="1"/>
  <c r="P68" i="3"/>
  <c r="Q68" i="3" s="1"/>
  <c r="P92" i="3"/>
  <c r="Q92" i="3" s="1"/>
  <c r="P103" i="3"/>
  <c r="Q103" i="3" s="1"/>
  <c r="P117" i="3"/>
  <c r="Q117" i="3" s="1"/>
  <c r="P119" i="3"/>
  <c r="Q119" i="3" s="1"/>
  <c r="P125" i="3"/>
  <c r="Q125" i="3" s="1"/>
  <c r="P127" i="3"/>
  <c r="Q127" i="3" s="1"/>
  <c r="P131" i="3"/>
  <c r="Q131" i="3" s="1"/>
  <c r="P133" i="3"/>
  <c r="Q133" i="3" s="1"/>
  <c r="P135" i="3"/>
  <c r="Q135" i="3" s="1"/>
  <c r="P179" i="3"/>
  <c r="Q179" i="3" s="1"/>
  <c r="P194" i="3"/>
  <c r="Q194" i="3" s="1"/>
  <c r="P195" i="3"/>
  <c r="Q195" i="3" s="1"/>
  <c r="P197" i="3"/>
  <c r="Q197" i="3" s="1"/>
  <c r="P201" i="3"/>
  <c r="Q201" i="3" s="1"/>
  <c r="P202" i="3"/>
  <c r="Q202" i="3" s="1"/>
  <c r="P203" i="3"/>
  <c r="Q203" i="3" s="1"/>
  <c r="O8" i="3"/>
  <c r="AB203" i="3"/>
  <c r="AC203" i="3" s="1"/>
  <c r="AB142" i="3"/>
  <c r="AC142" i="3" s="1"/>
  <c r="AB112" i="3"/>
  <c r="AC112" i="3" s="1"/>
  <c r="AA41" i="3"/>
  <c r="AB41" i="3" s="1"/>
  <c r="AC41" i="3" s="1"/>
  <c r="AA40" i="3"/>
  <c r="AB40" i="3" s="1"/>
  <c r="AC40" i="3" s="1"/>
  <c r="AB8" i="3"/>
  <c r="AC8" i="3" s="1"/>
  <c r="AB9" i="3"/>
  <c r="AC9" i="3" s="1"/>
  <c r="AB10" i="3"/>
  <c r="AC10" i="3" s="1"/>
  <c r="AB11" i="3"/>
  <c r="AC11" i="3" s="1"/>
  <c r="AB12" i="3"/>
  <c r="AC12" i="3" s="1"/>
  <c r="AB13" i="3"/>
  <c r="AC13" i="3" s="1"/>
  <c r="AB14" i="3"/>
  <c r="AC14" i="3" s="1"/>
  <c r="AB15" i="3"/>
  <c r="AC15" i="3" s="1"/>
  <c r="AB16" i="3"/>
  <c r="AC16" i="3" s="1"/>
  <c r="AB17" i="3"/>
  <c r="AC17" i="3" s="1"/>
  <c r="AB18" i="3"/>
  <c r="AC18" i="3" s="1"/>
  <c r="AB19" i="3"/>
  <c r="AC19" i="3" s="1"/>
  <c r="AB20" i="3"/>
  <c r="AC20" i="3" s="1"/>
  <c r="AB21" i="3"/>
  <c r="AC21" i="3" s="1"/>
  <c r="AB22" i="3"/>
  <c r="AC22" i="3" s="1"/>
  <c r="AB23" i="3"/>
  <c r="AC23" i="3" s="1"/>
  <c r="AB24" i="3"/>
  <c r="AC24" i="3" s="1"/>
  <c r="AB25" i="3"/>
  <c r="AC25" i="3" s="1"/>
  <c r="AB26" i="3"/>
  <c r="AC26" i="3" s="1"/>
  <c r="AB27" i="3"/>
  <c r="AC27" i="3" s="1"/>
  <c r="AB28" i="3"/>
  <c r="AC28" i="3" s="1"/>
  <c r="AB29" i="3"/>
  <c r="AC29" i="3" s="1"/>
  <c r="AB30" i="3"/>
  <c r="AC30" i="3" s="1"/>
  <c r="AB31" i="3"/>
  <c r="AC31" i="3" s="1"/>
  <c r="AB32" i="3"/>
  <c r="AC32" i="3" s="1"/>
  <c r="AB33" i="3"/>
  <c r="AC33" i="3" s="1"/>
  <c r="AB34" i="3"/>
  <c r="AC34" i="3" s="1"/>
  <c r="AB35" i="3"/>
  <c r="AC35" i="3" s="1"/>
  <c r="AB36" i="3"/>
  <c r="AC36" i="3" s="1"/>
  <c r="AB37" i="3"/>
  <c r="AC37" i="3" s="1"/>
  <c r="AB38" i="3"/>
  <c r="AC38" i="3" s="1"/>
  <c r="AB200" i="3"/>
  <c r="AC200" i="3" s="1"/>
  <c r="AB201" i="3"/>
  <c r="AC201" i="3" s="1"/>
  <c r="AB202" i="3"/>
  <c r="AC202" i="3" s="1"/>
  <c r="AB42" i="3"/>
  <c r="AC42" i="3" s="1"/>
  <c r="AB43" i="3"/>
  <c r="AC43" i="3" s="1"/>
  <c r="AB44" i="3"/>
  <c r="AC44" i="3" s="1"/>
  <c r="AB45" i="3"/>
  <c r="AC45" i="3" s="1"/>
  <c r="AB46" i="3"/>
  <c r="AC46" i="3" s="1"/>
  <c r="AB47" i="3"/>
  <c r="AC47" i="3" s="1"/>
  <c r="AB48" i="3"/>
  <c r="AC48" i="3" s="1"/>
  <c r="AB49" i="3"/>
  <c r="AC49" i="3" s="1"/>
  <c r="AB50" i="3"/>
  <c r="AC50" i="3" s="1"/>
  <c r="AB51" i="3"/>
  <c r="AC51" i="3" s="1"/>
  <c r="AB52" i="3"/>
  <c r="AC52" i="3" s="1"/>
  <c r="AB53" i="3"/>
  <c r="AC53" i="3" s="1"/>
  <c r="AB54" i="3"/>
  <c r="AC54" i="3" s="1"/>
  <c r="AB55" i="3"/>
  <c r="AC55" i="3" s="1"/>
  <c r="AB56" i="3"/>
  <c r="AC56" i="3" s="1"/>
  <c r="AB57" i="3"/>
  <c r="AC57" i="3" s="1"/>
  <c r="AB58" i="3"/>
  <c r="AC58" i="3" s="1"/>
  <c r="AB59" i="3"/>
  <c r="AC59" i="3" s="1"/>
  <c r="AB60" i="3"/>
  <c r="AC60" i="3" s="1"/>
  <c r="AB61" i="3"/>
  <c r="AC61" i="3" s="1"/>
  <c r="AB62" i="3"/>
  <c r="AC62" i="3" s="1"/>
  <c r="AB63" i="3"/>
  <c r="AC63" i="3" s="1"/>
  <c r="AB64" i="3"/>
  <c r="AC64" i="3" s="1"/>
  <c r="AB65" i="3"/>
  <c r="AC65" i="3" s="1"/>
  <c r="AB66" i="3"/>
  <c r="AC66" i="3" s="1"/>
  <c r="AB67" i="3"/>
  <c r="AC67" i="3" s="1"/>
  <c r="AB68" i="3"/>
  <c r="AC68" i="3" s="1"/>
  <c r="AB69" i="3"/>
  <c r="AC69" i="3" s="1"/>
  <c r="AB70" i="3"/>
  <c r="AC70" i="3" s="1"/>
  <c r="AB71" i="3"/>
  <c r="AC71" i="3" s="1"/>
  <c r="AB72" i="3"/>
  <c r="AC72" i="3" s="1"/>
  <c r="AB73" i="3"/>
  <c r="AC73" i="3" s="1"/>
  <c r="AB74" i="3"/>
  <c r="AC74" i="3" s="1"/>
  <c r="AB75" i="3"/>
  <c r="AC75" i="3" s="1"/>
  <c r="AB76" i="3"/>
  <c r="AC76" i="3" s="1"/>
  <c r="AB77" i="3"/>
  <c r="AC77" i="3" s="1"/>
  <c r="AB78" i="3"/>
  <c r="AC78" i="3" s="1"/>
  <c r="AB79" i="3"/>
  <c r="AC79" i="3" s="1"/>
  <c r="AB80" i="3"/>
  <c r="AC80" i="3" s="1"/>
  <c r="AB81" i="3"/>
  <c r="AC81" i="3" s="1"/>
  <c r="AB82" i="3"/>
  <c r="AC82" i="3" s="1"/>
  <c r="AB83" i="3"/>
  <c r="AC83" i="3" s="1"/>
  <c r="AB84" i="3"/>
  <c r="AC84" i="3" s="1"/>
  <c r="AB85" i="3"/>
  <c r="AC85" i="3" s="1"/>
  <c r="AB86" i="3"/>
  <c r="AC86" i="3" s="1"/>
  <c r="AB87" i="3"/>
  <c r="AC87" i="3" s="1"/>
  <c r="AB88" i="3"/>
  <c r="AC88" i="3" s="1"/>
  <c r="AB89" i="3"/>
  <c r="AC89" i="3" s="1"/>
  <c r="AB90" i="3"/>
  <c r="AC90" i="3" s="1"/>
  <c r="AB91" i="3"/>
  <c r="AC91" i="3" s="1"/>
  <c r="AB92" i="3"/>
  <c r="AC92" i="3" s="1"/>
  <c r="AB93" i="3"/>
  <c r="AC93" i="3" s="1"/>
  <c r="AB94" i="3"/>
  <c r="AC94" i="3" s="1"/>
  <c r="AB95" i="3"/>
  <c r="AC95" i="3" s="1"/>
  <c r="AB96" i="3"/>
  <c r="AC96" i="3" s="1"/>
  <c r="AB97" i="3"/>
  <c r="AC97" i="3" s="1"/>
  <c r="AB98" i="3"/>
  <c r="AC98" i="3" s="1"/>
  <c r="AB99" i="3"/>
  <c r="AC99" i="3" s="1"/>
  <c r="AB100" i="3"/>
  <c r="AC100" i="3" s="1"/>
  <c r="AB101" i="3"/>
  <c r="AC101" i="3" s="1"/>
  <c r="AB102" i="3"/>
  <c r="AC102" i="3" s="1"/>
  <c r="AB103" i="3"/>
  <c r="AC103" i="3" s="1"/>
  <c r="AB104" i="3"/>
  <c r="AC104" i="3" s="1"/>
  <c r="AB105" i="3"/>
  <c r="AC105" i="3" s="1"/>
  <c r="AB106" i="3"/>
  <c r="AC106" i="3" s="1"/>
  <c r="AB107" i="3"/>
  <c r="AC107" i="3" s="1"/>
  <c r="AB108" i="3"/>
  <c r="AC108" i="3" s="1"/>
  <c r="AB109" i="3"/>
  <c r="AC109" i="3" s="1"/>
  <c r="AB110" i="3"/>
  <c r="AC110" i="3" s="1"/>
  <c r="AB111" i="3"/>
  <c r="AC111" i="3" s="1"/>
  <c r="AB113" i="3"/>
  <c r="AC113" i="3" s="1"/>
  <c r="AB114" i="3"/>
  <c r="AC114" i="3" s="1"/>
  <c r="AB115" i="3"/>
  <c r="AC115" i="3" s="1"/>
  <c r="AB116" i="3"/>
  <c r="AC116" i="3" s="1"/>
  <c r="AB117" i="3"/>
  <c r="AC117" i="3" s="1"/>
  <c r="AB118" i="3"/>
  <c r="AC118" i="3" s="1"/>
  <c r="AB119" i="3"/>
  <c r="AC119" i="3" s="1"/>
  <c r="AB120" i="3"/>
  <c r="AC120" i="3" s="1"/>
  <c r="AB121" i="3"/>
  <c r="AC121" i="3" s="1"/>
  <c r="AB122" i="3"/>
  <c r="AC122" i="3" s="1"/>
  <c r="AB123" i="3"/>
  <c r="AC123" i="3" s="1"/>
  <c r="AB124" i="3"/>
  <c r="AC124" i="3" s="1"/>
  <c r="AB125" i="3"/>
  <c r="AC125" i="3" s="1"/>
  <c r="AB126" i="3"/>
  <c r="AC126" i="3" s="1"/>
  <c r="AB127" i="3"/>
  <c r="AC127" i="3" s="1"/>
  <c r="AB128" i="3"/>
  <c r="AC128" i="3" s="1"/>
  <c r="AB129" i="3"/>
  <c r="AC129" i="3" s="1"/>
  <c r="AB130" i="3"/>
  <c r="AC130" i="3" s="1"/>
  <c r="AB131" i="3"/>
  <c r="AC131" i="3" s="1"/>
  <c r="AB132" i="3"/>
  <c r="AC132" i="3" s="1"/>
  <c r="AB133" i="3"/>
  <c r="AC133" i="3" s="1"/>
  <c r="AB134" i="3"/>
  <c r="AC134" i="3" s="1"/>
  <c r="AB135" i="3"/>
  <c r="AC135" i="3" s="1"/>
  <c r="AB136" i="3"/>
  <c r="AC136" i="3" s="1"/>
  <c r="AB137" i="3"/>
  <c r="AC137" i="3" s="1"/>
  <c r="AB138" i="3"/>
  <c r="AC138" i="3" s="1"/>
  <c r="AB139" i="3"/>
  <c r="AC139" i="3" s="1"/>
  <c r="AB140" i="3"/>
  <c r="AC140" i="3" s="1"/>
  <c r="AB141" i="3"/>
  <c r="AC141" i="3" s="1"/>
  <c r="AB143" i="3"/>
  <c r="AC143" i="3" s="1"/>
  <c r="AB144" i="3"/>
  <c r="AC144" i="3" s="1"/>
  <c r="AB145" i="3"/>
  <c r="AC145" i="3" s="1"/>
  <c r="AB146" i="3"/>
  <c r="AC146" i="3" s="1"/>
  <c r="AB147" i="3"/>
  <c r="AC147" i="3" s="1"/>
  <c r="AB148" i="3"/>
  <c r="AC148" i="3" s="1"/>
  <c r="AB149" i="3"/>
  <c r="AC149" i="3" s="1"/>
  <c r="AB150" i="3"/>
  <c r="AC150" i="3" s="1"/>
  <c r="AB151" i="3"/>
  <c r="AC151" i="3" s="1"/>
  <c r="AB152" i="3"/>
  <c r="AC152" i="3" s="1"/>
  <c r="AB153" i="3"/>
  <c r="AC153" i="3" s="1"/>
  <c r="AB154" i="3"/>
  <c r="AC154" i="3" s="1"/>
  <c r="AB155" i="3"/>
  <c r="AC155" i="3" s="1"/>
  <c r="AB156" i="3"/>
  <c r="AC156" i="3" s="1"/>
  <c r="AB157" i="3"/>
  <c r="AC157" i="3" s="1"/>
  <c r="AB158" i="3"/>
  <c r="AC158" i="3" s="1"/>
  <c r="AB159" i="3"/>
  <c r="AC159" i="3" s="1"/>
  <c r="AB160" i="3"/>
  <c r="AC160" i="3" s="1"/>
  <c r="AB161" i="3"/>
  <c r="AC161" i="3" s="1"/>
  <c r="AB162" i="3"/>
  <c r="AC162" i="3" s="1"/>
  <c r="AB163" i="3"/>
  <c r="AC163" i="3" s="1"/>
  <c r="AB164" i="3"/>
  <c r="AC164" i="3" s="1"/>
  <c r="AB165" i="3"/>
  <c r="AC165" i="3" s="1"/>
  <c r="AB166" i="3"/>
  <c r="AC166" i="3" s="1"/>
  <c r="AB167" i="3"/>
  <c r="AC167" i="3" s="1"/>
  <c r="AB168" i="3"/>
  <c r="AC168" i="3" s="1"/>
  <c r="AB169" i="3"/>
  <c r="AC169" i="3" s="1"/>
  <c r="AB170" i="3"/>
  <c r="AC170" i="3" s="1"/>
  <c r="AB171" i="3"/>
  <c r="AC171" i="3" s="1"/>
  <c r="AB172" i="3"/>
  <c r="AC172" i="3" s="1"/>
  <c r="AB173" i="3"/>
  <c r="AC173" i="3" s="1"/>
  <c r="AB174" i="3"/>
  <c r="AC174" i="3" s="1"/>
  <c r="AB175" i="3"/>
  <c r="AC175" i="3" s="1"/>
  <c r="AB176" i="3"/>
  <c r="AC176" i="3" s="1"/>
  <c r="AB177" i="3"/>
  <c r="AC177" i="3" s="1"/>
  <c r="AB178" i="3"/>
  <c r="AC178" i="3" s="1"/>
  <c r="AB179" i="3"/>
  <c r="AC179" i="3" s="1"/>
  <c r="AB180" i="3"/>
  <c r="AC180" i="3" s="1"/>
  <c r="AB181" i="3"/>
  <c r="AC181" i="3" s="1"/>
  <c r="AB182" i="3"/>
  <c r="AC182" i="3" s="1"/>
  <c r="AB183" i="3"/>
  <c r="AC183" i="3" s="1"/>
  <c r="AB184" i="3"/>
  <c r="AC184" i="3" s="1"/>
  <c r="AB185" i="3"/>
  <c r="AC185" i="3" s="1"/>
  <c r="AB186" i="3"/>
  <c r="AC186" i="3" s="1"/>
  <c r="AB187" i="3"/>
  <c r="AC187" i="3" s="1"/>
  <c r="AB188" i="3"/>
  <c r="AC188" i="3" s="1"/>
  <c r="AB189" i="3"/>
  <c r="AC189" i="3" s="1"/>
  <c r="AB190" i="3"/>
  <c r="AC190" i="3" s="1"/>
  <c r="AB191" i="3"/>
  <c r="AC191" i="3" s="1"/>
  <c r="AB192" i="3"/>
  <c r="AC192" i="3" s="1"/>
  <c r="AB193" i="3"/>
  <c r="AC193" i="3" s="1"/>
  <c r="AB194" i="3"/>
  <c r="AC194" i="3" s="1"/>
  <c r="AB195" i="3"/>
  <c r="AC195" i="3" s="1"/>
  <c r="AB196" i="3"/>
  <c r="AC196" i="3" s="1"/>
  <c r="AB197" i="3"/>
  <c r="AC197" i="3" s="1"/>
  <c r="AB198" i="3"/>
  <c r="AC198" i="3" s="1"/>
  <c r="AB199" i="3"/>
  <c r="AC199" i="3" s="1"/>
  <c r="AA39" i="3"/>
  <c r="AB39" i="3" s="1"/>
  <c r="AC39" i="3" s="1"/>
  <c r="N199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8" i="3"/>
  <c r="H196" i="3"/>
  <c r="H195" i="3"/>
  <c r="H194" i="3"/>
  <c r="K196" i="3"/>
  <c r="K195" i="3"/>
  <c r="K194" i="3"/>
  <c r="Z124" i="3" l="1"/>
  <c r="Z122" i="3"/>
  <c r="T122" i="3"/>
  <c r="P139" i="3"/>
  <c r="Q139" i="3" s="1"/>
  <c r="Q35" i="3"/>
  <c r="P19" i="3"/>
  <c r="Q19" i="3" s="1"/>
  <c r="Q95" i="3"/>
  <c r="Q15" i="3"/>
  <c r="Q85" i="3"/>
  <c r="P162" i="3"/>
  <c r="Q162" i="3" s="1"/>
  <c r="Q188" i="3"/>
  <c r="P8" i="3"/>
  <c r="Q8" i="3" s="1"/>
  <c r="Q178" i="3"/>
  <c r="Q37" i="3"/>
  <c r="Q13" i="3"/>
  <c r="Q174" i="3"/>
  <c r="Q186" i="3"/>
  <c r="Q109" i="3"/>
  <c r="Q39" i="3"/>
  <c r="Q29" i="3"/>
  <c r="Q169" i="3"/>
  <c r="Q161" i="3"/>
  <c r="Q154" i="3"/>
  <c r="Q146" i="3"/>
  <c r="Q138" i="3"/>
  <c r="Q130" i="3"/>
  <c r="Q122" i="3"/>
  <c r="Q106" i="3"/>
  <c r="Q98" i="3"/>
  <c r="Q90" i="3"/>
  <c r="Q82" i="3"/>
  <c r="Q74" i="3"/>
  <c r="Q66" i="3"/>
  <c r="Q58" i="3"/>
  <c r="Q50" i="3"/>
  <c r="Q42" i="3"/>
  <c r="Q34" i="3"/>
  <c r="Q26" i="3"/>
  <c r="Q18" i="3"/>
  <c r="P200" i="3"/>
  <c r="Q200" i="3" s="1"/>
  <c r="P193" i="3"/>
  <c r="Q193" i="3" s="1"/>
  <c r="P185" i="3"/>
  <c r="Q185" i="3" s="1"/>
  <c r="P114" i="3"/>
  <c r="Q114" i="3" s="1"/>
  <c r="Q199" i="3"/>
  <c r="Q153" i="3"/>
  <c r="Q137" i="3"/>
  <c r="Q105" i="3"/>
  <c r="Q65" i="3"/>
  <c r="Q176" i="3"/>
  <c r="Q160" i="3"/>
  <c r="Q145" i="3"/>
  <c r="Q113" i="3"/>
  <c r="Q97" i="3"/>
  <c r="Q73" i="3"/>
  <c r="Q41" i="3"/>
  <c r="P192" i="3"/>
  <c r="Q192" i="3" s="1"/>
  <c r="P184" i="3"/>
  <c r="Q184" i="3" s="1"/>
  <c r="P168" i="3"/>
  <c r="Q168" i="3" s="1"/>
  <c r="P129" i="3"/>
  <c r="Q129" i="3" s="1"/>
  <c r="P121" i="3"/>
  <c r="Q121" i="3" s="1"/>
  <c r="P89" i="3"/>
  <c r="Q89" i="3" s="1"/>
  <c r="P81" i="3"/>
  <c r="Q81" i="3" s="1"/>
  <c r="P57" i="3"/>
  <c r="Q57" i="3" s="1"/>
  <c r="P49" i="3"/>
  <c r="Q49" i="3" s="1"/>
  <c r="P33" i="3"/>
  <c r="Q33" i="3" s="1"/>
  <c r="P25" i="3"/>
  <c r="Q25" i="3" s="1"/>
  <c r="P17" i="3"/>
  <c r="Q17" i="3" s="1"/>
  <c r="Q198" i="3"/>
  <c r="Q191" i="3"/>
  <c r="Q183" i="3"/>
  <c r="Q175" i="3"/>
  <c r="Q167" i="3"/>
  <c r="Q159" i="3"/>
  <c r="Q152" i="3"/>
  <c r="Q144" i="3"/>
  <c r="Q136" i="3"/>
  <c r="Q128" i="3"/>
  <c r="Q120" i="3"/>
  <c r="Q112" i="3"/>
  <c r="Q104" i="3"/>
  <c r="Q96" i="3"/>
  <c r="Q88" i="3"/>
  <c r="Q80" i="3"/>
  <c r="Q72" i="3"/>
  <c r="Q64" i="3"/>
  <c r="Q56" i="3"/>
  <c r="Q48" i="3"/>
  <c r="Q40" i="3"/>
  <c r="Q32" i="3"/>
  <c r="Q24" i="3"/>
  <c r="Q16" i="3"/>
  <c r="Q10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8" i="3"/>
  <c r="U67" i="3" l="1"/>
  <c r="H67" i="3"/>
  <c r="V54" i="3"/>
  <c r="W54" i="3" s="1"/>
  <c r="H54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5" i="3"/>
  <c r="H56" i="3"/>
  <c r="H57" i="3"/>
  <c r="H58" i="3"/>
  <c r="H59" i="3"/>
  <c r="H60" i="3"/>
  <c r="H61" i="3"/>
  <c r="H62" i="3"/>
  <c r="H63" i="3"/>
  <c r="H64" i="3"/>
  <c r="H65" i="3"/>
  <c r="H66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8" i="3"/>
  <c r="U8" i="3"/>
  <c r="V8" i="3" s="1"/>
  <c r="W8" i="3" s="1"/>
  <c r="U10" i="3"/>
  <c r="V10" i="3" s="1"/>
  <c r="W10" i="3" s="1"/>
  <c r="U11" i="3"/>
  <c r="V11" i="3" s="1"/>
  <c r="W11" i="3" s="1"/>
  <c r="U12" i="3"/>
  <c r="V12" i="3" s="1"/>
  <c r="W12" i="3" s="1"/>
  <c r="U13" i="3"/>
  <c r="V13" i="3" s="1"/>
  <c r="W13" i="3" s="1"/>
  <c r="U14" i="3"/>
  <c r="V14" i="3" s="1"/>
  <c r="W14" i="3" s="1"/>
  <c r="U15" i="3"/>
  <c r="V15" i="3" s="1"/>
  <c r="W15" i="3" s="1"/>
  <c r="U16" i="3"/>
  <c r="U17" i="3"/>
  <c r="U18" i="3"/>
  <c r="V18" i="3" s="1"/>
  <c r="W18" i="3" s="1"/>
  <c r="U19" i="3"/>
  <c r="V19" i="3" s="1"/>
  <c r="W19" i="3" s="1"/>
  <c r="U20" i="3"/>
  <c r="V20" i="3" s="1"/>
  <c r="W20" i="3" s="1"/>
  <c r="U22" i="3"/>
  <c r="V22" i="3" s="1"/>
  <c r="W22" i="3" s="1"/>
  <c r="U24" i="3"/>
  <c r="V24" i="3" s="1"/>
  <c r="W24" i="3" s="1"/>
  <c r="U25" i="3"/>
  <c r="V25" i="3" s="1"/>
  <c r="W25" i="3" s="1"/>
  <c r="U26" i="3"/>
  <c r="V26" i="3" s="1"/>
  <c r="W26" i="3" s="1"/>
  <c r="U29" i="3"/>
  <c r="V29" i="3" s="1"/>
  <c r="W29" i="3" s="1"/>
  <c r="U30" i="3"/>
  <c r="V30" i="3" s="1"/>
  <c r="W30" i="3" s="1"/>
  <c r="U31" i="3"/>
  <c r="V31" i="3" s="1"/>
  <c r="W31" i="3" s="1"/>
  <c r="U32" i="3"/>
  <c r="V32" i="3" s="1"/>
  <c r="W32" i="3" s="1"/>
  <c r="U34" i="3"/>
  <c r="V34" i="3" s="1"/>
  <c r="W34" i="3" s="1"/>
  <c r="U35" i="3"/>
  <c r="V35" i="3" s="1"/>
  <c r="W35" i="3" s="1"/>
  <c r="U36" i="3"/>
  <c r="V36" i="3" s="1"/>
  <c r="W36" i="3" s="1"/>
  <c r="U39" i="3"/>
  <c r="U40" i="3"/>
  <c r="U41" i="3"/>
  <c r="V41" i="3" s="1"/>
  <c r="W41" i="3" s="1"/>
  <c r="U42" i="3"/>
  <c r="V42" i="3" s="1"/>
  <c r="W42" i="3" s="1"/>
  <c r="U43" i="3"/>
  <c r="V43" i="3" s="1"/>
  <c r="W43" i="3" s="1"/>
  <c r="U44" i="3"/>
  <c r="V44" i="3" s="1"/>
  <c r="W44" i="3" s="1"/>
  <c r="U45" i="3"/>
  <c r="V45" i="3" s="1"/>
  <c r="W45" i="3" s="1"/>
  <c r="U46" i="3"/>
  <c r="V46" i="3" s="1"/>
  <c r="W46" i="3" s="1"/>
  <c r="U47" i="3"/>
  <c r="V47" i="3" s="1"/>
  <c r="W47" i="3" s="1"/>
  <c r="U49" i="3"/>
  <c r="V49" i="3" s="1"/>
  <c r="W49" i="3" s="1"/>
  <c r="U48" i="3"/>
  <c r="V48" i="3" s="1"/>
  <c r="W48" i="3" s="1"/>
  <c r="U50" i="3"/>
  <c r="V50" i="3" s="1"/>
  <c r="W50" i="3" s="1"/>
  <c r="U51" i="3"/>
  <c r="V51" i="3" s="1"/>
  <c r="W51" i="3" s="1"/>
  <c r="U53" i="3"/>
  <c r="V53" i="3" s="1"/>
  <c r="W53" i="3" s="1"/>
  <c r="U52" i="3"/>
  <c r="V52" i="3" s="1"/>
  <c r="W52" i="3" s="1"/>
  <c r="U56" i="3"/>
  <c r="V56" i="3" s="1"/>
  <c r="W56" i="3" s="1"/>
  <c r="U58" i="3"/>
  <c r="V58" i="3" s="1"/>
  <c r="W58" i="3" s="1"/>
  <c r="U59" i="3"/>
  <c r="V59" i="3" s="1"/>
  <c r="W59" i="3" s="1"/>
  <c r="U60" i="3"/>
  <c r="V60" i="3" s="1"/>
  <c r="W60" i="3" s="1"/>
  <c r="U61" i="3"/>
  <c r="V61" i="3" s="1"/>
  <c r="W61" i="3" s="1"/>
  <c r="U64" i="3"/>
  <c r="V64" i="3" s="1"/>
  <c r="W64" i="3" s="1"/>
  <c r="U66" i="3"/>
  <c r="V68" i="3"/>
  <c r="U69" i="3"/>
  <c r="V69" i="3" s="1"/>
  <c r="W69" i="3" s="1"/>
  <c r="U70" i="3"/>
  <c r="V70" i="3" s="1"/>
  <c r="W70" i="3" s="1"/>
  <c r="U71" i="3"/>
  <c r="V71" i="3" s="1"/>
  <c r="W71" i="3" s="1"/>
  <c r="U72" i="3"/>
  <c r="V72" i="3" s="1"/>
  <c r="W72" i="3" s="1"/>
  <c r="U73" i="3"/>
  <c r="V73" i="3" s="1"/>
  <c r="W73" i="3" s="1"/>
  <c r="U74" i="3"/>
  <c r="V74" i="3" s="1"/>
  <c r="W74" i="3" s="1"/>
  <c r="U75" i="3"/>
  <c r="V75" i="3" s="1"/>
  <c r="W75" i="3" s="1"/>
  <c r="U76" i="3"/>
  <c r="V76" i="3" s="1"/>
  <c r="W76" i="3" s="1"/>
  <c r="U80" i="3"/>
  <c r="V80" i="3" s="1"/>
  <c r="W80" i="3" s="1"/>
  <c r="U84" i="3"/>
  <c r="V84" i="3" s="1"/>
  <c r="W84" i="3" s="1"/>
  <c r="U85" i="3"/>
  <c r="V85" i="3" s="1"/>
  <c r="W85" i="3" s="1"/>
  <c r="U82" i="3"/>
  <c r="V82" i="3" s="1"/>
  <c r="W82" i="3" s="1"/>
  <c r="U83" i="3"/>
  <c r="V83" i="3" s="1"/>
  <c r="W83" i="3" s="1"/>
  <c r="U86" i="3"/>
  <c r="V86" i="3" s="1"/>
  <c r="W86" i="3" s="1"/>
  <c r="U87" i="3"/>
  <c r="V87" i="3" s="1"/>
  <c r="W87" i="3" s="1"/>
  <c r="U95" i="3"/>
  <c r="V95" i="3" s="1"/>
  <c r="W95" i="3" s="1"/>
  <c r="U98" i="3"/>
  <c r="V98" i="3" s="1"/>
  <c r="W98" i="3" s="1"/>
  <c r="U97" i="3"/>
  <c r="V97" i="3" s="1"/>
  <c r="W97" i="3" s="1"/>
  <c r="U100" i="3"/>
  <c r="U96" i="3"/>
  <c r="V96" i="3" s="1"/>
  <c r="W96" i="3" s="1"/>
  <c r="U99" i="3"/>
  <c r="V99" i="3" s="1"/>
  <c r="W99" i="3" s="1"/>
  <c r="U101" i="3"/>
  <c r="V101" i="3" s="1"/>
  <c r="W101" i="3" s="1"/>
  <c r="U104" i="3"/>
  <c r="V104" i="3" s="1"/>
  <c r="W104" i="3" s="1"/>
  <c r="U105" i="3"/>
  <c r="V105" i="3" s="1"/>
  <c r="W105" i="3" s="1"/>
  <c r="U107" i="3"/>
  <c r="V107" i="3" s="1"/>
  <c r="W107" i="3" s="1"/>
  <c r="U108" i="3"/>
  <c r="V108" i="3" s="1"/>
  <c r="W108" i="3" s="1"/>
  <c r="U110" i="3"/>
  <c r="V110" i="3" s="1"/>
  <c r="W110" i="3" s="1"/>
  <c r="U111" i="3"/>
  <c r="V111" i="3" s="1"/>
  <c r="W111" i="3" s="1"/>
  <c r="U112" i="3"/>
  <c r="V112" i="3" s="1"/>
  <c r="W112" i="3" s="1"/>
  <c r="U113" i="3"/>
  <c r="V113" i="3" s="1"/>
  <c r="W113" i="3" s="1"/>
  <c r="U115" i="3"/>
  <c r="V115" i="3" s="1"/>
  <c r="W115" i="3" s="1"/>
  <c r="U119" i="3"/>
  <c r="V119" i="3" s="1"/>
  <c r="W119" i="3" s="1"/>
  <c r="U120" i="3"/>
  <c r="V120" i="3" s="1"/>
  <c r="W120" i="3" s="1"/>
  <c r="U122" i="3"/>
  <c r="V122" i="3" s="1"/>
  <c r="W122" i="3" s="1"/>
  <c r="U123" i="3"/>
  <c r="V123" i="3" s="1"/>
  <c r="W123" i="3" s="1"/>
  <c r="U124" i="3"/>
  <c r="V124" i="3" s="1"/>
  <c r="W124" i="3" s="1"/>
  <c r="U126" i="3"/>
  <c r="V126" i="3" s="1"/>
  <c r="W126" i="3" s="1"/>
  <c r="U130" i="3"/>
  <c r="V130" i="3" s="1"/>
  <c r="W130" i="3" s="1"/>
  <c r="U132" i="3"/>
  <c r="V132" i="3" s="1"/>
  <c r="W132" i="3" s="1"/>
  <c r="U136" i="3"/>
  <c r="V136" i="3" s="1"/>
  <c r="W136" i="3" s="1"/>
  <c r="U137" i="3"/>
  <c r="V137" i="3" s="1"/>
  <c r="W137" i="3" s="1"/>
  <c r="U140" i="3"/>
  <c r="V140" i="3" s="1"/>
  <c r="W140" i="3" s="1"/>
  <c r="U109" i="3"/>
  <c r="V109" i="3" s="1"/>
  <c r="W109" i="3" s="1"/>
  <c r="U142" i="3"/>
  <c r="V142" i="3" s="1"/>
  <c r="W142" i="3" s="1"/>
  <c r="U143" i="3"/>
  <c r="V143" i="3" s="1"/>
  <c r="W143" i="3" s="1"/>
  <c r="U144" i="3"/>
  <c r="V144" i="3" s="1"/>
  <c r="W144" i="3" s="1"/>
  <c r="U146" i="3"/>
  <c r="V146" i="3" s="1"/>
  <c r="U148" i="3"/>
  <c r="V148" i="3" s="1"/>
  <c r="W148" i="3" s="1"/>
  <c r="U150" i="3"/>
  <c r="V150" i="3" s="1"/>
  <c r="W150" i="3" s="1"/>
  <c r="U152" i="3"/>
  <c r="V152" i="3" s="1"/>
  <c r="W152" i="3" s="1"/>
  <c r="U162" i="3"/>
  <c r="V162" i="3" s="1"/>
  <c r="W162" i="3" s="1"/>
  <c r="U163" i="3"/>
  <c r="V163" i="3" s="1"/>
  <c r="W163" i="3" s="1"/>
  <c r="U160" i="3"/>
  <c r="V160" i="3" s="1"/>
  <c r="W160" i="3" s="1"/>
  <c r="U159" i="3"/>
  <c r="V159" i="3" s="1"/>
  <c r="W159" i="3" s="1"/>
  <c r="U161" i="3"/>
  <c r="V161" i="3" s="1"/>
  <c r="U157" i="3"/>
  <c r="V157" i="3" s="1"/>
  <c r="W157" i="3" s="1"/>
  <c r="U158" i="3"/>
  <c r="V158" i="3" s="1"/>
  <c r="W158" i="3" s="1"/>
  <c r="U164" i="3"/>
  <c r="U165" i="3"/>
  <c r="U166" i="3"/>
  <c r="U167" i="3"/>
  <c r="V167" i="3" s="1"/>
  <c r="W167" i="3" s="1"/>
  <c r="U168" i="3"/>
  <c r="V168" i="3" s="1"/>
  <c r="W168" i="3" s="1"/>
  <c r="U169" i="3"/>
  <c r="V169" i="3" s="1"/>
  <c r="W169" i="3" s="1"/>
  <c r="U170" i="3"/>
  <c r="V170" i="3" s="1"/>
  <c r="W170" i="3" s="1"/>
  <c r="U171" i="3"/>
  <c r="V171" i="3" s="1"/>
  <c r="W171" i="3" s="1"/>
  <c r="U172" i="3"/>
  <c r="V172" i="3" s="1"/>
  <c r="W172" i="3" s="1"/>
  <c r="U173" i="3"/>
  <c r="V173" i="3" s="1"/>
  <c r="W173" i="3" s="1"/>
  <c r="U174" i="3"/>
  <c r="V174" i="3" s="1"/>
  <c r="W174" i="3" s="1"/>
  <c r="U175" i="3"/>
  <c r="V175" i="3" s="1"/>
  <c r="W175" i="3" s="1"/>
  <c r="U176" i="3"/>
  <c r="V176" i="3" s="1"/>
  <c r="W176" i="3" s="1"/>
  <c r="U177" i="3"/>
  <c r="V177" i="3" s="1"/>
  <c r="W177" i="3" s="1"/>
  <c r="U178" i="3"/>
  <c r="V178" i="3" s="1"/>
  <c r="W178" i="3" s="1"/>
  <c r="U179" i="3"/>
  <c r="V179" i="3" s="1"/>
  <c r="W179" i="3" s="1"/>
  <c r="U180" i="3"/>
  <c r="V180" i="3" s="1"/>
  <c r="W180" i="3" s="1"/>
  <c r="U181" i="3"/>
  <c r="V181" i="3" s="1"/>
  <c r="W181" i="3" s="1"/>
  <c r="U182" i="3"/>
  <c r="V182" i="3" s="1"/>
  <c r="W182" i="3" s="1"/>
  <c r="U183" i="3"/>
  <c r="V183" i="3" s="1"/>
  <c r="W183" i="3" s="1"/>
  <c r="U184" i="3"/>
  <c r="V184" i="3" s="1"/>
  <c r="W184" i="3" s="1"/>
  <c r="U185" i="3"/>
  <c r="V185" i="3" s="1"/>
  <c r="W185" i="3" s="1"/>
  <c r="U186" i="3"/>
  <c r="V186" i="3" s="1"/>
  <c r="W186" i="3" s="1"/>
  <c r="U187" i="3"/>
  <c r="V187" i="3" s="1"/>
  <c r="W187" i="3" s="1"/>
  <c r="V9" i="3"/>
  <c r="W9" i="3" s="1"/>
  <c r="V16" i="3"/>
  <c r="W16" i="3" s="1"/>
  <c r="V17" i="3"/>
  <c r="W17" i="3" s="1"/>
  <c r="V21" i="3"/>
  <c r="W21" i="3" s="1"/>
  <c r="V23" i="3"/>
  <c r="W23" i="3" s="1"/>
  <c r="V27" i="3"/>
  <c r="W27" i="3" s="1"/>
  <c r="V28" i="3"/>
  <c r="W28" i="3" s="1"/>
  <c r="V33" i="3"/>
  <c r="W33" i="3" s="1"/>
  <c r="V37" i="3"/>
  <c r="W37" i="3" s="1"/>
  <c r="V38" i="3"/>
  <c r="W38" i="3" s="1"/>
  <c r="V39" i="3"/>
  <c r="W39" i="3" s="1"/>
  <c r="V40" i="3"/>
  <c r="W40" i="3" s="1"/>
  <c r="V55" i="3"/>
  <c r="W55" i="3" s="1"/>
  <c r="V57" i="3"/>
  <c r="W57" i="3" s="1"/>
  <c r="V62" i="3"/>
  <c r="W62" i="3" s="1"/>
  <c r="V63" i="3"/>
  <c r="W63" i="3" s="1"/>
  <c r="V65" i="3"/>
  <c r="W65" i="3" s="1"/>
  <c r="V77" i="3"/>
  <c r="W77" i="3" s="1"/>
  <c r="V78" i="3"/>
  <c r="W78" i="3" s="1"/>
  <c r="V79" i="3"/>
  <c r="W79" i="3" s="1"/>
  <c r="V81" i="3"/>
  <c r="W81" i="3" s="1"/>
  <c r="V88" i="3"/>
  <c r="W88" i="3" s="1"/>
  <c r="V89" i="3"/>
  <c r="W89" i="3" s="1"/>
  <c r="V90" i="3"/>
  <c r="W90" i="3" s="1"/>
  <c r="V91" i="3"/>
  <c r="W91" i="3" s="1"/>
  <c r="V92" i="3"/>
  <c r="W92" i="3" s="1"/>
  <c r="V93" i="3"/>
  <c r="W93" i="3" s="1"/>
  <c r="V94" i="3"/>
  <c r="W94" i="3" s="1"/>
  <c r="V100" i="3"/>
  <c r="W100" i="3" s="1"/>
  <c r="V102" i="3"/>
  <c r="W102" i="3" s="1"/>
  <c r="V103" i="3"/>
  <c r="W103" i="3" s="1"/>
  <c r="V106" i="3"/>
  <c r="W106" i="3" s="1"/>
  <c r="V114" i="3"/>
  <c r="W114" i="3" s="1"/>
  <c r="V116" i="3"/>
  <c r="W116" i="3" s="1"/>
  <c r="V117" i="3"/>
  <c r="W117" i="3" s="1"/>
  <c r="V118" i="3"/>
  <c r="W118" i="3" s="1"/>
  <c r="V121" i="3"/>
  <c r="W121" i="3" s="1"/>
  <c r="V125" i="3"/>
  <c r="W125" i="3" s="1"/>
  <c r="V127" i="3"/>
  <c r="W127" i="3" s="1"/>
  <c r="V128" i="3"/>
  <c r="W128" i="3" s="1"/>
  <c r="V129" i="3"/>
  <c r="W129" i="3" s="1"/>
  <c r="V131" i="3"/>
  <c r="W131" i="3" s="1"/>
  <c r="V133" i="3"/>
  <c r="W133" i="3" s="1"/>
  <c r="V134" i="3"/>
  <c r="W134" i="3" s="1"/>
  <c r="V135" i="3"/>
  <c r="W135" i="3" s="1"/>
  <c r="V138" i="3"/>
  <c r="W138" i="3" s="1"/>
  <c r="V139" i="3"/>
  <c r="W139" i="3" s="1"/>
  <c r="V141" i="3"/>
  <c r="W141" i="3" s="1"/>
  <c r="V145" i="3"/>
  <c r="W145" i="3" s="1"/>
  <c r="V147" i="3"/>
  <c r="W147" i="3" s="1"/>
  <c r="V149" i="3"/>
  <c r="W149" i="3" s="1"/>
  <c r="V151" i="3"/>
  <c r="W151" i="3" s="1"/>
  <c r="V153" i="3"/>
  <c r="W153" i="3" s="1"/>
  <c r="V154" i="3"/>
  <c r="W154" i="3" s="1"/>
  <c r="V155" i="3"/>
  <c r="W155" i="3" s="1"/>
  <c r="V156" i="3"/>
  <c r="W156" i="3" s="1"/>
  <c r="V164" i="3"/>
  <c r="W164" i="3" s="1"/>
  <c r="V165" i="3"/>
  <c r="W165" i="3" s="1"/>
  <c r="V166" i="3"/>
  <c r="W166" i="3" s="1"/>
  <c r="V191" i="3"/>
  <c r="W191" i="3" s="1"/>
  <c r="U188" i="3"/>
  <c r="V188" i="3" s="1"/>
  <c r="U189" i="3"/>
  <c r="V189" i="3" s="1"/>
  <c r="W189" i="3" s="1"/>
  <c r="U190" i="3"/>
  <c r="V190" i="3" s="1"/>
  <c r="W190" i="3" s="1"/>
  <c r="U192" i="3"/>
  <c r="V192" i="3" s="1"/>
  <c r="W192" i="3" s="1"/>
  <c r="W188" i="3" l="1"/>
  <c r="V66" i="3"/>
  <c r="W66" i="3" s="1"/>
  <c r="W146" i="3"/>
  <c r="W68" i="3"/>
  <c r="V67" i="3"/>
  <c r="W67" i="3" s="1"/>
  <c r="W161" i="3"/>
</calcChain>
</file>

<file path=xl/sharedStrings.xml><?xml version="1.0" encoding="utf-8"?>
<sst xmlns="http://schemas.openxmlformats.org/spreadsheetml/2006/main" count="462" uniqueCount="238">
  <si>
    <t>SOLDADURA PVC 1/4</t>
  </si>
  <si>
    <t>SIKAFLEX UNIVERSAL BLANCO</t>
  </si>
  <si>
    <t>CANTIDAD</t>
  </si>
  <si>
    <t>ANTES DE IVA</t>
  </si>
  <si>
    <t>IVA</t>
  </si>
  <si>
    <t>TOTAL</t>
  </si>
  <si>
    <t>MEDIDA</t>
  </si>
  <si>
    <t>UND</t>
  </si>
  <si>
    <t>FERRIOBRAS</t>
  </si>
  <si>
    <t>VINILTEX ACRILTEX BLANCO NC 2761-0101</t>
  </si>
  <si>
    <t>PINTUCOAT AMARILLO</t>
  </si>
  <si>
    <t>KORAZA BASE DEEP BLANCO.</t>
  </si>
  <si>
    <t>SOCIEDAD FERRETERA DE COMERCIO S.A.S</t>
  </si>
  <si>
    <t xml:space="preserve">CINTA ENMASCARAR </t>
  </si>
  <si>
    <t>CLAUDIA JARAMILLO HURTADO</t>
  </si>
  <si>
    <t>ESMALTE  PINTULUX BLANCO</t>
  </si>
  <si>
    <t>VALOR CON IVA</t>
  </si>
  <si>
    <t xml:space="preserve">REVOQUE PLASTICO BLANCO </t>
  </si>
  <si>
    <t>BULTO</t>
  </si>
  <si>
    <t>ESTUCO PROFESIONAL*30KL</t>
  </si>
  <si>
    <t>CUÑETE</t>
  </si>
  <si>
    <t>GALON</t>
  </si>
  <si>
    <t>ESMALTE PINTULUX 3 EN 1 ROJO</t>
  </si>
  <si>
    <t>ESMALTE PINTULUX TEU BASE PASTEL</t>
  </si>
  <si>
    <t>PINTUCOAT BLANCO 516</t>
  </si>
  <si>
    <t>PINTUCOAT GRIS 517</t>
  </si>
  <si>
    <t>ESMALTE PINTULUX 3EN1 BLANCO</t>
  </si>
  <si>
    <t>ESMALTE PINTULUX 3EN1 AMARILLO</t>
  </si>
  <si>
    <t>ESMALTE PINTULUX 3EN1 VERDE ESMERALDA</t>
  </si>
  <si>
    <t>ESMALTE PINTULUX 3EN1 NARANJA</t>
  </si>
  <si>
    <t>ESMALTE PINTULUX 3EN1 GRIS PLATA</t>
  </si>
  <si>
    <t>PINTUTRAFICO AMARILLO</t>
  </si>
  <si>
    <t>PINTUTRAFICO BLANCO</t>
  </si>
  <si>
    <t>KORAZA BASE DEEP BLANCO</t>
  </si>
  <si>
    <t>ROLLO</t>
  </si>
  <si>
    <t>LLAVE JARDIN LIVIANA SATIN</t>
  </si>
  <si>
    <t>KORAZA GRIS BASALTO</t>
  </si>
  <si>
    <t>ESMALTE 1/1 PINTULUX</t>
  </si>
  <si>
    <t>ESTUCO PLASTICO EXTERIOR</t>
  </si>
  <si>
    <t>PINTUCOAT BLANCO C/CATAL.PINTUCO 1/1</t>
  </si>
  <si>
    <t>PINTUCOAT GRIS C/CATALIZADOR</t>
  </si>
  <si>
    <t>PINTUCOAT AMARILLO C/CATALIZADOR PINTUCO</t>
  </si>
  <si>
    <t>ARENA MEDIANA</t>
  </si>
  <si>
    <t>MTR</t>
  </si>
  <si>
    <t>ESMALTE PINTULUX 3EN1 TEU NEGRO</t>
  </si>
  <si>
    <t>LLAVE JARDIN PESADA SATI</t>
  </si>
  <si>
    <t>PAGO DE CONTADO</t>
  </si>
  <si>
    <t>CREDITO 45 DIAS</t>
  </si>
  <si>
    <t>BUGA-GALLETAS</t>
  </si>
  <si>
    <t xml:space="preserve">PINTUCOAT VERDE MAQUINA </t>
  </si>
  <si>
    <t>ESTUCADO *25KG</t>
  </si>
  <si>
    <t>CATALIZADOR PINTURA EPOXICA X1/8</t>
  </si>
  <si>
    <t>PRIMER ANTICORROSIVO 513 1/1</t>
  </si>
  <si>
    <t>CTO</t>
  </si>
  <si>
    <t>ANTICORROSIVO GRIS 507 PINTUCO</t>
  </si>
  <si>
    <t>SIKA MULTISEAL 100MM*10M</t>
  </si>
  <si>
    <t>ESMALTE PINTULUX 1/1 NEGRO</t>
  </si>
  <si>
    <t>CEMENTO GRIS X 50KG ARGOS/HOLCIM</t>
  </si>
  <si>
    <t>VARILLA CORRUGADA 3/8 X 6MTR /3.36KLS/9.5MM LEG</t>
  </si>
  <si>
    <t>VARILLA CORRUGADA 1/2 X 6MTR/ 5.95KLS/1/2LEG</t>
  </si>
  <si>
    <t>CATALIZADOR EPOXI TRANSPARENTE</t>
  </si>
  <si>
    <t>VINILTEX 1/1 1501</t>
  </si>
  <si>
    <t>KILO</t>
  </si>
  <si>
    <t>BROCA DE 1/4</t>
  </si>
  <si>
    <t>BROCA DE 3/32 LAMINA</t>
  </si>
  <si>
    <t>BROCA DE 3/8 CONCRETO</t>
  </si>
  <si>
    <t>BROCA DE 5/16 LAMINA</t>
  </si>
  <si>
    <t>BROCA DE 5/16 MURO</t>
  </si>
  <si>
    <t>BROCA 1/2 LAMINA</t>
  </si>
  <si>
    <t>BROCA 1/2 CONCRETO</t>
  </si>
  <si>
    <t>CAJA DE PUNTILLA 1" COMUN</t>
  </si>
  <si>
    <t>CAJA PUNTILLA 2" COMUN</t>
  </si>
  <si>
    <t>CANALETA 6" CANAL 60X2,44</t>
  </si>
  <si>
    <t xml:space="preserve">CANALETA 9" </t>
  </si>
  <si>
    <t>CEMENTO GRIS</t>
  </si>
  <si>
    <t>CINTA ANTIDESLIZANTE NEGRA DE 2"</t>
  </si>
  <si>
    <t>CINTA DOBLE FAZ DE 1/2</t>
  </si>
  <si>
    <t>CINTA DOBLE FAZ 3/4 CELUX TRANS X 1M</t>
  </si>
  <si>
    <t xml:space="preserve">CINTA ENMASCARAR ECO 1" X 40M </t>
  </si>
  <si>
    <t>CINTA PRECAUCION X 100MTRS ECONOMICA</t>
  </si>
  <si>
    <t>CODO 1/2 PRESION</t>
  </si>
  <si>
    <t>CODO 3" SANITARIO</t>
  </si>
  <si>
    <t>CODO 45 PRESION 1/2</t>
  </si>
  <si>
    <t>CODO 45 3/4 PRESION</t>
  </si>
  <si>
    <t>CODO 90 GALVI 1/2</t>
  </si>
  <si>
    <t>CODO 90 PRESION 11/4 PAVCO</t>
  </si>
  <si>
    <t>CODO 90 PRESION 3/4 PAVCO</t>
  </si>
  <si>
    <t>CODO 90X 2 PRESION</t>
  </si>
  <si>
    <t>DESTORNILLADOR DE ESTRIAS DE 1/4X4" CORNETA</t>
  </si>
  <si>
    <t>DESTORNILLADOR DE PALA DE 1/4X4"CORNETA</t>
  </si>
  <si>
    <t>DISCO CORTE METAL / DISCO CORTE METAL 4/ABRACOL</t>
  </si>
  <si>
    <t xml:space="preserve">DISCO DIAMANTE CONTINUO 4/2 ABRACOL </t>
  </si>
  <si>
    <t>ESMALTE BLANCO BRILLANTE</t>
  </si>
  <si>
    <t>ESMALTE DOMESTICO PINTUCO GRIS P-85</t>
  </si>
  <si>
    <t>ESPATULA 3"</t>
  </si>
  <si>
    <t>ESPATULA 6"</t>
  </si>
  <si>
    <t>HOJA DE SEGUETA</t>
  </si>
  <si>
    <t>HOJA DE GYPLAC</t>
  </si>
  <si>
    <t>LLAVE LAVAMANOS CRUCETA GRIVAL BRISA</t>
  </si>
  <si>
    <t>LLAVE PUSH LVM SABINGO GENEBRE</t>
  </si>
  <si>
    <t>PAQUETE AMARRAS PLASTICA DE 20CM NEGRAS</t>
  </si>
  <si>
    <t xml:space="preserve">REPUESTO HOJAS DE BISTURI </t>
  </si>
  <si>
    <t>RODILLO ANTIGOTA 9" X 3/8</t>
  </si>
  <si>
    <t>SIKADUR 32 PRIMER *1KG</t>
  </si>
  <si>
    <t>SILICONA BLANCA MULTIUSOS</t>
  </si>
  <si>
    <t>SOULDAFLEX BLANCO</t>
  </si>
  <si>
    <t>TAPON PRUEBA 2"</t>
  </si>
  <si>
    <t>T DE PRESION 3/4 PAVCO</t>
  </si>
  <si>
    <t>T SANITARIO 2 PAVCO</t>
  </si>
  <si>
    <t xml:space="preserve">TEE 2 PRESION PAVCO </t>
  </si>
  <si>
    <t>TEE PRESION 3</t>
  </si>
  <si>
    <t>THINER X GALON</t>
  </si>
  <si>
    <t>VARILLA ROSCA ORDINARIA 1/2 ZINC</t>
  </si>
  <si>
    <t>VARILLA ROSCADA DE 1/4</t>
  </si>
  <si>
    <t>VARSOL</t>
  </si>
  <si>
    <t>BROCA 1/4 LAMINA</t>
  </si>
  <si>
    <t>BROCA CONCRETO DE 5/16</t>
  </si>
  <si>
    <t>BROCA P/CONCRETO 1/2X8</t>
  </si>
  <si>
    <t>BRONCOELASTICO GRIS IMPERMEABILIZANTE</t>
  </si>
  <si>
    <t>ESTOPAS</t>
  </si>
  <si>
    <t>ENCHUFE POLO A TIERRA CODELCA</t>
  </si>
  <si>
    <t>CODO PRE DE 1 1/4"</t>
  </si>
  <si>
    <t>CODO PRE DE 3/4"</t>
  </si>
  <si>
    <t>CODO PRE DE 2"</t>
  </si>
  <si>
    <t>ESMALTE SINTETICOPLUS BLANCO EXTRA</t>
  </si>
  <si>
    <t>PAQUETE AMARRAS PLASTICA DE 10CM X100UND</t>
  </si>
  <si>
    <t>PAQUETE AMARRAS PLASTICA DE 15CM X100UND</t>
  </si>
  <si>
    <t>PAQUETE AMARRAS PLASTICA DE 25CM X50UND</t>
  </si>
  <si>
    <t>PAQUETE AMARRAS PLASTICA DE 30CM X50UND</t>
  </si>
  <si>
    <t>PAQUETE AMARRAS PLASTICA DE 35CM X50UND</t>
  </si>
  <si>
    <t>VINILTEX</t>
  </si>
  <si>
    <t>DOSMETICO</t>
  </si>
  <si>
    <t>BOTELLA</t>
  </si>
  <si>
    <t>SUPERMASTIk BALDE</t>
  </si>
  <si>
    <t>VALOR TOTAL</t>
  </si>
  <si>
    <t>ANTICORROSIVO VERDE OLIVA 01</t>
  </si>
  <si>
    <t>LIJA BANDA #80 6-150MM</t>
  </si>
  <si>
    <t>RODILLO EPOXIPOLIAMIDA GOYA 9</t>
  </si>
  <si>
    <t>MANIZALES</t>
  </si>
  <si>
    <t>TEE PRESION 1/2"</t>
  </si>
  <si>
    <t>LIBRA</t>
  </si>
  <si>
    <t>PINTURA EPOXICA-ALGRECO-AZUL</t>
  </si>
  <si>
    <t>BRONCOELASTICO GRIS</t>
  </si>
  <si>
    <t>ARENA REVOQUE</t>
  </si>
  <si>
    <t>CODO SANITARIO 90° X 3"</t>
  </si>
  <si>
    <t>CODO SANITARIO 45° X 6"</t>
  </si>
  <si>
    <t>TEE PVC PRESION 3/4"</t>
  </si>
  <si>
    <t>TEE PVC SANITARIA X2"</t>
  </si>
  <si>
    <t>CREDITO A 45 DIAS</t>
  </si>
  <si>
    <t>MATERIAL</t>
  </si>
  <si>
    <t>LISTADO DE MATERIALES</t>
  </si>
  <si>
    <t>MABC INGENIERIA SAS</t>
  </si>
  <si>
    <t>SUSTANCIAS QUIMICAS-MATERIALES-EPP</t>
  </si>
  <si>
    <t>VALLE</t>
  </si>
  <si>
    <t>FERRETERIA SUPROVEEDOR</t>
  </si>
  <si>
    <t>GRECONAL (ACRONAL) GALON</t>
  </si>
  <si>
    <t>GRECONAL (ACRONAL) CUNETE (20KG)</t>
  </si>
  <si>
    <t>ADAPTADOR HEMBRA PRESION PAVCO 1 1/4</t>
  </si>
  <si>
    <t>ADAPTADOR HEMBRA PRESION PAVCO 1</t>
  </si>
  <si>
    <t>ADAPTADOR HEMBRA PRESION PAVCO 1/2</t>
  </si>
  <si>
    <t>ADAPTADOR SANIT. LIMPIEZA PAVCO 4</t>
  </si>
  <si>
    <t>ADAPTADOR MACHO PRESION PAVCO 1</t>
  </si>
  <si>
    <t>ADAPTADOR MACHO PRESION PAVCO 1/2</t>
  </si>
  <si>
    <t>ADAPTADOR MACHO PRESION PAVCO 3/4</t>
  </si>
  <si>
    <t>ADAPTADOR MACHO PRESION PAVCO 2</t>
  </si>
  <si>
    <t>ADAPTADOR HEMBRA PRESION PAVCO 2</t>
  </si>
  <si>
    <t>ALAMBRE GALVANIZADO NO.14</t>
  </si>
  <si>
    <t>ALAMBRE NEGRO KL NO.18</t>
  </si>
  <si>
    <t>ANGEO RECUBIERTO P/MOSQUITO 0.90 X 30MTS</t>
  </si>
  <si>
    <t>ANGULO DE HIERRO B 1/8X1 MM (25X 2,5)</t>
  </si>
  <si>
    <t>ANGULO DE HIERRO 1/4X3 x 6m</t>
  </si>
  <si>
    <t xml:space="preserve">ASIENTO SANITARIO CORONA </t>
  </si>
  <si>
    <t>BROCHA DE CERDA GOYA 2 / ECONOMICA BRUSH</t>
  </si>
  <si>
    <t>BROCHA DE CERDA GOYA 3 / ECONOMICA BRUSH</t>
  </si>
  <si>
    <t>BROCHA DE CERDA GOYA 4 / ECONOMICA</t>
  </si>
  <si>
    <t>BUJE SOLDADO PRESION PAVCO  4X2</t>
  </si>
  <si>
    <t>BUJE SOLDADO PRESION PAVCO  2X1/2</t>
  </si>
  <si>
    <t>BUJE SOLDADO PRESION PAVCO 2X1 1/4</t>
  </si>
  <si>
    <t>BUJE SOLDADO PRESION PAVCO  4X3</t>
  </si>
  <si>
    <t>BUJE SOLDADO PRESION PAVCO  1X3/4</t>
  </si>
  <si>
    <t>BUJE SOLDADO PRESION PAVCO  3X2 1/2</t>
  </si>
  <si>
    <t xml:space="preserve">LIJA AGUA #150 </t>
  </si>
  <si>
    <t>LIJA DE AGUAL 9"X11P</t>
  </si>
  <si>
    <t xml:space="preserve">RODILLO FELPA 2" </t>
  </si>
  <si>
    <t xml:space="preserve">RODILLO FELPA 3" </t>
  </si>
  <si>
    <t xml:space="preserve">RODILLO FELPA 9" </t>
  </si>
  <si>
    <t xml:space="preserve">SIKAFLEX GRIS CONTRUCCION </t>
  </si>
  <si>
    <t>TUBO SANITARIO PAVCO 2 X 6 MTS</t>
  </si>
  <si>
    <t>TUBO SANITARIO PAVCO 3 X 6 MTS</t>
  </si>
  <si>
    <t>TUBO SANITARIO PAVCO 4 X 6 MTS</t>
  </si>
  <si>
    <t>TUBO PRESION PAVCO 1/2 / RDE 13.5</t>
  </si>
  <si>
    <t>TUBO PRESION PAVCO  1 / RDE 13.5</t>
  </si>
  <si>
    <t>TUBO PRESION PAVCO  1 1/4 / RDE 21</t>
  </si>
  <si>
    <t>TUBO PRESION PAVCO  2 / RDE 21</t>
  </si>
  <si>
    <t>TUBO PRESION PAVCO  3 / RDE 21</t>
  </si>
  <si>
    <t>TUBO PRESION PAVCO  3/4 RDE 21</t>
  </si>
  <si>
    <t>UNION SANITARIA PAVCO 4</t>
  </si>
  <si>
    <t>UNION SANITARIA PAVCO 6</t>
  </si>
  <si>
    <t>UNION SANITARIA PAVCO 3</t>
  </si>
  <si>
    <t>UNION PRESION PAVCO  3</t>
  </si>
  <si>
    <t>UNION PRESION PAVCO 1 1/4</t>
  </si>
  <si>
    <t>UNION PRESION PAVCO  1</t>
  </si>
  <si>
    <t>UNION GALVANIZADA 1/2 / AGUA O GAS-0</t>
  </si>
  <si>
    <t>UNION PRESION PAVCO  4</t>
  </si>
  <si>
    <t>UNION PRESION PAVCO  3/4</t>
  </si>
  <si>
    <t>UNION PRESION PAVCO  2</t>
  </si>
  <si>
    <t>UNION PRESION PAVCO  1/2</t>
  </si>
  <si>
    <t>TAPON PRUEBA 4"</t>
  </si>
  <si>
    <t xml:space="preserve">DISOLVENTE </t>
  </si>
  <si>
    <t>CANCAMOS GRANDES</t>
  </si>
  <si>
    <t>CANCAMOS MEDIANOS</t>
  </si>
  <si>
    <t>CINTA TEFLON PEQUEÑA</t>
  </si>
  <si>
    <t>CINTA TEFLON GRANDE</t>
  </si>
  <si>
    <t>FERRETERIA LA FUENTE</t>
  </si>
  <si>
    <t xml:space="preserve">CEMENTO BLANCO </t>
  </si>
  <si>
    <t>BROCHA ECONOMICA 2"</t>
  </si>
  <si>
    <t>BROCHA ECONOMICA 3"</t>
  </si>
  <si>
    <t>BROCHA ECONOMICA 4"</t>
  </si>
  <si>
    <t>LA FERRETERIA</t>
  </si>
  <si>
    <t>BROCA SDS 1/2" X 12" TRUPER</t>
  </si>
  <si>
    <t>PINTUCOAT GALON + CAT(1%)</t>
  </si>
  <si>
    <t>CINTA DOBLE FAZ 10MM TRUPER TRANSPARENTE X 3 METROS</t>
  </si>
  <si>
    <t>NUÑEZ Y NOGALES SAS</t>
  </si>
  <si>
    <t xml:space="preserve">AJUSTADOR XILOL </t>
  </si>
  <si>
    <t xml:space="preserve">ESTUCO MASTIC BLANCO </t>
  </si>
  <si>
    <t>VINILTEX BLANCO 1501 CANECA 5L</t>
  </si>
  <si>
    <t>VINILTEX BLANCO 1501 1/4 GL</t>
  </si>
  <si>
    <t>UD</t>
  </si>
  <si>
    <t>POLIURETANO BLANCO X310</t>
  </si>
  <si>
    <t>LLAVE JARDIN LIVIANA CROMO</t>
  </si>
  <si>
    <t>SUBCJTO LVM SENCILLO NOGAL</t>
  </si>
  <si>
    <t>CUARTO</t>
  </si>
  <si>
    <t>CATALIZADOR VITRIFLEX AT COMP</t>
  </si>
  <si>
    <t>VINILTEX BLANCO 1501</t>
  </si>
  <si>
    <t>MT3</t>
  </si>
  <si>
    <t>PUNTILLA COMUN C/CABEZA ""X500GMS</t>
  </si>
  <si>
    <t xml:space="preserve">AGUDELO MORALES JAIME DE JESUS </t>
  </si>
  <si>
    <t>CODO PVC PRES 3" X 90 PAVO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</si>
</sst>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3" fillId="0" borderId="0"/>
  </cellStyleXfs>
  <cellXfs count="50">
    <xf numFmtId="0" fontId="0" fillId="0" borderId="0" xfId="0"/>
    <xf numFmtId="164" fontId="0" fillId="2" borderId="0" xfId="1" applyFont="1" applyFill="1"/>
    <xf numFmtId="0" fontId="0" fillId="2" borderId="0" xfId="0" applyFill="1" applyAlignment="1">
      <alignment wrapText="1"/>
    </xf>
    <xf numFmtId="0" fontId="4" fillId="2" borderId="1" xfId="0" applyFont="1" applyFill="1" applyBorder="1" applyAlignment="1">
      <alignment wrapText="1"/>
    </xf>
    <xf numFmtId="0" fontId="0" fillId="2" borderId="0" xfId="0" applyFill="1" applyAlignment="1">
      <alignment horizontal="center"/>
    </xf>
    <xf numFmtId="0" fontId="0" fillId="2" borderId="0" xfId="0" applyFill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164" fontId="0" fillId="3" borderId="1" xfId="1" applyFont="1" applyFill="1" applyBorder="1" applyAlignment="1">
      <alignment horizontal="center" vertical="center"/>
    </xf>
    <xf numFmtId="164" fontId="0" fillId="3" borderId="2" xfId="1" applyFont="1" applyFill="1" applyBorder="1"/>
    <xf numFmtId="164" fontId="0" fillId="6" borderId="1" xfId="1" applyFont="1" applyFill="1" applyBorder="1" applyAlignment="1">
      <alignment horizontal="center" vertical="center"/>
    </xf>
    <xf numFmtId="164" fontId="0" fillId="6" borderId="1" xfId="1" applyFont="1" applyFill="1" applyBorder="1"/>
    <xf numFmtId="164" fontId="0" fillId="6" borderId="2" xfId="1" applyFont="1" applyFill="1" applyBorder="1"/>
    <xf numFmtId="0" fontId="2" fillId="7" borderId="0" xfId="0" applyFont="1" applyFill="1" applyAlignment="1">
      <alignment wrapText="1"/>
    </xf>
    <xf numFmtId="0" fontId="2" fillId="7" borderId="5" xfId="0" applyFont="1" applyFill="1" applyBorder="1" applyAlignment="1">
      <alignment horizontal="center"/>
    </xf>
    <xf numFmtId="0" fontId="2" fillId="7" borderId="5" xfId="0" applyFont="1" applyFill="1" applyBorder="1" applyAlignment="1">
      <alignment horizontal="center" vertical="center"/>
    </xf>
    <xf numFmtId="164" fontId="0" fillId="9" borderId="1" xfId="1" applyFont="1" applyFill="1" applyBorder="1" applyAlignment="1">
      <alignment horizontal="center" vertical="center"/>
    </xf>
    <xf numFmtId="164" fontId="0" fillId="9" borderId="2" xfId="1" applyFont="1" applyFill="1" applyBorder="1" applyAlignment="1">
      <alignment horizontal="center" vertical="center"/>
    </xf>
    <xf numFmtId="164" fontId="0" fillId="9" borderId="1" xfId="1" applyFont="1" applyFill="1" applyBorder="1"/>
    <xf numFmtId="164" fontId="0" fillId="9" borderId="2" xfId="1" applyFont="1" applyFill="1" applyBorder="1"/>
    <xf numFmtId="0" fontId="0" fillId="10" borderId="0" xfId="0" applyFill="1"/>
    <xf numFmtId="164" fontId="2" fillId="8" borderId="2" xfId="1" applyFont="1" applyFill="1" applyBorder="1" applyAlignment="1">
      <alignment horizontal="center" vertical="center" wrapText="1"/>
    </xf>
    <xf numFmtId="164" fontId="2" fillId="8" borderId="3" xfId="1" applyFont="1" applyFill="1" applyBorder="1" applyAlignment="1">
      <alignment horizontal="center" vertical="center" wrapText="1"/>
    </xf>
    <xf numFmtId="164" fontId="2" fillId="8" borderId="4" xfId="1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164" fontId="2" fillId="5" borderId="2" xfId="1" applyFont="1" applyFill="1" applyBorder="1" applyAlignment="1">
      <alignment horizontal="center" vertical="center" wrapText="1"/>
    </xf>
    <xf numFmtId="164" fontId="2" fillId="5" borderId="3" xfId="1" applyFont="1" applyFill="1" applyBorder="1" applyAlignment="1">
      <alignment horizontal="center" vertical="center" wrapText="1"/>
    </xf>
    <xf numFmtId="164" fontId="2" fillId="5" borderId="4" xfId="1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164" fontId="2" fillId="8" borderId="1" xfId="1" applyFont="1" applyFill="1" applyBorder="1" applyAlignment="1">
      <alignment horizontal="center" wrapText="1"/>
    </xf>
    <xf numFmtId="0" fontId="6" fillId="7" borderId="0" xfId="0" applyFont="1" applyFill="1" applyAlignment="1">
      <alignment horizontal="center" wrapText="1"/>
    </xf>
    <xf numFmtId="0" fontId="6" fillId="7" borderId="6" xfId="0" applyFont="1" applyFill="1" applyBorder="1" applyAlignment="1">
      <alignment horizontal="center" wrapText="1"/>
    </xf>
    <xf numFmtId="0" fontId="6" fillId="7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164" fontId="5" fillId="5" borderId="3" xfId="1" applyFont="1" applyFill="1" applyBorder="1" applyAlignment="1">
      <alignment horizontal="center" vertical="center" wrapText="1"/>
    </xf>
    <xf numFmtId="164" fontId="5" fillId="5" borderId="4" xfId="1" applyFont="1" applyFill="1" applyBorder="1" applyAlignment="1">
      <alignment horizontal="center" vertical="center" wrapText="1"/>
    </xf>
    <xf numFmtId="164" fontId="5" fillId="8" borderId="2" xfId="1" applyFont="1" applyFill="1" applyBorder="1" applyAlignment="1">
      <alignment horizontal="center" vertical="center" wrapText="1"/>
    </xf>
    <xf numFmtId="164" fontId="5" fillId="8" borderId="3" xfId="1" applyFont="1" applyFill="1" applyBorder="1" applyAlignment="1">
      <alignment horizontal="center" vertical="center" wrapText="1"/>
    </xf>
    <xf numFmtId="164" fontId="5" fillId="8" borderId="4" xfId="1" applyFont="1" applyFill="1" applyBorder="1" applyAlignment="1">
      <alignment horizontal="center" vertical="center" wrapText="1"/>
    </xf>
    <xf numFmtId="164" fontId="2" fillId="5" borderId="2" xfId="1" applyFont="1" applyFill="1" applyBorder="1" applyAlignment="1">
      <alignment horizontal="center" wrapText="1"/>
    </xf>
    <xf numFmtId="164" fontId="2" fillId="5" borderId="3" xfId="1" applyFont="1" applyFill="1" applyBorder="1" applyAlignment="1">
      <alignment horizontal="center" wrapText="1"/>
    </xf>
    <xf numFmtId="164" fontId="2" fillId="5" borderId="4" xfId="1" applyFont="1" applyFill="1" applyBorder="1" applyAlignment="1">
      <alignment horizontal="center" wrapText="1"/>
    </xf>
  </cellXfs>
  <cellStyles count="3">
    <cellStyle name="Moneda" xfId="1" builtinId="4"/>
    <cellStyle name="Normal" xfId="0" builtinId="0"/>
    <cellStyle name="Normal 2" xfId="2" xr:uid="{8606430A-F086-49A5-B784-7181D20B74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DD3F6-DDA3-4DF2-885D-8344B23B3FE2}">
  <dimension ref="C1:AF1997"/>
  <sheetViews>
    <sheetView tabSelected="1" topLeftCell="C1" zoomScale="80" zoomScaleNormal="80" zoomScaleSheetLayoutView="96" workbookViewId="0">
      <selection activeCell="L212" sqref="A212:XFD1997"/>
    </sheetView>
  </sheetViews>
  <sheetFormatPr baseColWidth="10" defaultRowHeight="15" x14ac:dyDescent="0.25"/>
  <cols>
    <col min="1" max="2" width="0" style="5" hidden="1" customWidth="1"/>
    <col min="3" max="3" width="58" style="2" customWidth="1"/>
    <col min="4" max="4" width="15" style="4" customWidth="1"/>
    <col min="5" max="5" width="14.5703125" style="5" customWidth="1"/>
    <col min="6" max="6" width="17.42578125" style="5" customWidth="1"/>
    <col min="7" max="7" width="18.7109375" style="4" customWidth="1"/>
    <col min="8" max="8" width="24.28515625" style="5" customWidth="1"/>
    <col min="9" max="9" width="17.42578125" style="5" customWidth="1"/>
    <col min="10" max="10" width="18.7109375" style="4" customWidth="1"/>
    <col min="11" max="11" width="21.5703125" style="5" customWidth="1"/>
    <col min="12" max="12" width="17.42578125" style="5" customWidth="1"/>
    <col min="13" max="13" width="14.7109375" style="4" customWidth="1"/>
    <col min="14" max="14" width="16.28515625" style="5" customWidth="1"/>
    <col min="15" max="17" width="23.5703125" style="1" customWidth="1"/>
    <col min="18" max="20" width="23.28515625" style="20" customWidth="1"/>
    <col min="21" max="23" width="23.5703125" style="7" customWidth="1"/>
    <col min="24" max="24" width="20.7109375" style="1" customWidth="1"/>
    <col min="25" max="25" width="17.85546875" style="5" customWidth="1"/>
    <col min="26" max="26" width="18.85546875" style="7" customWidth="1"/>
    <col min="27" max="27" width="17.42578125" style="1" customWidth="1"/>
    <col min="28" max="28" width="17.28515625" style="5" customWidth="1"/>
    <col min="29" max="29" width="18.140625" style="7" customWidth="1"/>
    <col min="30" max="30" width="23.5703125" style="1" customWidth="1"/>
    <col min="31" max="31" width="17.5703125" style="5" customWidth="1"/>
    <col min="32" max="32" width="19" style="7" customWidth="1"/>
    <col min="33" max="16384" width="11.42578125" style="5"/>
  </cols>
  <sheetData>
    <row r="1" spans="3:32" ht="34.5" customHeight="1" x14ac:dyDescent="0.4">
      <c r="C1" s="37" t="s">
        <v>150</v>
      </c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</row>
    <row r="2" spans="3:32" ht="34.5" customHeight="1" x14ac:dyDescent="0.4">
      <c r="C2" s="37" t="s">
        <v>151</v>
      </c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</row>
    <row r="3" spans="3:32" ht="34.5" customHeight="1" x14ac:dyDescent="0.4">
      <c r="C3" s="38" t="s">
        <v>152</v>
      </c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</row>
    <row r="4" spans="3:32" ht="34.5" customHeight="1" x14ac:dyDescent="0.25">
      <c r="C4" s="39" t="s">
        <v>149</v>
      </c>
      <c r="D4" s="39"/>
      <c r="E4" s="39"/>
      <c r="F4" s="40" t="s">
        <v>138</v>
      </c>
      <c r="G4" s="41"/>
      <c r="H4" s="41"/>
      <c r="I4" s="41"/>
      <c r="J4" s="41"/>
      <c r="K4" s="41"/>
      <c r="L4" s="41"/>
      <c r="M4" s="41"/>
      <c r="N4" s="41"/>
      <c r="O4" s="42" t="s">
        <v>48</v>
      </c>
      <c r="P4" s="42"/>
      <c r="Q4" s="42"/>
      <c r="R4" s="42"/>
      <c r="S4" s="42"/>
      <c r="T4" s="42"/>
      <c r="U4" s="42"/>
      <c r="V4" s="42"/>
      <c r="W4" s="43"/>
      <c r="X4" s="44" t="s">
        <v>153</v>
      </c>
      <c r="Y4" s="45"/>
      <c r="Z4" s="45"/>
      <c r="AA4" s="45"/>
      <c r="AB4" s="45"/>
      <c r="AC4" s="45"/>
      <c r="AD4" s="45"/>
      <c r="AE4" s="45"/>
      <c r="AF4" s="46"/>
    </row>
    <row r="5" spans="3:32" ht="15" customHeight="1" x14ac:dyDescent="0.25">
      <c r="C5" s="39"/>
      <c r="D5" s="39"/>
      <c r="E5" s="39"/>
      <c r="F5" s="24" t="s">
        <v>148</v>
      </c>
      <c r="G5" s="25"/>
      <c r="H5" s="26"/>
      <c r="I5" s="24" t="s">
        <v>148</v>
      </c>
      <c r="J5" s="25"/>
      <c r="K5" s="26"/>
      <c r="L5" s="24" t="s">
        <v>46</v>
      </c>
      <c r="M5" s="25"/>
      <c r="N5" s="26"/>
      <c r="O5" s="47" t="s">
        <v>46</v>
      </c>
      <c r="P5" s="48"/>
      <c r="Q5" s="49"/>
      <c r="R5" s="47" t="s">
        <v>47</v>
      </c>
      <c r="S5" s="48"/>
      <c r="T5" s="49"/>
      <c r="U5" s="33" t="s">
        <v>46</v>
      </c>
      <c r="V5" s="34"/>
      <c r="W5" s="35"/>
      <c r="X5" s="36" t="s">
        <v>47</v>
      </c>
      <c r="Y5" s="36"/>
      <c r="Z5" s="36"/>
      <c r="AA5" s="36" t="s">
        <v>46</v>
      </c>
      <c r="AB5" s="36"/>
      <c r="AC5" s="36"/>
      <c r="AD5" s="36" t="s">
        <v>46</v>
      </c>
      <c r="AE5" s="36"/>
      <c r="AF5" s="36"/>
    </row>
    <row r="6" spans="3:32" ht="51" customHeight="1" x14ac:dyDescent="0.25">
      <c r="C6" s="39"/>
      <c r="D6" s="39"/>
      <c r="E6" s="39"/>
      <c r="F6" s="24" t="s">
        <v>236</v>
      </c>
      <c r="G6" s="25"/>
      <c r="H6" s="26"/>
      <c r="I6" s="27" t="s">
        <v>213</v>
      </c>
      <c r="J6" s="28"/>
      <c r="K6" s="29"/>
      <c r="L6" s="24" t="s">
        <v>218</v>
      </c>
      <c r="M6" s="25"/>
      <c r="N6" s="26"/>
      <c r="O6" s="30" t="s">
        <v>12</v>
      </c>
      <c r="P6" s="31"/>
      <c r="Q6" s="32"/>
      <c r="R6" s="30" t="s">
        <v>14</v>
      </c>
      <c r="S6" s="31"/>
      <c r="T6" s="32"/>
      <c r="U6" s="33" t="s">
        <v>8</v>
      </c>
      <c r="V6" s="34"/>
      <c r="W6" s="35"/>
      <c r="X6" s="21" t="s">
        <v>14</v>
      </c>
      <c r="Y6" s="22"/>
      <c r="Z6" s="23"/>
      <c r="AA6" s="21" t="s">
        <v>222</v>
      </c>
      <c r="AB6" s="22"/>
      <c r="AC6" s="23"/>
      <c r="AD6" s="21" t="s">
        <v>154</v>
      </c>
      <c r="AE6" s="22"/>
      <c r="AF6" s="23"/>
    </row>
    <row r="7" spans="3:32" ht="15" customHeight="1" x14ac:dyDescent="0.25">
      <c r="C7" s="13"/>
      <c r="D7" s="14" t="s">
        <v>6</v>
      </c>
      <c r="E7" s="15" t="s">
        <v>2</v>
      </c>
      <c r="F7" s="8" t="s">
        <v>3</v>
      </c>
      <c r="G7" s="8" t="s">
        <v>4</v>
      </c>
      <c r="H7" s="8" t="s">
        <v>5</v>
      </c>
      <c r="I7" s="8" t="s">
        <v>3</v>
      </c>
      <c r="J7" s="8" t="s">
        <v>4</v>
      </c>
      <c r="K7" s="8" t="s">
        <v>5</v>
      </c>
      <c r="L7" s="8" t="s">
        <v>3</v>
      </c>
      <c r="M7" s="8" t="s">
        <v>4</v>
      </c>
      <c r="N7" s="8" t="s">
        <v>5</v>
      </c>
      <c r="O7" s="10" t="s">
        <v>3</v>
      </c>
      <c r="P7" s="10" t="s">
        <v>4</v>
      </c>
      <c r="Q7" s="10" t="s">
        <v>5</v>
      </c>
      <c r="R7" s="10" t="s">
        <v>3</v>
      </c>
      <c r="S7" s="10" t="s">
        <v>4</v>
      </c>
      <c r="T7" s="10" t="s">
        <v>5</v>
      </c>
      <c r="U7" s="10" t="s">
        <v>3</v>
      </c>
      <c r="V7" s="10" t="s">
        <v>4</v>
      </c>
      <c r="W7" s="10" t="s">
        <v>5</v>
      </c>
      <c r="X7" s="16" t="s">
        <v>16</v>
      </c>
      <c r="Y7" s="17" t="s">
        <v>4</v>
      </c>
      <c r="Z7" s="16" t="s">
        <v>134</v>
      </c>
      <c r="AA7" s="16" t="s">
        <v>16</v>
      </c>
      <c r="AB7" s="17" t="s">
        <v>4</v>
      </c>
      <c r="AC7" s="16" t="s">
        <v>134</v>
      </c>
      <c r="AD7" s="16" t="s">
        <v>16</v>
      </c>
      <c r="AE7" s="17" t="s">
        <v>4</v>
      </c>
      <c r="AF7" s="16" t="s">
        <v>134</v>
      </c>
    </row>
    <row r="8" spans="3:32" x14ac:dyDescent="0.25">
      <c r="C8" s="3" t="s">
        <v>155</v>
      </c>
      <c r="D8" s="6" t="s">
        <v>21</v>
      </c>
      <c r="E8" s="6">
        <v>1</v>
      </c>
      <c r="F8" s="9">
        <v>56000</v>
      </c>
      <c r="G8" s="9">
        <v>0</v>
      </c>
      <c r="H8" s="9">
        <f>+F8</f>
        <v>56000</v>
      </c>
      <c r="I8" s="9">
        <v>55500</v>
      </c>
      <c r="J8" s="9">
        <v>0</v>
      </c>
      <c r="K8" s="9">
        <f>+I8</f>
        <v>55500</v>
      </c>
      <c r="L8" s="9">
        <v>85000</v>
      </c>
      <c r="M8" s="9">
        <v>0</v>
      </c>
      <c r="N8" s="9">
        <f>+L8</f>
        <v>85000</v>
      </c>
      <c r="O8" s="11">
        <f>34447/1.19</f>
        <v>28947.058823529413</v>
      </c>
      <c r="P8" s="12">
        <f>O8*19%</f>
        <v>5499.9411764705883</v>
      </c>
      <c r="Q8" s="12">
        <f>O8+P8</f>
        <v>34447</v>
      </c>
      <c r="R8" s="11">
        <v>46000</v>
      </c>
      <c r="S8" s="12">
        <f>R8*19%</f>
        <v>8740</v>
      </c>
      <c r="T8" s="12">
        <f>R8+S8</f>
        <v>54740</v>
      </c>
      <c r="U8" s="11">
        <f>34800/1.19</f>
        <v>29243.697478991598</v>
      </c>
      <c r="V8" s="11">
        <f t="shared" ref="V8:V72" si="0">U8*19%</f>
        <v>5556.3025210084033</v>
      </c>
      <c r="W8" s="11">
        <f t="shared" ref="W8:W72" si="1">U8+V8</f>
        <v>34800</v>
      </c>
      <c r="X8" s="18">
        <v>46000</v>
      </c>
      <c r="Y8" s="19">
        <v>8740</v>
      </c>
      <c r="Z8" s="18">
        <v>54740</v>
      </c>
      <c r="AA8" s="18"/>
      <c r="AB8" s="19">
        <f t="shared" ref="AB8:AB39" si="2">AA8*19%</f>
        <v>0</v>
      </c>
      <c r="AC8" s="18">
        <f t="shared" ref="AC8:AC39" si="3">+AA8+AB8</f>
        <v>0</v>
      </c>
      <c r="AD8" s="18">
        <v>11650</v>
      </c>
      <c r="AE8" s="19">
        <f>AD8*19%</f>
        <v>2213.5</v>
      </c>
      <c r="AF8" s="18">
        <f>AD8+AE8</f>
        <v>13863.5</v>
      </c>
    </row>
    <row r="9" spans="3:32" x14ac:dyDescent="0.25">
      <c r="C9" s="3" t="s">
        <v>156</v>
      </c>
      <c r="D9" s="6" t="s">
        <v>20</v>
      </c>
      <c r="E9" s="6">
        <v>1</v>
      </c>
      <c r="F9" s="9">
        <v>235000</v>
      </c>
      <c r="G9" s="9">
        <v>0</v>
      </c>
      <c r="H9" s="9">
        <f t="shared" ref="H9:H73" si="4">+F9</f>
        <v>235000</v>
      </c>
      <c r="I9" s="9">
        <v>235000</v>
      </c>
      <c r="J9" s="9">
        <v>0</v>
      </c>
      <c r="K9" s="9">
        <f t="shared" ref="K9:K71" si="5">+I9</f>
        <v>235000</v>
      </c>
      <c r="L9" s="9">
        <v>0</v>
      </c>
      <c r="M9" s="9">
        <v>0</v>
      </c>
      <c r="N9" s="9">
        <f t="shared" ref="N9:N71" si="6">+L9</f>
        <v>0</v>
      </c>
      <c r="O9" s="11">
        <v>0</v>
      </c>
      <c r="P9" s="12">
        <f t="shared" ref="P9:P72" si="7">O9*19%</f>
        <v>0</v>
      </c>
      <c r="Q9" s="12">
        <f t="shared" ref="Q9:Q72" si="8">O9+P9</f>
        <v>0</v>
      </c>
      <c r="R9" s="11"/>
      <c r="S9" s="12">
        <f t="shared" ref="S9:S72" si="9">R9*19%</f>
        <v>0</v>
      </c>
      <c r="T9" s="12">
        <f t="shared" ref="T9:T72" si="10">R9+S9</f>
        <v>0</v>
      </c>
      <c r="U9" s="11">
        <v>0</v>
      </c>
      <c r="V9" s="11">
        <f t="shared" si="0"/>
        <v>0</v>
      </c>
      <c r="W9" s="11">
        <f t="shared" si="1"/>
        <v>0</v>
      </c>
      <c r="X9" s="18"/>
      <c r="Y9" s="19">
        <v>0</v>
      </c>
      <c r="Z9" s="18">
        <v>0</v>
      </c>
      <c r="AA9" s="18"/>
      <c r="AB9" s="19">
        <f t="shared" si="2"/>
        <v>0</v>
      </c>
      <c r="AC9" s="18">
        <f t="shared" si="3"/>
        <v>0</v>
      </c>
      <c r="AD9" s="18">
        <v>58820</v>
      </c>
      <c r="AE9" s="19">
        <f t="shared" ref="AE9:AE72" si="11">AD9*19%</f>
        <v>11175.8</v>
      </c>
      <c r="AF9" s="18">
        <f t="shared" ref="AF9:AF72" si="12">AD9+AE9</f>
        <v>69995.8</v>
      </c>
    </row>
    <row r="10" spans="3:32" x14ac:dyDescent="0.25">
      <c r="C10" s="3" t="s">
        <v>157</v>
      </c>
      <c r="D10" s="6" t="s">
        <v>7</v>
      </c>
      <c r="E10" s="6">
        <v>1</v>
      </c>
      <c r="F10" s="9">
        <v>1600</v>
      </c>
      <c r="G10" s="9">
        <v>0</v>
      </c>
      <c r="H10" s="9">
        <f t="shared" si="4"/>
        <v>1600</v>
      </c>
      <c r="I10" s="9">
        <v>1700</v>
      </c>
      <c r="J10" s="9">
        <v>0</v>
      </c>
      <c r="K10" s="9">
        <f t="shared" si="5"/>
        <v>1700</v>
      </c>
      <c r="L10" s="9">
        <v>4900</v>
      </c>
      <c r="M10" s="9">
        <v>0</v>
      </c>
      <c r="N10" s="9">
        <f t="shared" si="6"/>
        <v>4900</v>
      </c>
      <c r="O10" s="11">
        <f>2227/1.19</f>
        <v>1871.4285714285716</v>
      </c>
      <c r="P10" s="12">
        <f t="shared" si="7"/>
        <v>355.57142857142861</v>
      </c>
      <c r="Q10" s="12">
        <f t="shared" si="8"/>
        <v>2227</v>
      </c>
      <c r="R10" s="11">
        <v>2845</v>
      </c>
      <c r="S10" s="12">
        <f t="shared" si="9"/>
        <v>540.54999999999995</v>
      </c>
      <c r="T10" s="12">
        <f t="shared" si="10"/>
        <v>3385.55</v>
      </c>
      <c r="U10" s="11">
        <f>2200/1.19</f>
        <v>1848.7394957983195</v>
      </c>
      <c r="V10" s="11">
        <f t="shared" si="0"/>
        <v>351.2605042016807</v>
      </c>
      <c r="W10" s="11">
        <f t="shared" si="1"/>
        <v>2200</v>
      </c>
      <c r="X10" s="18">
        <v>2845</v>
      </c>
      <c r="Y10" s="19">
        <v>540.54999999999995</v>
      </c>
      <c r="Z10" s="18">
        <v>3385.55</v>
      </c>
      <c r="AA10" s="18"/>
      <c r="AB10" s="19">
        <f t="shared" si="2"/>
        <v>0</v>
      </c>
      <c r="AC10" s="18">
        <f t="shared" si="3"/>
        <v>0</v>
      </c>
      <c r="AD10" s="18">
        <v>1750</v>
      </c>
      <c r="AE10" s="19">
        <f t="shared" si="11"/>
        <v>332.5</v>
      </c>
      <c r="AF10" s="18">
        <f t="shared" si="12"/>
        <v>2082.5</v>
      </c>
    </row>
    <row r="11" spans="3:32" x14ac:dyDescent="0.25">
      <c r="C11" s="3" t="s">
        <v>158</v>
      </c>
      <c r="D11" s="6" t="s">
        <v>7</v>
      </c>
      <c r="E11" s="6">
        <v>1</v>
      </c>
      <c r="F11" s="9">
        <v>1700</v>
      </c>
      <c r="G11" s="9">
        <v>0</v>
      </c>
      <c r="H11" s="9">
        <f t="shared" si="4"/>
        <v>1700</v>
      </c>
      <c r="I11" s="9">
        <v>1600</v>
      </c>
      <c r="J11" s="9">
        <v>0</v>
      </c>
      <c r="K11" s="9">
        <f t="shared" si="5"/>
        <v>1600</v>
      </c>
      <c r="L11" s="9">
        <v>3900</v>
      </c>
      <c r="M11" s="9">
        <v>0</v>
      </c>
      <c r="N11" s="9">
        <f t="shared" si="6"/>
        <v>3900</v>
      </c>
      <c r="O11" s="11">
        <f>1454/1.19</f>
        <v>1221.8487394957983</v>
      </c>
      <c r="P11" s="12">
        <f t="shared" si="7"/>
        <v>232.15126050420167</v>
      </c>
      <c r="Q11" s="12">
        <f t="shared" si="8"/>
        <v>1454</v>
      </c>
      <c r="R11" s="11">
        <v>1481</v>
      </c>
      <c r="S11" s="12">
        <f t="shared" si="9"/>
        <v>281.39</v>
      </c>
      <c r="T11" s="12">
        <f t="shared" si="10"/>
        <v>1762.3899999999999</v>
      </c>
      <c r="U11" s="11">
        <f>1300/1.19</f>
        <v>1092.4369747899161</v>
      </c>
      <c r="V11" s="11">
        <f t="shared" si="0"/>
        <v>207.56302521008408</v>
      </c>
      <c r="W11" s="11">
        <f t="shared" si="1"/>
        <v>1300.0000000000002</v>
      </c>
      <c r="X11" s="18">
        <v>1481</v>
      </c>
      <c r="Y11" s="19">
        <v>281.39</v>
      </c>
      <c r="Z11" s="18">
        <v>1762.3899999999999</v>
      </c>
      <c r="AA11" s="18"/>
      <c r="AB11" s="19">
        <f t="shared" si="2"/>
        <v>0</v>
      </c>
      <c r="AC11" s="18">
        <f t="shared" si="3"/>
        <v>0</v>
      </c>
      <c r="AD11" s="18">
        <v>1200</v>
      </c>
      <c r="AE11" s="19">
        <f t="shared" si="11"/>
        <v>228</v>
      </c>
      <c r="AF11" s="18">
        <f t="shared" si="12"/>
        <v>1428</v>
      </c>
    </row>
    <row r="12" spans="3:32" x14ac:dyDescent="0.25">
      <c r="C12" s="3" t="s">
        <v>159</v>
      </c>
      <c r="D12" s="6" t="s">
        <v>7</v>
      </c>
      <c r="E12" s="6">
        <v>1</v>
      </c>
      <c r="F12" s="9">
        <v>800</v>
      </c>
      <c r="G12" s="9">
        <v>0</v>
      </c>
      <c r="H12" s="9">
        <f t="shared" si="4"/>
        <v>800</v>
      </c>
      <c r="I12" s="9">
        <v>600</v>
      </c>
      <c r="J12" s="9">
        <v>0</v>
      </c>
      <c r="K12" s="9">
        <f t="shared" si="5"/>
        <v>600</v>
      </c>
      <c r="L12" s="9">
        <v>750</v>
      </c>
      <c r="M12" s="9">
        <v>0</v>
      </c>
      <c r="N12" s="9">
        <f t="shared" si="6"/>
        <v>750</v>
      </c>
      <c r="O12" s="11">
        <f>363/1.19</f>
        <v>305.0420168067227</v>
      </c>
      <c r="P12" s="12">
        <f t="shared" si="7"/>
        <v>57.957983193277315</v>
      </c>
      <c r="Q12" s="12">
        <f t="shared" si="8"/>
        <v>363</v>
      </c>
      <c r="R12" s="11">
        <v>377</v>
      </c>
      <c r="S12" s="12">
        <f t="shared" si="9"/>
        <v>71.63</v>
      </c>
      <c r="T12" s="12">
        <f t="shared" si="10"/>
        <v>448.63</v>
      </c>
      <c r="U12" s="11">
        <f>400/1.19</f>
        <v>336.1344537815126</v>
      </c>
      <c r="V12" s="11">
        <f t="shared" si="0"/>
        <v>63.865546218487395</v>
      </c>
      <c r="W12" s="11">
        <f t="shared" si="1"/>
        <v>400</v>
      </c>
      <c r="X12" s="18">
        <v>377</v>
      </c>
      <c r="Y12" s="19">
        <v>71.63</v>
      </c>
      <c r="Z12" s="18">
        <v>448.63</v>
      </c>
      <c r="AA12" s="18"/>
      <c r="AB12" s="19">
        <f t="shared" si="2"/>
        <v>0</v>
      </c>
      <c r="AC12" s="18">
        <f t="shared" si="3"/>
        <v>0</v>
      </c>
      <c r="AD12" s="18">
        <v>650</v>
      </c>
      <c r="AE12" s="19">
        <f t="shared" si="11"/>
        <v>123.5</v>
      </c>
      <c r="AF12" s="18">
        <f t="shared" si="12"/>
        <v>773.5</v>
      </c>
    </row>
    <row r="13" spans="3:32" x14ac:dyDescent="0.25">
      <c r="C13" s="3" t="s">
        <v>160</v>
      </c>
      <c r="D13" s="6" t="s">
        <v>7</v>
      </c>
      <c r="E13" s="6">
        <v>1</v>
      </c>
      <c r="F13" s="9">
        <v>14000</v>
      </c>
      <c r="G13" s="9">
        <v>0</v>
      </c>
      <c r="H13" s="9">
        <f t="shared" si="4"/>
        <v>14000</v>
      </c>
      <c r="I13" s="9">
        <v>13000</v>
      </c>
      <c r="J13" s="9">
        <v>0</v>
      </c>
      <c r="K13" s="9">
        <f t="shared" si="5"/>
        <v>13000</v>
      </c>
      <c r="L13" s="9">
        <v>21800</v>
      </c>
      <c r="M13" s="9">
        <v>0</v>
      </c>
      <c r="N13" s="9">
        <f t="shared" si="6"/>
        <v>21800</v>
      </c>
      <c r="O13" s="11">
        <f>13758/1.19</f>
        <v>11561.344537815126</v>
      </c>
      <c r="P13" s="12">
        <f t="shared" si="7"/>
        <v>2196.6554621848741</v>
      </c>
      <c r="Q13" s="12">
        <f t="shared" si="8"/>
        <v>13758</v>
      </c>
      <c r="R13" s="11">
        <v>16400</v>
      </c>
      <c r="S13" s="12">
        <f t="shared" si="9"/>
        <v>3116</v>
      </c>
      <c r="T13" s="12">
        <f t="shared" si="10"/>
        <v>19516</v>
      </c>
      <c r="U13" s="11">
        <f>14550/1.19</f>
        <v>12226.890756302522</v>
      </c>
      <c r="V13" s="11">
        <f t="shared" si="0"/>
        <v>2323.1092436974791</v>
      </c>
      <c r="W13" s="11">
        <f t="shared" si="1"/>
        <v>14550.000000000002</v>
      </c>
      <c r="X13" s="18">
        <v>16400</v>
      </c>
      <c r="Y13" s="19">
        <v>3116</v>
      </c>
      <c r="Z13" s="18">
        <v>19516</v>
      </c>
      <c r="AA13" s="18"/>
      <c r="AB13" s="19">
        <f t="shared" si="2"/>
        <v>0</v>
      </c>
      <c r="AC13" s="18">
        <f t="shared" si="3"/>
        <v>0</v>
      </c>
      <c r="AD13" s="18">
        <v>19874</v>
      </c>
      <c r="AE13" s="19">
        <f t="shared" si="11"/>
        <v>3776.06</v>
      </c>
      <c r="AF13" s="18">
        <f t="shared" si="12"/>
        <v>23650.06</v>
      </c>
    </row>
    <row r="14" spans="3:32" x14ac:dyDescent="0.25">
      <c r="C14" s="3" t="s">
        <v>161</v>
      </c>
      <c r="D14" s="6" t="s">
        <v>7</v>
      </c>
      <c r="E14" s="6">
        <v>1</v>
      </c>
      <c r="F14" s="9">
        <v>1500</v>
      </c>
      <c r="G14" s="9">
        <v>0</v>
      </c>
      <c r="H14" s="9">
        <f t="shared" si="4"/>
        <v>1500</v>
      </c>
      <c r="I14" s="9">
        <v>1600</v>
      </c>
      <c r="J14" s="9">
        <v>0</v>
      </c>
      <c r="K14" s="9">
        <f t="shared" si="5"/>
        <v>1600</v>
      </c>
      <c r="L14" s="9">
        <v>2600</v>
      </c>
      <c r="M14" s="9">
        <v>0</v>
      </c>
      <c r="N14" s="9">
        <f t="shared" si="6"/>
        <v>2600</v>
      </c>
      <c r="O14" s="11">
        <f>1181/1.19</f>
        <v>992.43697478991601</v>
      </c>
      <c r="P14" s="12">
        <f t="shared" si="7"/>
        <v>188.56302521008405</v>
      </c>
      <c r="Q14" s="12">
        <f t="shared" si="8"/>
        <v>1181</v>
      </c>
      <c r="R14" s="10">
        <v>1215</v>
      </c>
      <c r="S14" s="10">
        <f t="shared" si="9"/>
        <v>230.85</v>
      </c>
      <c r="T14" s="10">
        <f t="shared" si="10"/>
        <v>1445.85</v>
      </c>
      <c r="U14" s="11">
        <f>1150/1.19</f>
        <v>966.38655462184875</v>
      </c>
      <c r="V14" s="11">
        <f t="shared" si="0"/>
        <v>183.61344537815125</v>
      </c>
      <c r="W14" s="11">
        <f t="shared" si="1"/>
        <v>1150</v>
      </c>
      <c r="X14" s="18">
        <v>1215</v>
      </c>
      <c r="Y14" s="19">
        <v>230.85</v>
      </c>
      <c r="Z14" s="18">
        <v>1445.85</v>
      </c>
      <c r="AA14" s="18"/>
      <c r="AB14" s="19">
        <f t="shared" si="2"/>
        <v>0</v>
      </c>
      <c r="AC14" s="18">
        <f t="shared" si="3"/>
        <v>0</v>
      </c>
      <c r="AD14" s="18">
        <v>950</v>
      </c>
      <c r="AE14" s="19">
        <f t="shared" si="11"/>
        <v>180.5</v>
      </c>
      <c r="AF14" s="18">
        <f t="shared" si="12"/>
        <v>1130.5</v>
      </c>
    </row>
    <row r="15" spans="3:32" x14ac:dyDescent="0.25">
      <c r="C15" s="3" t="s">
        <v>162</v>
      </c>
      <c r="D15" s="6" t="s">
        <v>7</v>
      </c>
      <c r="E15" s="6">
        <v>1</v>
      </c>
      <c r="F15" s="9">
        <v>800</v>
      </c>
      <c r="G15" s="9">
        <v>0</v>
      </c>
      <c r="H15" s="9">
        <f t="shared" si="4"/>
        <v>800</v>
      </c>
      <c r="I15" s="9">
        <v>600</v>
      </c>
      <c r="J15" s="9">
        <v>0</v>
      </c>
      <c r="K15" s="9">
        <f t="shared" si="5"/>
        <v>600</v>
      </c>
      <c r="L15" s="9">
        <v>700</v>
      </c>
      <c r="M15" s="9">
        <v>0</v>
      </c>
      <c r="N15" s="9">
        <f t="shared" si="6"/>
        <v>700</v>
      </c>
      <c r="O15" s="11">
        <f>317/1.19</f>
        <v>266.38655462184875</v>
      </c>
      <c r="P15" s="12">
        <f t="shared" si="7"/>
        <v>50.613445378151262</v>
      </c>
      <c r="Q15" s="12">
        <f t="shared" si="8"/>
        <v>317</v>
      </c>
      <c r="R15" s="11">
        <v>330</v>
      </c>
      <c r="S15" s="12">
        <f t="shared" si="9"/>
        <v>62.7</v>
      </c>
      <c r="T15" s="12">
        <f t="shared" si="10"/>
        <v>392.7</v>
      </c>
      <c r="U15" s="11">
        <f>300/1.19</f>
        <v>252.10084033613447</v>
      </c>
      <c r="V15" s="11">
        <f t="shared" si="0"/>
        <v>47.899159663865547</v>
      </c>
      <c r="W15" s="11">
        <f t="shared" si="1"/>
        <v>300</v>
      </c>
      <c r="X15" s="18">
        <v>330</v>
      </c>
      <c r="Y15" s="19">
        <v>62.7</v>
      </c>
      <c r="Z15" s="18">
        <v>392.7</v>
      </c>
      <c r="AA15" s="18"/>
      <c r="AB15" s="19">
        <f t="shared" si="2"/>
        <v>0</v>
      </c>
      <c r="AC15" s="18">
        <f t="shared" si="3"/>
        <v>0</v>
      </c>
      <c r="AD15" s="18">
        <v>450</v>
      </c>
      <c r="AE15" s="19">
        <f t="shared" si="11"/>
        <v>85.5</v>
      </c>
      <c r="AF15" s="18">
        <f t="shared" si="12"/>
        <v>535.5</v>
      </c>
    </row>
    <row r="16" spans="3:32" x14ac:dyDescent="0.25">
      <c r="C16" s="3" t="s">
        <v>163</v>
      </c>
      <c r="D16" s="6" t="s">
        <v>7</v>
      </c>
      <c r="E16" s="6">
        <v>1</v>
      </c>
      <c r="F16" s="9">
        <v>1000</v>
      </c>
      <c r="G16" s="9">
        <v>0</v>
      </c>
      <c r="H16" s="9">
        <f t="shared" si="4"/>
        <v>1000</v>
      </c>
      <c r="I16" s="9">
        <v>1000</v>
      </c>
      <c r="J16" s="9">
        <v>0</v>
      </c>
      <c r="K16" s="9">
        <f t="shared" si="5"/>
        <v>1000</v>
      </c>
      <c r="L16" s="9">
        <v>1150</v>
      </c>
      <c r="M16" s="9">
        <v>0</v>
      </c>
      <c r="N16" s="9">
        <f t="shared" si="6"/>
        <v>1150</v>
      </c>
      <c r="O16" s="11">
        <f>590/1.19</f>
        <v>495.79831932773112</v>
      </c>
      <c r="P16" s="12">
        <f t="shared" si="7"/>
        <v>94.201680672268921</v>
      </c>
      <c r="Q16" s="12">
        <f t="shared" si="8"/>
        <v>590</v>
      </c>
      <c r="R16" s="11">
        <v>605</v>
      </c>
      <c r="S16" s="12">
        <f t="shared" si="9"/>
        <v>114.95</v>
      </c>
      <c r="T16" s="12">
        <f t="shared" si="10"/>
        <v>719.95</v>
      </c>
      <c r="U16" s="11">
        <f>600/1.19</f>
        <v>504.20168067226894</v>
      </c>
      <c r="V16" s="11">
        <f t="shared" si="0"/>
        <v>95.798319327731093</v>
      </c>
      <c r="W16" s="11">
        <f t="shared" si="1"/>
        <v>600</v>
      </c>
      <c r="X16" s="18">
        <v>605</v>
      </c>
      <c r="Y16" s="19">
        <v>114.95</v>
      </c>
      <c r="Z16" s="18">
        <v>719.95</v>
      </c>
      <c r="AA16" s="18"/>
      <c r="AB16" s="19">
        <f t="shared" si="2"/>
        <v>0</v>
      </c>
      <c r="AC16" s="18">
        <f t="shared" si="3"/>
        <v>0</v>
      </c>
      <c r="AD16" s="18">
        <v>850</v>
      </c>
      <c r="AE16" s="19">
        <f t="shared" si="11"/>
        <v>161.5</v>
      </c>
      <c r="AF16" s="18">
        <f t="shared" si="12"/>
        <v>1011.5</v>
      </c>
    </row>
    <row r="17" spans="3:32" x14ac:dyDescent="0.25">
      <c r="C17" s="3" t="s">
        <v>164</v>
      </c>
      <c r="D17" s="6" t="s">
        <v>7</v>
      </c>
      <c r="E17" s="6">
        <v>1</v>
      </c>
      <c r="F17" s="9">
        <v>3400</v>
      </c>
      <c r="G17" s="9">
        <v>0</v>
      </c>
      <c r="H17" s="9">
        <f t="shared" si="4"/>
        <v>3400</v>
      </c>
      <c r="I17" s="9">
        <v>3500</v>
      </c>
      <c r="J17" s="9">
        <v>0</v>
      </c>
      <c r="K17" s="9">
        <f t="shared" si="5"/>
        <v>3500</v>
      </c>
      <c r="L17" s="9">
        <v>8900</v>
      </c>
      <c r="M17" s="9">
        <v>0</v>
      </c>
      <c r="N17" s="9">
        <f t="shared" si="6"/>
        <v>8900</v>
      </c>
      <c r="O17" s="11">
        <f>4318/1.19</f>
        <v>3628.5714285714289</v>
      </c>
      <c r="P17" s="12">
        <f t="shared" si="7"/>
        <v>689.42857142857144</v>
      </c>
      <c r="Q17" s="12">
        <f t="shared" si="8"/>
        <v>4318</v>
      </c>
      <c r="R17" s="11">
        <v>4400</v>
      </c>
      <c r="S17" s="12">
        <f t="shared" si="9"/>
        <v>836</v>
      </c>
      <c r="T17" s="12">
        <f t="shared" si="10"/>
        <v>5236</v>
      </c>
      <c r="U17" s="11">
        <f>4000/1.19</f>
        <v>3361.3445378151264</v>
      </c>
      <c r="V17" s="11">
        <f t="shared" si="0"/>
        <v>638.65546218487407</v>
      </c>
      <c r="W17" s="11">
        <f t="shared" si="1"/>
        <v>4000.0000000000005</v>
      </c>
      <c r="X17" s="18">
        <v>4400</v>
      </c>
      <c r="Y17" s="19">
        <v>836</v>
      </c>
      <c r="Z17" s="18">
        <v>5236</v>
      </c>
      <c r="AA17" s="18"/>
      <c r="AB17" s="19">
        <f t="shared" si="2"/>
        <v>0</v>
      </c>
      <c r="AC17" s="18">
        <f t="shared" si="3"/>
        <v>0</v>
      </c>
      <c r="AD17" s="18">
        <v>3500</v>
      </c>
      <c r="AE17" s="19">
        <f t="shared" si="11"/>
        <v>665</v>
      </c>
      <c r="AF17" s="18">
        <f t="shared" si="12"/>
        <v>4165</v>
      </c>
    </row>
    <row r="18" spans="3:32" x14ac:dyDescent="0.25">
      <c r="C18" s="3" t="s">
        <v>165</v>
      </c>
      <c r="D18" s="6" t="s">
        <v>7</v>
      </c>
      <c r="E18" s="6">
        <v>1</v>
      </c>
      <c r="F18" s="9">
        <v>3100</v>
      </c>
      <c r="G18" s="9">
        <v>0</v>
      </c>
      <c r="H18" s="9">
        <f t="shared" si="4"/>
        <v>3100</v>
      </c>
      <c r="I18" s="9">
        <v>3000</v>
      </c>
      <c r="J18" s="9">
        <v>0</v>
      </c>
      <c r="K18" s="9">
        <f t="shared" si="5"/>
        <v>3000</v>
      </c>
      <c r="L18" s="9">
        <v>14900</v>
      </c>
      <c r="M18" s="9">
        <v>0</v>
      </c>
      <c r="N18" s="9">
        <f t="shared" si="6"/>
        <v>14900</v>
      </c>
      <c r="O18" s="11">
        <f>6954/1.19</f>
        <v>5843.6974789915967</v>
      </c>
      <c r="P18" s="12">
        <f t="shared" si="7"/>
        <v>1110.3025210084033</v>
      </c>
      <c r="Q18" s="12">
        <f t="shared" si="8"/>
        <v>6954</v>
      </c>
      <c r="R18" s="11">
        <v>7350</v>
      </c>
      <c r="S18" s="12">
        <f t="shared" si="9"/>
        <v>1396.5</v>
      </c>
      <c r="T18" s="12">
        <f t="shared" si="10"/>
        <v>8746.5</v>
      </c>
      <c r="U18" s="11">
        <f>6300/1.19</f>
        <v>5294.1176470588234</v>
      </c>
      <c r="V18" s="11">
        <f t="shared" si="0"/>
        <v>1005.8823529411765</v>
      </c>
      <c r="W18" s="11">
        <f t="shared" si="1"/>
        <v>6300</v>
      </c>
      <c r="X18" s="18">
        <v>7350</v>
      </c>
      <c r="Y18" s="19">
        <v>1396.5</v>
      </c>
      <c r="Z18" s="18">
        <v>8746.5</v>
      </c>
      <c r="AA18" s="18"/>
      <c r="AB18" s="19">
        <f t="shared" si="2"/>
        <v>0</v>
      </c>
      <c r="AC18" s="18">
        <f t="shared" si="3"/>
        <v>0</v>
      </c>
      <c r="AD18" s="18">
        <v>6500</v>
      </c>
      <c r="AE18" s="19">
        <f t="shared" si="11"/>
        <v>1235</v>
      </c>
      <c r="AF18" s="18">
        <f t="shared" si="12"/>
        <v>7735</v>
      </c>
    </row>
    <row r="19" spans="3:32" x14ac:dyDescent="0.25">
      <c r="C19" s="3" t="s">
        <v>166</v>
      </c>
      <c r="D19" s="6" t="s">
        <v>7</v>
      </c>
      <c r="E19" s="6">
        <v>1</v>
      </c>
      <c r="F19" s="9">
        <v>0</v>
      </c>
      <c r="G19" s="9">
        <v>0</v>
      </c>
      <c r="H19" s="9">
        <f t="shared" si="4"/>
        <v>0</v>
      </c>
      <c r="I19" s="9">
        <v>0</v>
      </c>
      <c r="J19" s="9">
        <v>0</v>
      </c>
      <c r="K19" s="9">
        <f t="shared" si="5"/>
        <v>0</v>
      </c>
      <c r="L19" s="9">
        <v>0</v>
      </c>
      <c r="M19" s="9">
        <v>0</v>
      </c>
      <c r="N19" s="9">
        <f t="shared" si="6"/>
        <v>0</v>
      </c>
      <c r="O19" s="11">
        <f>8050/1.19</f>
        <v>6764.7058823529414</v>
      </c>
      <c r="P19" s="12">
        <f t="shared" si="7"/>
        <v>1285.2941176470588</v>
      </c>
      <c r="Q19" s="12">
        <f t="shared" si="8"/>
        <v>8050</v>
      </c>
      <c r="R19" s="11">
        <v>10924</v>
      </c>
      <c r="S19" s="12">
        <f t="shared" si="9"/>
        <v>2075.56</v>
      </c>
      <c r="T19" s="12">
        <f t="shared" si="10"/>
        <v>12999.56</v>
      </c>
      <c r="U19" s="11">
        <f>8500/1.19</f>
        <v>7142.8571428571431</v>
      </c>
      <c r="V19" s="11">
        <f t="shared" si="0"/>
        <v>1357.1428571428571</v>
      </c>
      <c r="W19" s="11">
        <f t="shared" si="1"/>
        <v>8500</v>
      </c>
      <c r="X19" s="18">
        <v>10924</v>
      </c>
      <c r="Y19" s="19">
        <v>2075.56</v>
      </c>
      <c r="Z19" s="18">
        <v>12999.56</v>
      </c>
      <c r="AA19" s="18"/>
      <c r="AB19" s="19">
        <f t="shared" si="2"/>
        <v>0</v>
      </c>
      <c r="AC19" s="18">
        <f t="shared" si="3"/>
        <v>0</v>
      </c>
      <c r="AD19" s="18">
        <v>10530</v>
      </c>
      <c r="AE19" s="19">
        <f t="shared" si="11"/>
        <v>2000.7</v>
      </c>
      <c r="AF19" s="18">
        <f t="shared" si="12"/>
        <v>12530.7</v>
      </c>
    </row>
    <row r="20" spans="3:32" x14ac:dyDescent="0.25">
      <c r="C20" s="3" t="s">
        <v>167</v>
      </c>
      <c r="D20" s="6" t="s">
        <v>7</v>
      </c>
      <c r="E20" s="6">
        <v>1</v>
      </c>
      <c r="F20" s="9">
        <v>0</v>
      </c>
      <c r="G20" s="9">
        <v>0</v>
      </c>
      <c r="H20" s="9">
        <f t="shared" si="4"/>
        <v>0</v>
      </c>
      <c r="I20" s="9">
        <v>0</v>
      </c>
      <c r="J20" s="9">
        <v>0</v>
      </c>
      <c r="K20" s="9">
        <f t="shared" si="5"/>
        <v>0</v>
      </c>
      <c r="L20" s="9">
        <v>0</v>
      </c>
      <c r="M20" s="9">
        <v>0</v>
      </c>
      <c r="N20" s="9">
        <f t="shared" si="6"/>
        <v>0</v>
      </c>
      <c r="O20" s="11">
        <f>5351/1.19</f>
        <v>4496.6386554621849</v>
      </c>
      <c r="P20" s="12">
        <f t="shared" si="7"/>
        <v>854.36134453781517</v>
      </c>
      <c r="Q20" s="12">
        <f t="shared" si="8"/>
        <v>5351</v>
      </c>
      <c r="R20" s="11">
        <v>6500</v>
      </c>
      <c r="S20" s="12">
        <f t="shared" si="9"/>
        <v>1235</v>
      </c>
      <c r="T20" s="12">
        <f t="shared" si="10"/>
        <v>7735</v>
      </c>
      <c r="U20" s="11">
        <f>6000/1.19</f>
        <v>5042.0168067226896</v>
      </c>
      <c r="V20" s="11">
        <f t="shared" si="0"/>
        <v>957.98319327731099</v>
      </c>
      <c r="W20" s="11">
        <f t="shared" si="1"/>
        <v>6000.0000000000009</v>
      </c>
      <c r="X20" s="18">
        <v>6500</v>
      </c>
      <c r="Y20" s="19">
        <v>1235</v>
      </c>
      <c r="Z20" s="18">
        <v>7735</v>
      </c>
      <c r="AA20" s="18"/>
      <c r="AB20" s="19">
        <f t="shared" si="2"/>
        <v>0</v>
      </c>
      <c r="AC20" s="18">
        <f t="shared" si="3"/>
        <v>0</v>
      </c>
      <c r="AD20" s="18">
        <v>5330</v>
      </c>
      <c r="AE20" s="19">
        <f t="shared" si="11"/>
        <v>1012.7</v>
      </c>
      <c r="AF20" s="18">
        <f t="shared" si="12"/>
        <v>6342.7</v>
      </c>
    </row>
    <row r="21" spans="3:32" x14ac:dyDescent="0.25">
      <c r="C21" s="3" t="s">
        <v>168</v>
      </c>
      <c r="D21" s="6" t="s">
        <v>7</v>
      </c>
      <c r="E21" s="6">
        <v>1</v>
      </c>
      <c r="F21" s="9">
        <v>208000</v>
      </c>
      <c r="G21" s="9">
        <v>0</v>
      </c>
      <c r="H21" s="9">
        <f t="shared" si="4"/>
        <v>208000</v>
      </c>
      <c r="I21" s="9">
        <v>205000</v>
      </c>
      <c r="J21" s="9">
        <v>0</v>
      </c>
      <c r="K21" s="9">
        <f t="shared" si="5"/>
        <v>205000</v>
      </c>
      <c r="L21" s="9">
        <v>0</v>
      </c>
      <c r="M21" s="9">
        <v>0</v>
      </c>
      <c r="N21" s="9">
        <f t="shared" si="6"/>
        <v>0</v>
      </c>
      <c r="O21" s="11"/>
      <c r="P21" s="12">
        <f t="shared" si="7"/>
        <v>0</v>
      </c>
      <c r="Q21" s="12">
        <f t="shared" si="8"/>
        <v>0</v>
      </c>
      <c r="R21" s="10">
        <v>5000</v>
      </c>
      <c r="S21" s="10">
        <f t="shared" si="9"/>
        <v>950</v>
      </c>
      <c r="T21" s="10">
        <f t="shared" si="10"/>
        <v>5950</v>
      </c>
      <c r="U21" s="11">
        <v>0</v>
      </c>
      <c r="V21" s="11">
        <f t="shared" si="0"/>
        <v>0</v>
      </c>
      <c r="W21" s="11">
        <f t="shared" si="1"/>
        <v>0</v>
      </c>
      <c r="X21" s="18">
        <v>5000</v>
      </c>
      <c r="Y21" s="19">
        <v>950</v>
      </c>
      <c r="Z21" s="18">
        <v>5950</v>
      </c>
      <c r="AA21" s="18"/>
      <c r="AB21" s="19">
        <f t="shared" si="2"/>
        <v>0</v>
      </c>
      <c r="AC21" s="18">
        <f t="shared" si="3"/>
        <v>0</v>
      </c>
      <c r="AD21" s="18">
        <v>125000</v>
      </c>
      <c r="AE21" s="19">
        <f t="shared" si="11"/>
        <v>23750</v>
      </c>
      <c r="AF21" s="18">
        <f t="shared" si="12"/>
        <v>148750</v>
      </c>
    </row>
    <row r="22" spans="3:32" x14ac:dyDescent="0.25">
      <c r="C22" s="3" t="s">
        <v>169</v>
      </c>
      <c r="D22" s="6" t="s">
        <v>7</v>
      </c>
      <c r="E22" s="6">
        <v>1</v>
      </c>
      <c r="F22" s="9">
        <v>38000</v>
      </c>
      <c r="G22" s="9">
        <v>0</v>
      </c>
      <c r="H22" s="9">
        <f t="shared" si="4"/>
        <v>38000</v>
      </c>
      <c r="I22" s="9">
        <v>39000</v>
      </c>
      <c r="J22" s="9">
        <v>0</v>
      </c>
      <c r="K22" s="9">
        <f t="shared" si="5"/>
        <v>39000</v>
      </c>
      <c r="L22" s="9">
        <v>0</v>
      </c>
      <c r="M22" s="9">
        <v>0</v>
      </c>
      <c r="N22" s="9">
        <f t="shared" si="6"/>
        <v>0</v>
      </c>
      <c r="O22" s="11"/>
      <c r="P22" s="12">
        <f t="shared" si="7"/>
        <v>0</v>
      </c>
      <c r="Q22" s="12">
        <f t="shared" si="8"/>
        <v>0</v>
      </c>
      <c r="R22" s="11">
        <v>38600</v>
      </c>
      <c r="S22" s="12">
        <f t="shared" si="9"/>
        <v>7334</v>
      </c>
      <c r="T22" s="12">
        <f t="shared" si="10"/>
        <v>45934</v>
      </c>
      <c r="U22" s="11">
        <f>27800/1.19</f>
        <v>23361.344537815126</v>
      </c>
      <c r="V22" s="11">
        <f t="shared" si="0"/>
        <v>4438.6554621848736</v>
      </c>
      <c r="W22" s="11">
        <f t="shared" si="1"/>
        <v>27800</v>
      </c>
      <c r="X22" s="18">
        <v>38600</v>
      </c>
      <c r="Y22" s="19">
        <v>7334</v>
      </c>
      <c r="Z22" s="18">
        <v>45934</v>
      </c>
      <c r="AA22" s="18"/>
      <c r="AB22" s="19">
        <f t="shared" si="2"/>
        <v>0</v>
      </c>
      <c r="AC22" s="18">
        <f t="shared" si="3"/>
        <v>0</v>
      </c>
      <c r="AD22" s="18">
        <v>26610</v>
      </c>
      <c r="AE22" s="19">
        <f t="shared" si="11"/>
        <v>5055.8999999999996</v>
      </c>
      <c r="AF22" s="18">
        <f t="shared" si="12"/>
        <v>31665.9</v>
      </c>
    </row>
    <row r="23" spans="3:32" x14ac:dyDescent="0.25">
      <c r="C23" s="3" t="s">
        <v>170</v>
      </c>
      <c r="D23" s="6" t="s">
        <v>7</v>
      </c>
      <c r="E23" s="6">
        <v>1</v>
      </c>
      <c r="F23" s="9">
        <v>0</v>
      </c>
      <c r="G23" s="9">
        <v>0</v>
      </c>
      <c r="H23" s="9">
        <f t="shared" si="4"/>
        <v>0</v>
      </c>
      <c r="I23" s="9">
        <v>0</v>
      </c>
      <c r="J23" s="9">
        <v>0</v>
      </c>
      <c r="K23" s="9">
        <f t="shared" si="5"/>
        <v>0</v>
      </c>
      <c r="L23" s="9">
        <v>0</v>
      </c>
      <c r="M23" s="9">
        <v>0</v>
      </c>
      <c r="N23" s="9">
        <f t="shared" si="6"/>
        <v>0</v>
      </c>
      <c r="O23" s="11"/>
      <c r="P23" s="12">
        <f t="shared" si="7"/>
        <v>0</v>
      </c>
      <c r="Q23" s="12">
        <f t="shared" si="8"/>
        <v>0</v>
      </c>
      <c r="R23" s="11">
        <v>215000</v>
      </c>
      <c r="S23" s="12">
        <f t="shared" si="9"/>
        <v>40850</v>
      </c>
      <c r="T23" s="12">
        <f t="shared" si="10"/>
        <v>255850</v>
      </c>
      <c r="U23" s="11">
        <v>0</v>
      </c>
      <c r="V23" s="11">
        <f t="shared" si="0"/>
        <v>0</v>
      </c>
      <c r="W23" s="11">
        <f t="shared" si="1"/>
        <v>0</v>
      </c>
      <c r="X23" s="18">
        <v>215000</v>
      </c>
      <c r="Y23" s="19">
        <v>40850</v>
      </c>
      <c r="Z23" s="18">
        <v>255850</v>
      </c>
      <c r="AA23" s="18"/>
      <c r="AB23" s="19">
        <f t="shared" si="2"/>
        <v>0</v>
      </c>
      <c r="AC23" s="18">
        <f t="shared" si="3"/>
        <v>0</v>
      </c>
      <c r="AD23" s="18"/>
      <c r="AE23" s="19">
        <f t="shared" si="11"/>
        <v>0</v>
      </c>
      <c r="AF23" s="18">
        <f t="shared" si="12"/>
        <v>0</v>
      </c>
    </row>
    <row r="24" spans="3:32" x14ac:dyDescent="0.25">
      <c r="C24" s="3" t="s">
        <v>171</v>
      </c>
      <c r="D24" s="6" t="s">
        <v>7</v>
      </c>
      <c r="E24" s="6">
        <v>1</v>
      </c>
      <c r="F24" s="9">
        <v>0</v>
      </c>
      <c r="G24" s="9">
        <v>0</v>
      </c>
      <c r="H24" s="9">
        <f t="shared" si="4"/>
        <v>0</v>
      </c>
      <c r="I24" s="9">
        <v>0</v>
      </c>
      <c r="J24" s="9">
        <v>0</v>
      </c>
      <c r="K24" s="9">
        <f t="shared" si="5"/>
        <v>0</v>
      </c>
      <c r="L24" s="9">
        <v>58700</v>
      </c>
      <c r="M24" s="9">
        <v>0</v>
      </c>
      <c r="N24" s="9">
        <f t="shared" si="6"/>
        <v>58700</v>
      </c>
      <c r="O24" s="11">
        <f>65455/1.19</f>
        <v>55004.201680672275</v>
      </c>
      <c r="P24" s="12">
        <f t="shared" si="7"/>
        <v>10450.798319327732</v>
      </c>
      <c r="Q24" s="12">
        <f t="shared" si="8"/>
        <v>65455.000000000007</v>
      </c>
      <c r="R24" s="11">
        <v>42000</v>
      </c>
      <c r="S24" s="12">
        <f t="shared" si="9"/>
        <v>7980</v>
      </c>
      <c r="T24" s="12">
        <f t="shared" si="10"/>
        <v>49980</v>
      </c>
      <c r="U24" s="11">
        <f>48900/1.19</f>
        <v>41092.436974789918</v>
      </c>
      <c r="V24" s="11">
        <f t="shared" si="0"/>
        <v>7807.5630252100846</v>
      </c>
      <c r="W24" s="11">
        <f t="shared" si="1"/>
        <v>48900</v>
      </c>
      <c r="X24" s="18">
        <v>42000</v>
      </c>
      <c r="Y24" s="19">
        <v>7980</v>
      </c>
      <c r="Z24" s="18">
        <v>49980</v>
      </c>
      <c r="AA24" s="18"/>
      <c r="AB24" s="19">
        <f t="shared" si="2"/>
        <v>0</v>
      </c>
      <c r="AC24" s="18">
        <f t="shared" si="3"/>
        <v>0</v>
      </c>
      <c r="AD24" s="18"/>
      <c r="AE24" s="19">
        <f t="shared" si="11"/>
        <v>0</v>
      </c>
      <c r="AF24" s="18">
        <f t="shared" si="12"/>
        <v>0</v>
      </c>
    </row>
    <row r="25" spans="3:32" x14ac:dyDescent="0.25">
      <c r="C25" s="3" t="s">
        <v>54</v>
      </c>
      <c r="D25" s="6" t="s">
        <v>21</v>
      </c>
      <c r="E25" s="6">
        <v>1</v>
      </c>
      <c r="F25" s="9">
        <v>68000</v>
      </c>
      <c r="G25" s="9">
        <v>0</v>
      </c>
      <c r="H25" s="9">
        <f t="shared" si="4"/>
        <v>68000</v>
      </c>
      <c r="I25" s="9">
        <v>70000</v>
      </c>
      <c r="J25" s="9">
        <v>0</v>
      </c>
      <c r="K25" s="9">
        <f t="shared" si="5"/>
        <v>70000</v>
      </c>
      <c r="L25" s="9">
        <v>70900</v>
      </c>
      <c r="M25" s="9">
        <v>0</v>
      </c>
      <c r="N25" s="9">
        <f t="shared" si="6"/>
        <v>70900</v>
      </c>
      <c r="O25" s="11">
        <f>69836/1.19</f>
        <v>58685.71428571429</v>
      </c>
      <c r="P25" s="12">
        <f t="shared" si="7"/>
        <v>11150.285714285716</v>
      </c>
      <c r="Q25" s="12">
        <f t="shared" si="8"/>
        <v>69836</v>
      </c>
      <c r="R25" s="11">
        <v>70700</v>
      </c>
      <c r="S25" s="12">
        <f t="shared" si="9"/>
        <v>13433</v>
      </c>
      <c r="T25" s="12">
        <f t="shared" si="10"/>
        <v>84133</v>
      </c>
      <c r="U25" s="11">
        <f>69900/1.19</f>
        <v>58739.495798319331</v>
      </c>
      <c r="V25" s="11">
        <f t="shared" si="0"/>
        <v>11160.504201680673</v>
      </c>
      <c r="W25" s="11">
        <f t="shared" si="1"/>
        <v>69900</v>
      </c>
      <c r="X25" s="18">
        <v>70700</v>
      </c>
      <c r="Y25" s="19">
        <v>13433</v>
      </c>
      <c r="Z25" s="18">
        <v>84133</v>
      </c>
      <c r="AA25" s="18"/>
      <c r="AB25" s="19">
        <f t="shared" si="2"/>
        <v>0</v>
      </c>
      <c r="AC25" s="18">
        <f t="shared" si="3"/>
        <v>0</v>
      </c>
      <c r="AD25" s="18">
        <v>64670</v>
      </c>
      <c r="AE25" s="19">
        <f t="shared" si="11"/>
        <v>12287.3</v>
      </c>
      <c r="AF25" s="18">
        <f t="shared" si="12"/>
        <v>76957.3</v>
      </c>
    </row>
    <row r="26" spans="3:32" x14ac:dyDescent="0.25">
      <c r="C26" s="3" t="s">
        <v>135</v>
      </c>
      <c r="D26" s="6" t="s">
        <v>21</v>
      </c>
      <c r="E26" s="6">
        <v>1</v>
      </c>
      <c r="F26" s="9">
        <v>68000</v>
      </c>
      <c r="G26" s="9">
        <v>0</v>
      </c>
      <c r="H26" s="9">
        <f t="shared" si="4"/>
        <v>68000</v>
      </c>
      <c r="I26" s="9">
        <v>70000</v>
      </c>
      <c r="J26" s="9">
        <v>0</v>
      </c>
      <c r="K26" s="9">
        <f t="shared" si="5"/>
        <v>70000</v>
      </c>
      <c r="L26" s="9">
        <v>70900</v>
      </c>
      <c r="M26" s="9">
        <v>0</v>
      </c>
      <c r="N26" s="9">
        <f t="shared" si="6"/>
        <v>70900</v>
      </c>
      <c r="O26" s="11">
        <f>137309/1.19</f>
        <v>115385.71428571429</v>
      </c>
      <c r="P26" s="12">
        <f t="shared" si="7"/>
        <v>21923.285714285714</v>
      </c>
      <c r="Q26" s="12">
        <f t="shared" si="8"/>
        <v>137309</v>
      </c>
      <c r="R26" s="11">
        <v>139000</v>
      </c>
      <c r="S26" s="12">
        <f t="shared" si="9"/>
        <v>26410</v>
      </c>
      <c r="T26" s="12">
        <f t="shared" si="10"/>
        <v>165410</v>
      </c>
      <c r="U26" s="11">
        <f>144650/1.19</f>
        <v>121554.62184873949</v>
      </c>
      <c r="V26" s="11">
        <f t="shared" si="0"/>
        <v>23095.378151260506</v>
      </c>
      <c r="W26" s="11">
        <f t="shared" si="1"/>
        <v>144650</v>
      </c>
      <c r="X26" s="18">
        <v>139000</v>
      </c>
      <c r="Y26" s="19">
        <v>26410</v>
      </c>
      <c r="Z26" s="18">
        <v>165410</v>
      </c>
      <c r="AA26" s="18">
        <v>104257</v>
      </c>
      <c r="AB26" s="19">
        <f t="shared" si="2"/>
        <v>19808.830000000002</v>
      </c>
      <c r="AC26" s="18">
        <f t="shared" si="3"/>
        <v>124065.83</v>
      </c>
      <c r="AD26" s="18">
        <v>127140</v>
      </c>
      <c r="AE26" s="19">
        <f t="shared" si="11"/>
        <v>24156.6</v>
      </c>
      <c r="AF26" s="18">
        <f t="shared" si="12"/>
        <v>151296.6</v>
      </c>
    </row>
    <row r="27" spans="3:32" x14ac:dyDescent="0.25">
      <c r="C27" s="3" t="s">
        <v>42</v>
      </c>
      <c r="D27" s="6" t="s">
        <v>18</v>
      </c>
      <c r="E27" s="6">
        <v>1</v>
      </c>
      <c r="F27" s="9">
        <v>110000</v>
      </c>
      <c r="G27" s="9">
        <v>0</v>
      </c>
      <c r="H27" s="9">
        <f t="shared" si="4"/>
        <v>110000</v>
      </c>
      <c r="I27" s="9">
        <v>110000</v>
      </c>
      <c r="J27" s="9">
        <v>0</v>
      </c>
      <c r="K27" s="9">
        <f t="shared" si="5"/>
        <v>110000</v>
      </c>
      <c r="L27" s="9">
        <v>90000</v>
      </c>
      <c r="M27" s="9">
        <v>0</v>
      </c>
      <c r="N27" s="9">
        <f t="shared" si="6"/>
        <v>90000</v>
      </c>
      <c r="O27" s="11"/>
      <c r="P27" s="12">
        <f t="shared" si="7"/>
        <v>0</v>
      </c>
      <c r="Q27" s="12">
        <f t="shared" si="8"/>
        <v>0</v>
      </c>
      <c r="R27" s="11">
        <v>9000</v>
      </c>
      <c r="S27" s="12">
        <f t="shared" si="9"/>
        <v>1710</v>
      </c>
      <c r="T27" s="12">
        <f t="shared" si="10"/>
        <v>10710</v>
      </c>
      <c r="U27" s="11">
        <v>0</v>
      </c>
      <c r="V27" s="11">
        <f t="shared" si="0"/>
        <v>0</v>
      </c>
      <c r="W27" s="11">
        <f t="shared" si="1"/>
        <v>0</v>
      </c>
      <c r="X27" s="18">
        <v>9000</v>
      </c>
      <c r="Y27" s="19">
        <v>1710</v>
      </c>
      <c r="Z27" s="18">
        <v>10710</v>
      </c>
      <c r="AA27" s="18"/>
      <c r="AB27" s="19">
        <f t="shared" si="2"/>
        <v>0</v>
      </c>
      <c r="AC27" s="18">
        <f t="shared" si="3"/>
        <v>0</v>
      </c>
      <c r="AD27" s="18">
        <v>8750</v>
      </c>
      <c r="AE27" s="19">
        <f t="shared" si="11"/>
        <v>1662.5</v>
      </c>
      <c r="AF27" s="18">
        <f t="shared" si="12"/>
        <v>10412.5</v>
      </c>
    </row>
    <row r="28" spans="3:32" x14ac:dyDescent="0.25">
      <c r="C28" s="3" t="s">
        <v>143</v>
      </c>
      <c r="D28" s="6" t="s">
        <v>18</v>
      </c>
      <c r="E28" s="6">
        <v>1</v>
      </c>
      <c r="F28" s="9">
        <v>4800</v>
      </c>
      <c r="G28" s="9">
        <v>0</v>
      </c>
      <c r="H28" s="9">
        <f t="shared" si="4"/>
        <v>4800</v>
      </c>
      <c r="I28" s="9">
        <v>4800</v>
      </c>
      <c r="J28" s="9">
        <v>0</v>
      </c>
      <c r="K28" s="9">
        <f t="shared" si="5"/>
        <v>4800</v>
      </c>
      <c r="L28" s="9">
        <v>5000</v>
      </c>
      <c r="M28" s="9">
        <v>0</v>
      </c>
      <c r="N28" s="9">
        <f t="shared" si="6"/>
        <v>5000</v>
      </c>
      <c r="O28" s="11"/>
      <c r="P28" s="12">
        <f t="shared" si="7"/>
        <v>0</v>
      </c>
      <c r="Q28" s="12">
        <f t="shared" si="8"/>
        <v>0</v>
      </c>
      <c r="R28" s="10"/>
      <c r="S28" s="10">
        <f t="shared" si="9"/>
        <v>0</v>
      </c>
      <c r="T28" s="10">
        <f t="shared" si="10"/>
        <v>0</v>
      </c>
      <c r="U28" s="11">
        <v>0</v>
      </c>
      <c r="V28" s="11">
        <f t="shared" si="0"/>
        <v>0</v>
      </c>
      <c r="W28" s="11">
        <f t="shared" si="1"/>
        <v>0</v>
      </c>
      <c r="X28" s="18"/>
      <c r="Y28" s="19">
        <v>0</v>
      </c>
      <c r="Z28" s="18">
        <v>0</v>
      </c>
      <c r="AA28" s="18"/>
      <c r="AB28" s="19">
        <f t="shared" si="2"/>
        <v>0</v>
      </c>
      <c r="AC28" s="18">
        <f t="shared" si="3"/>
        <v>0</v>
      </c>
      <c r="AD28" s="18">
        <v>5000</v>
      </c>
      <c r="AE28" s="19">
        <f t="shared" si="11"/>
        <v>950</v>
      </c>
      <c r="AF28" s="18">
        <f t="shared" si="12"/>
        <v>5950</v>
      </c>
    </row>
    <row r="29" spans="3:32" x14ac:dyDescent="0.25">
      <c r="C29" s="3" t="s">
        <v>69</v>
      </c>
      <c r="D29" s="6" t="s">
        <v>7</v>
      </c>
      <c r="E29" s="6">
        <v>1</v>
      </c>
      <c r="F29" s="9">
        <v>14000</v>
      </c>
      <c r="G29" s="9">
        <v>0</v>
      </c>
      <c r="H29" s="9">
        <f t="shared" si="4"/>
        <v>14000</v>
      </c>
      <c r="I29" s="9">
        <v>14500</v>
      </c>
      <c r="J29" s="9">
        <v>0</v>
      </c>
      <c r="K29" s="9">
        <f t="shared" si="5"/>
        <v>14500</v>
      </c>
      <c r="L29" s="9">
        <v>14700</v>
      </c>
      <c r="M29" s="9">
        <v>0</v>
      </c>
      <c r="N29" s="9">
        <f t="shared" si="6"/>
        <v>14700</v>
      </c>
      <c r="O29" s="11">
        <f>14150/1.19</f>
        <v>11890.756302521009</v>
      </c>
      <c r="P29" s="12">
        <f t="shared" si="7"/>
        <v>2259.2436974789916</v>
      </c>
      <c r="Q29" s="12">
        <f t="shared" si="8"/>
        <v>14150</v>
      </c>
      <c r="R29" s="11">
        <v>13800</v>
      </c>
      <c r="S29" s="12">
        <f t="shared" si="9"/>
        <v>2622</v>
      </c>
      <c r="T29" s="12">
        <f t="shared" si="10"/>
        <v>16422</v>
      </c>
      <c r="U29" s="11">
        <f>17450/1.19</f>
        <v>14663.865546218489</v>
      </c>
      <c r="V29" s="11">
        <f t="shared" si="0"/>
        <v>2786.134453781513</v>
      </c>
      <c r="W29" s="11">
        <f t="shared" si="1"/>
        <v>17450</v>
      </c>
      <c r="X29" s="18">
        <v>13800</v>
      </c>
      <c r="Y29" s="19">
        <v>2622</v>
      </c>
      <c r="Z29" s="18">
        <v>16422</v>
      </c>
      <c r="AA29" s="18"/>
      <c r="AB29" s="19">
        <f t="shared" si="2"/>
        <v>0</v>
      </c>
      <c r="AC29" s="18">
        <f t="shared" si="3"/>
        <v>0</v>
      </c>
      <c r="AD29" s="18">
        <v>10360</v>
      </c>
      <c r="AE29" s="19">
        <f t="shared" si="11"/>
        <v>1968.4</v>
      </c>
      <c r="AF29" s="18">
        <f t="shared" si="12"/>
        <v>12328.4</v>
      </c>
    </row>
    <row r="30" spans="3:32" x14ac:dyDescent="0.25">
      <c r="C30" s="3" t="s">
        <v>68</v>
      </c>
      <c r="D30" s="6" t="s">
        <v>7</v>
      </c>
      <c r="E30" s="6">
        <v>1</v>
      </c>
      <c r="F30" s="9">
        <v>30000</v>
      </c>
      <c r="G30" s="9">
        <v>0</v>
      </c>
      <c r="H30" s="9">
        <f t="shared" si="4"/>
        <v>30000</v>
      </c>
      <c r="I30" s="9">
        <v>29000</v>
      </c>
      <c r="J30" s="9">
        <v>0</v>
      </c>
      <c r="K30" s="9">
        <f t="shared" si="5"/>
        <v>29000</v>
      </c>
      <c r="L30" s="9">
        <v>15000</v>
      </c>
      <c r="M30" s="9">
        <v>0</v>
      </c>
      <c r="N30" s="9">
        <f t="shared" si="6"/>
        <v>15000</v>
      </c>
      <c r="O30" s="11">
        <f>40800/1.19</f>
        <v>34285.71428571429</v>
      </c>
      <c r="P30" s="12">
        <f t="shared" si="7"/>
        <v>6514.2857142857156</v>
      </c>
      <c r="Q30" s="12">
        <f t="shared" si="8"/>
        <v>40800.000000000007</v>
      </c>
      <c r="R30" s="11">
        <v>36000</v>
      </c>
      <c r="S30" s="12">
        <f t="shared" si="9"/>
        <v>6840</v>
      </c>
      <c r="T30" s="12">
        <f t="shared" si="10"/>
        <v>42840</v>
      </c>
      <c r="U30" s="11">
        <f>40850/1.19</f>
        <v>34327.731092436974</v>
      </c>
      <c r="V30" s="11">
        <f t="shared" si="0"/>
        <v>6522.2689075630251</v>
      </c>
      <c r="W30" s="11">
        <f t="shared" si="1"/>
        <v>40850</v>
      </c>
      <c r="X30" s="18">
        <v>36000</v>
      </c>
      <c r="Y30" s="19">
        <v>6840</v>
      </c>
      <c r="Z30" s="18">
        <v>42840</v>
      </c>
      <c r="AA30" s="18"/>
      <c r="AB30" s="19">
        <f t="shared" si="2"/>
        <v>0</v>
      </c>
      <c r="AC30" s="18">
        <f t="shared" si="3"/>
        <v>0</v>
      </c>
      <c r="AD30" s="18">
        <v>40530</v>
      </c>
      <c r="AE30" s="19">
        <f t="shared" si="11"/>
        <v>7700.7</v>
      </c>
      <c r="AF30" s="18">
        <f t="shared" si="12"/>
        <v>48230.7</v>
      </c>
    </row>
    <row r="31" spans="3:32" x14ac:dyDescent="0.25">
      <c r="C31" s="3" t="s">
        <v>115</v>
      </c>
      <c r="D31" s="6" t="s">
        <v>7</v>
      </c>
      <c r="E31" s="6">
        <v>1</v>
      </c>
      <c r="F31" s="9">
        <v>11000</v>
      </c>
      <c r="G31" s="9">
        <v>0</v>
      </c>
      <c r="H31" s="9">
        <f t="shared" si="4"/>
        <v>11000</v>
      </c>
      <c r="I31" s="9">
        <v>10500</v>
      </c>
      <c r="J31" s="9">
        <v>0</v>
      </c>
      <c r="K31" s="9">
        <f t="shared" si="5"/>
        <v>10500</v>
      </c>
      <c r="L31" s="9">
        <v>8500</v>
      </c>
      <c r="M31" s="9">
        <v>0</v>
      </c>
      <c r="N31" s="9">
        <f t="shared" si="6"/>
        <v>8500</v>
      </c>
      <c r="O31" s="11">
        <f>9250/1.19</f>
        <v>7773.1092436974795</v>
      </c>
      <c r="P31" s="12">
        <f t="shared" si="7"/>
        <v>1476.8907563025211</v>
      </c>
      <c r="Q31" s="12">
        <f t="shared" si="8"/>
        <v>9250</v>
      </c>
      <c r="R31" s="11">
        <v>8300</v>
      </c>
      <c r="S31" s="12">
        <f t="shared" si="9"/>
        <v>1577</v>
      </c>
      <c r="T31" s="12">
        <f t="shared" si="10"/>
        <v>9877</v>
      </c>
      <c r="U31" s="11">
        <f>8300/1.19</f>
        <v>6974.7899159663866</v>
      </c>
      <c r="V31" s="11">
        <f t="shared" si="0"/>
        <v>1325.2100840336134</v>
      </c>
      <c r="W31" s="11">
        <f t="shared" si="1"/>
        <v>8300</v>
      </c>
      <c r="X31" s="18">
        <v>8300</v>
      </c>
      <c r="Y31" s="19">
        <v>1577</v>
      </c>
      <c r="Z31" s="18">
        <v>9877</v>
      </c>
      <c r="AA31" s="18"/>
      <c r="AB31" s="19">
        <f t="shared" si="2"/>
        <v>0</v>
      </c>
      <c r="AC31" s="18">
        <f t="shared" si="3"/>
        <v>0</v>
      </c>
      <c r="AD31" s="18">
        <v>8160</v>
      </c>
      <c r="AE31" s="19">
        <f t="shared" si="11"/>
        <v>1550.4</v>
      </c>
      <c r="AF31" s="18">
        <f t="shared" si="12"/>
        <v>9710.4</v>
      </c>
    </row>
    <row r="32" spans="3:32" x14ac:dyDescent="0.25">
      <c r="C32" s="3" t="s">
        <v>116</v>
      </c>
      <c r="D32" s="6" t="s">
        <v>7</v>
      </c>
      <c r="E32" s="6">
        <v>1</v>
      </c>
      <c r="F32" s="9">
        <v>6000</v>
      </c>
      <c r="G32" s="9">
        <v>0</v>
      </c>
      <c r="H32" s="9">
        <f t="shared" si="4"/>
        <v>6000</v>
      </c>
      <c r="I32" s="9">
        <v>6500</v>
      </c>
      <c r="J32" s="9">
        <v>0</v>
      </c>
      <c r="K32" s="9">
        <f t="shared" si="5"/>
        <v>6500</v>
      </c>
      <c r="L32" s="9">
        <v>7700</v>
      </c>
      <c r="M32" s="9">
        <v>0</v>
      </c>
      <c r="N32" s="9">
        <f t="shared" si="6"/>
        <v>7700</v>
      </c>
      <c r="O32" s="11"/>
      <c r="P32" s="12">
        <f t="shared" si="7"/>
        <v>0</v>
      </c>
      <c r="Q32" s="12">
        <f t="shared" si="8"/>
        <v>0</v>
      </c>
      <c r="R32" s="11">
        <v>5300</v>
      </c>
      <c r="S32" s="12">
        <f t="shared" si="9"/>
        <v>1007</v>
      </c>
      <c r="T32" s="12">
        <f t="shared" si="10"/>
        <v>6307</v>
      </c>
      <c r="U32" s="11">
        <f>6550/1.19</f>
        <v>5504.2016806722695</v>
      </c>
      <c r="V32" s="11">
        <f t="shared" si="0"/>
        <v>1045.7983193277312</v>
      </c>
      <c r="W32" s="11">
        <f t="shared" si="1"/>
        <v>6550.0000000000009</v>
      </c>
      <c r="X32" s="18">
        <v>5300</v>
      </c>
      <c r="Y32" s="19">
        <v>1007</v>
      </c>
      <c r="Z32" s="18">
        <v>6307</v>
      </c>
      <c r="AA32" s="18"/>
      <c r="AB32" s="19">
        <f t="shared" si="2"/>
        <v>0</v>
      </c>
      <c r="AC32" s="18">
        <f t="shared" si="3"/>
        <v>0</v>
      </c>
      <c r="AD32" s="18">
        <v>4000</v>
      </c>
      <c r="AE32" s="19">
        <f t="shared" si="11"/>
        <v>760</v>
      </c>
      <c r="AF32" s="18">
        <f t="shared" si="12"/>
        <v>4760</v>
      </c>
    </row>
    <row r="33" spans="3:32" x14ac:dyDescent="0.25">
      <c r="C33" s="3" t="s">
        <v>63</v>
      </c>
      <c r="D33" s="6" t="s">
        <v>7</v>
      </c>
      <c r="E33" s="6">
        <v>1</v>
      </c>
      <c r="F33" s="9">
        <v>4500</v>
      </c>
      <c r="G33" s="9">
        <v>0</v>
      </c>
      <c r="H33" s="9">
        <f t="shared" si="4"/>
        <v>4500</v>
      </c>
      <c r="I33" s="9">
        <v>4500</v>
      </c>
      <c r="J33" s="9">
        <v>0</v>
      </c>
      <c r="K33" s="9">
        <f t="shared" si="5"/>
        <v>4500</v>
      </c>
      <c r="L33" s="9">
        <v>6500</v>
      </c>
      <c r="M33" s="9">
        <v>0</v>
      </c>
      <c r="N33" s="9">
        <f t="shared" si="6"/>
        <v>6500</v>
      </c>
      <c r="O33" s="11"/>
      <c r="P33" s="12">
        <f t="shared" si="7"/>
        <v>0</v>
      </c>
      <c r="Q33" s="12">
        <f t="shared" si="8"/>
        <v>0</v>
      </c>
      <c r="R33" s="11">
        <v>4000</v>
      </c>
      <c r="S33" s="12">
        <f t="shared" si="9"/>
        <v>760</v>
      </c>
      <c r="T33" s="12">
        <f t="shared" si="10"/>
        <v>4760</v>
      </c>
      <c r="U33" s="11">
        <v>0</v>
      </c>
      <c r="V33" s="11">
        <f t="shared" si="0"/>
        <v>0</v>
      </c>
      <c r="W33" s="11">
        <f t="shared" si="1"/>
        <v>0</v>
      </c>
      <c r="X33" s="18">
        <v>4000</v>
      </c>
      <c r="Y33" s="19">
        <v>760</v>
      </c>
      <c r="Z33" s="18">
        <v>4760</v>
      </c>
      <c r="AA33" s="18"/>
      <c r="AB33" s="19">
        <f t="shared" si="2"/>
        <v>0</v>
      </c>
      <c r="AC33" s="18">
        <f t="shared" si="3"/>
        <v>0</v>
      </c>
      <c r="AD33" s="18">
        <v>3410</v>
      </c>
      <c r="AE33" s="19">
        <f t="shared" si="11"/>
        <v>647.9</v>
      </c>
      <c r="AF33" s="18">
        <f t="shared" si="12"/>
        <v>4057.9</v>
      </c>
    </row>
    <row r="34" spans="3:32" x14ac:dyDescent="0.25">
      <c r="C34" s="3" t="s">
        <v>64</v>
      </c>
      <c r="D34" s="6" t="s">
        <v>7</v>
      </c>
      <c r="E34" s="6">
        <v>1</v>
      </c>
      <c r="F34" s="9">
        <v>4500</v>
      </c>
      <c r="G34" s="9">
        <v>0</v>
      </c>
      <c r="H34" s="9">
        <f t="shared" si="4"/>
        <v>4500</v>
      </c>
      <c r="I34" s="9">
        <v>9000</v>
      </c>
      <c r="J34" s="9">
        <v>0</v>
      </c>
      <c r="K34" s="9">
        <f t="shared" si="5"/>
        <v>9000</v>
      </c>
      <c r="L34" s="9">
        <v>4000</v>
      </c>
      <c r="M34" s="9">
        <v>0</v>
      </c>
      <c r="N34" s="9">
        <f t="shared" si="6"/>
        <v>4000</v>
      </c>
      <c r="O34" s="11">
        <f>3650/1.19</f>
        <v>3067.2268907563025</v>
      </c>
      <c r="P34" s="12">
        <f t="shared" si="7"/>
        <v>582.77310924369749</v>
      </c>
      <c r="Q34" s="12">
        <f t="shared" si="8"/>
        <v>3650</v>
      </c>
      <c r="R34" s="11">
        <v>3600</v>
      </c>
      <c r="S34" s="12">
        <f t="shared" si="9"/>
        <v>684</v>
      </c>
      <c r="T34" s="12">
        <f t="shared" si="10"/>
        <v>4284</v>
      </c>
      <c r="U34" s="11">
        <f>3800/1.19</f>
        <v>3193.2773109243699</v>
      </c>
      <c r="V34" s="11">
        <f t="shared" si="0"/>
        <v>606.72268907563034</v>
      </c>
      <c r="W34" s="11">
        <f t="shared" si="1"/>
        <v>3800</v>
      </c>
      <c r="X34" s="18">
        <v>3600</v>
      </c>
      <c r="Y34" s="19">
        <v>684</v>
      </c>
      <c r="Z34" s="18">
        <v>4284</v>
      </c>
      <c r="AA34" s="18"/>
      <c r="AB34" s="19">
        <f t="shared" si="2"/>
        <v>0</v>
      </c>
      <c r="AC34" s="18">
        <f t="shared" si="3"/>
        <v>0</v>
      </c>
      <c r="AD34" s="18">
        <v>2590</v>
      </c>
      <c r="AE34" s="19">
        <f t="shared" si="11"/>
        <v>492.1</v>
      </c>
      <c r="AF34" s="18">
        <f t="shared" si="12"/>
        <v>3082.1</v>
      </c>
    </row>
    <row r="35" spans="3:32" x14ac:dyDescent="0.25">
      <c r="C35" s="3" t="s">
        <v>65</v>
      </c>
      <c r="D35" s="6" t="s">
        <v>7</v>
      </c>
      <c r="E35" s="6">
        <v>1</v>
      </c>
      <c r="F35" s="9">
        <v>9500</v>
      </c>
      <c r="G35" s="9">
        <v>0</v>
      </c>
      <c r="H35" s="9">
        <f t="shared" si="4"/>
        <v>9500</v>
      </c>
      <c r="I35" s="9">
        <v>9500</v>
      </c>
      <c r="J35" s="9">
        <v>0</v>
      </c>
      <c r="K35" s="9">
        <f t="shared" si="5"/>
        <v>9500</v>
      </c>
      <c r="L35" s="9">
        <v>11000</v>
      </c>
      <c r="M35" s="9">
        <v>0</v>
      </c>
      <c r="N35" s="9">
        <f t="shared" si="6"/>
        <v>11000</v>
      </c>
      <c r="O35" s="11">
        <f>14850/1.19</f>
        <v>12478.991596638656</v>
      </c>
      <c r="P35" s="12">
        <f t="shared" si="7"/>
        <v>2371.0084033613448</v>
      </c>
      <c r="Q35" s="12">
        <f t="shared" si="8"/>
        <v>14850</v>
      </c>
      <c r="R35" s="10">
        <v>7600</v>
      </c>
      <c r="S35" s="10">
        <f t="shared" si="9"/>
        <v>1444</v>
      </c>
      <c r="T35" s="10">
        <f t="shared" si="10"/>
        <v>9044</v>
      </c>
      <c r="U35" s="11">
        <f>11550/1.19</f>
        <v>9705.8823529411766</v>
      </c>
      <c r="V35" s="11">
        <f t="shared" si="0"/>
        <v>1844.1176470588236</v>
      </c>
      <c r="W35" s="11">
        <f t="shared" si="1"/>
        <v>11550</v>
      </c>
      <c r="X35" s="18">
        <v>7600</v>
      </c>
      <c r="Y35" s="19">
        <v>1444</v>
      </c>
      <c r="Z35" s="18">
        <v>9044</v>
      </c>
      <c r="AA35" s="18"/>
      <c r="AB35" s="19">
        <f t="shared" si="2"/>
        <v>0</v>
      </c>
      <c r="AC35" s="18">
        <f t="shared" si="3"/>
        <v>0</v>
      </c>
      <c r="AD35" s="18">
        <v>6370</v>
      </c>
      <c r="AE35" s="19">
        <f t="shared" si="11"/>
        <v>1210.3</v>
      </c>
      <c r="AF35" s="18">
        <f t="shared" si="12"/>
        <v>7580.3</v>
      </c>
    </row>
    <row r="36" spans="3:32" x14ac:dyDescent="0.25">
      <c r="C36" s="3" t="s">
        <v>66</v>
      </c>
      <c r="D36" s="6" t="s">
        <v>7</v>
      </c>
      <c r="E36" s="6">
        <v>1</v>
      </c>
      <c r="F36" s="9">
        <v>16000</v>
      </c>
      <c r="G36" s="9">
        <v>0</v>
      </c>
      <c r="H36" s="9">
        <f t="shared" si="4"/>
        <v>16000</v>
      </c>
      <c r="I36" s="9">
        <v>15500</v>
      </c>
      <c r="J36" s="9">
        <v>0</v>
      </c>
      <c r="K36" s="9">
        <f t="shared" si="5"/>
        <v>15500</v>
      </c>
      <c r="L36" s="9">
        <v>14000</v>
      </c>
      <c r="M36" s="9">
        <v>0</v>
      </c>
      <c r="N36" s="9">
        <f t="shared" si="6"/>
        <v>14000</v>
      </c>
      <c r="O36" s="11">
        <f>14700/1.19</f>
        <v>12352.941176470589</v>
      </c>
      <c r="P36" s="12">
        <f t="shared" si="7"/>
        <v>2347.0588235294122</v>
      </c>
      <c r="Q36" s="12">
        <f t="shared" si="8"/>
        <v>14700.000000000002</v>
      </c>
      <c r="R36" s="11">
        <v>17500</v>
      </c>
      <c r="S36" s="12">
        <f t="shared" si="9"/>
        <v>3325</v>
      </c>
      <c r="T36" s="12">
        <f t="shared" si="10"/>
        <v>20825</v>
      </c>
      <c r="U36" s="11">
        <f>14850/1.19</f>
        <v>12478.991596638656</v>
      </c>
      <c r="V36" s="11">
        <f t="shared" si="0"/>
        <v>2371.0084033613448</v>
      </c>
      <c r="W36" s="11">
        <f t="shared" si="1"/>
        <v>14850</v>
      </c>
      <c r="X36" s="18">
        <v>17500</v>
      </c>
      <c r="Y36" s="19">
        <v>3325</v>
      </c>
      <c r="Z36" s="18">
        <v>20825</v>
      </c>
      <c r="AA36" s="18"/>
      <c r="AB36" s="19">
        <f t="shared" si="2"/>
        <v>0</v>
      </c>
      <c r="AC36" s="18">
        <f t="shared" si="3"/>
        <v>0</v>
      </c>
      <c r="AD36" s="18">
        <v>13280</v>
      </c>
      <c r="AE36" s="19">
        <f t="shared" si="11"/>
        <v>2523.1999999999998</v>
      </c>
      <c r="AF36" s="18">
        <f t="shared" si="12"/>
        <v>15803.2</v>
      </c>
    </row>
    <row r="37" spans="3:32" x14ac:dyDescent="0.25">
      <c r="C37" s="3" t="s">
        <v>67</v>
      </c>
      <c r="D37" s="6" t="s">
        <v>7</v>
      </c>
      <c r="E37" s="6">
        <v>1</v>
      </c>
      <c r="F37" s="9">
        <v>0</v>
      </c>
      <c r="G37" s="9">
        <v>0</v>
      </c>
      <c r="H37" s="9">
        <f t="shared" si="4"/>
        <v>0</v>
      </c>
      <c r="I37" s="9">
        <v>0</v>
      </c>
      <c r="J37" s="9">
        <v>0</v>
      </c>
      <c r="K37" s="9">
        <f t="shared" si="5"/>
        <v>0</v>
      </c>
      <c r="L37" s="9">
        <v>0</v>
      </c>
      <c r="M37" s="9">
        <v>0</v>
      </c>
      <c r="N37" s="9">
        <f t="shared" si="6"/>
        <v>0</v>
      </c>
      <c r="O37" s="11">
        <f>11050/1.19</f>
        <v>9285.7142857142862</v>
      </c>
      <c r="P37" s="12">
        <f t="shared" si="7"/>
        <v>1764.2857142857144</v>
      </c>
      <c r="Q37" s="12">
        <f t="shared" si="8"/>
        <v>11050</v>
      </c>
      <c r="R37" s="11">
        <v>5300</v>
      </c>
      <c r="S37" s="12">
        <f t="shared" si="9"/>
        <v>1007</v>
      </c>
      <c r="T37" s="12">
        <f t="shared" si="10"/>
        <v>6307</v>
      </c>
      <c r="U37" s="11">
        <v>0</v>
      </c>
      <c r="V37" s="11">
        <f t="shared" si="0"/>
        <v>0</v>
      </c>
      <c r="W37" s="11">
        <f t="shared" si="1"/>
        <v>0</v>
      </c>
      <c r="X37" s="18">
        <v>5300</v>
      </c>
      <c r="Y37" s="19">
        <v>1007</v>
      </c>
      <c r="Z37" s="18">
        <v>6307</v>
      </c>
      <c r="AA37" s="18"/>
      <c r="AB37" s="19">
        <f t="shared" si="2"/>
        <v>0</v>
      </c>
      <c r="AC37" s="18">
        <f t="shared" si="3"/>
        <v>0</v>
      </c>
      <c r="AD37" s="18"/>
      <c r="AE37" s="19">
        <f t="shared" si="11"/>
        <v>0</v>
      </c>
      <c r="AF37" s="18">
        <f t="shared" si="12"/>
        <v>0</v>
      </c>
    </row>
    <row r="38" spans="3:32" x14ac:dyDescent="0.25">
      <c r="C38" s="3" t="s">
        <v>117</v>
      </c>
      <c r="D38" s="6" t="s">
        <v>7</v>
      </c>
      <c r="E38" s="6">
        <v>1</v>
      </c>
      <c r="F38" s="9">
        <v>0</v>
      </c>
      <c r="G38" s="9">
        <v>0</v>
      </c>
      <c r="H38" s="9">
        <f t="shared" si="4"/>
        <v>0</v>
      </c>
      <c r="I38" s="9">
        <v>0</v>
      </c>
      <c r="J38" s="9">
        <v>0</v>
      </c>
      <c r="K38" s="9">
        <f t="shared" si="5"/>
        <v>0</v>
      </c>
      <c r="L38" s="9">
        <v>0</v>
      </c>
      <c r="M38" s="9">
        <v>0</v>
      </c>
      <c r="N38" s="9">
        <f t="shared" si="6"/>
        <v>0</v>
      </c>
      <c r="O38" s="11">
        <f>18750/1.19</f>
        <v>15756.302521008403</v>
      </c>
      <c r="P38" s="12">
        <f t="shared" si="7"/>
        <v>2993.6974789915967</v>
      </c>
      <c r="Q38" s="12">
        <f t="shared" si="8"/>
        <v>18750</v>
      </c>
      <c r="R38" s="11">
        <v>14500</v>
      </c>
      <c r="S38" s="12">
        <f t="shared" si="9"/>
        <v>2755</v>
      </c>
      <c r="T38" s="12">
        <f t="shared" si="10"/>
        <v>17255</v>
      </c>
      <c r="U38" s="11">
        <v>0</v>
      </c>
      <c r="V38" s="11">
        <f t="shared" si="0"/>
        <v>0</v>
      </c>
      <c r="W38" s="11">
        <f t="shared" si="1"/>
        <v>0</v>
      </c>
      <c r="X38" s="18">
        <v>14500</v>
      </c>
      <c r="Y38" s="19">
        <v>2755</v>
      </c>
      <c r="Z38" s="18">
        <v>17255</v>
      </c>
      <c r="AA38" s="18"/>
      <c r="AB38" s="19">
        <f t="shared" si="2"/>
        <v>0</v>
      </c>
      <c r="AC38" s="18">
        <f t="shared" si="3"/>
        <v>0</v>
      </c>
      <c r="AD38" s="18">
        <v>11300</v>
      </c>
      <c r="AE38" s="19">
        <f t="shared" si="11"/>
        <v>2147</v>
      </c>
      <c r="AF38" s="18">
        <f t="shared" si="12"/>
        <v>13447</v>
      </c>
    </row>
    <row r="39" spans="3:32" x14ac:dyDescent="0.25">
      <c r="C39" s="3" t="s">
        <v>172</v>
      </c>
      <c r="D39" s="6" t="s">
        <v>7</v>
      </c>
      <c r="E39" s="6">
        <v>1</v>
      </c>
      <c r="F39" s="9">
        <v>4500</v>
      </c>
      <c r="G39" s="9">
        <v>0</v>
      </c>
      <c r="H39" s="9">
        <f t="shared" si="4"/>
        <v>4500</v>
      </c>
      <c r="I39" s="9">
        <v>5000</v>
      </c>
      <c r="J39" s="9">
        <v>0</v>
      </c>
      <c r="K39" s="9">
        <f t="shared" si="5"/>
        <v>5000</v>
      </c>
      <c r="L39" s="9">
        <v>7500</v>
      </c>
      <c r="M39" s="9">
        <v>0</v>
      </c>
      <c r="N39" s="9">
        <f t="shared" si="6"/>
        <v>7500</v>
      </c>
      <c r="O39" s="11">
        <f>5150/1.19</f>
        <v>4327.7310924369749</v>
      </c>
      <c r="P39" s="12">
        <f t="shared" si="7"/>
        <v>822.26890756302521</v>
      </c>
      <c r="Q39" s="12">
        <f t="shared" si="8"/>
        <v>5150</v>
      </c>
      <c r="R39" s="11">
        <v>4600</v>
      </c>
      <c r="S39" s="12">
        <f t="shared" si="9"/>
        <v>874</v>
      </c>
      <c r="T39" s="12">
        <f t="shared" si="10"/>
        <v>5474</v>
      </c>
      <c r="U39" s="11">
        <f>4800/1.19</f>
        <v>4033.6134453781515</v>
      </c>
      <c r="V39" s="11">
        <f t="shared" si="0"/>
        <v>766.38655462184875</v>
      </c>
      <c r="W39" s="11">
        <f t="shared" si="1"/>
        <v>4800</v>
      </c>
      <c r="X39" s="18">
        <v>4600</v>
      </c>
      <c r="Y39" s="19">
        <v>874</v>
      </c>
      <c r="Z39" s="18">
        <v>5474</v>
      </c>
      <c r="AA39" s="18">
        <f>3710/1.19</f>
        <v>3117.6470588235297</v>
      </c>
      <c r="AB39" s="19">
        <f t="shared" si="2"/>
        <v>592.35294117647061</v>
      </c>
      <c r="AC39" s="18">
        <f t="shared" si="3"/>
        <v>3710.0000000000005</v>
      </c>
      <c r="AD39" s="18">
        <v>3970</v>
      </c>
      <c r="AE39" s="19">
        <f t="shared" si="11"/>
        <v>754.3</v>
      </c>
      <c r="AF39" s="18">
        <f t="shared" si="12"/>
        <v>4724.3</v>
      </c>
    </row>
    <row r="40" spans="3:32" x14ac:dyDescent="0.25">
      <c r="C40" s="3" t="s">
        <v>173</v>
      </c>
      <c r="D40" s="6" t="s">
        <v>7</v>
      </c>
      <c r="E40" s="6">
        <v>1</v>
      </c>
      <c r="F40" s="9">
        <v>9500</v>
      </c>
      <c r="G40" s="9">
        <v>0</v>
      </c>
      <c r="H40" s="9">
        <f t="shared" si="4"/>
        <v>9500</v>
      </c>
      <c r="I40" s="9">
        <v>9000</v>
      </c>
      <c r="J40" s="9">
        <v>0</v>
      </c>
      <c r="K40" s="9">
        <f t="shared" si="5"/>
        <v>9000</v>
      </c>
      <c r="L40" s="9">
        <v>8400</v>
      </c>
      <c r="M40" s="9">
        <v>0</v>
      </c>
      <c r="N40" s="9">
        <f t="shared" si="6"/>
        <v>8400</v>
      </c>
      <c r="O40" s="11">
        <f>9050/1.19</f>
        <v>7605.042016806723</v>
      </c>
      <c r="P40" s="12">
        <f t="shared" si="7"/>
        <v>1444.9579831932774</v>
      </c>
      <c r="Q40" s="12">
        <f t="shared" si="8"/>
        <v>9050</v>
      </c>
      <c r="R40" s="11">
        <v>8200</v>
      </c>
      <c r="S40" s="12">
        <f t="shared" si="9"/>
        <v>1558</v>
      </c>
      <c r="T40" s="12">
        <f t="shared" si="10"/>
        <v>9758</v>
      </c>
      <c r="U40" s="11">
        <f>15750/1.19</f>
        <v>13235.294117647059</v>
      </c>
      <c r="V40" s="11">
        <f t="shared" si="0"/>
        <v>2514.7058823529414</v>
      </c>
      <c r="W40" s="11">
        <f t="shared" si="1"/>
        <v>15750</v>
      </c>
      <c r="X40" s="18">
        <v>8200</v>
      </c>
      <c r="Y40" s="19">
        <v>1558</v>
      </c>
      <c r="Z40" s="18">
        <v>9758</v>
      </c>
      <c r="AA40" s="18">
        <f>6536/1.19</f>
        <v>5492.4369747899163</v>
      </c>
      <c r="AB40" s="19">
        <f t="shared" ref="AB40:AB103" si="13">AA40*19%</f>
        <v>1043.5630252100841</v>
      </c>
      <c r="AC40" s="18">
        <f t="shared" ref="AC40:AC103" si="14">+AA40+AB40</f>
        <v>6536</v>
      </c>
      <c r="AD40" s="18">
        <v>6970</v>
      </c>
      <c r="AE40" s="19">
        <f t="shared" si="11"/>
        <v>1324.3</v>
      </c>
      <c r="AF40" s="18">
        <f t="shared" si="12"/>
        <v>8294.2999999999993</v>
      </c>
    </row>
    <row r="41" spans="3:32" x14ac:dyDescent="0.25">
      <c r="C41" s="3" t="s">
        <v>174</v>
      </c>
      <c r="D41" s="6" t="s">
        <v>7</v>
      </c>
      <c r="E41" s="6">
        <v>1</v>
      </c>
      <c r="F41" s="9">
        <v>15000</v>
      </c>
      <c r="G41" s="9">
        <v>0</v>
      </c>
      <c r="H41" s="9">
        <f t="shared" si="4"/>
        <v>15000</v>
      </c>
      <c r="I41" s="9">
        <v>14000</v>
      </c>
      <c r="J41" s="9">
        <v>0</v>
      </c>
      <c r="K41" s="9">
        <f t="shared" si="5"/>
        <v>14000</v>
      </c>
      <c r="L41" s="9">
        <v>14200</v>
      </c>
      <c r="M41" s="9">
        <v>0</v>
      </c>
      <c r="N41" s="9">
        <f t="shared" si="6"/>
        <v>14200</v>
      </c>
      <c r="O41" s="11">
        <f>12900/1.19</f>
        <v>10840.336134453783</v>
      </c>
      <c r="P41" s="12">
        <f t="shared" si="7"/>
        <v>2059.6638655462189</v>
      </c>
      <c r="Q41" s="12">
        <f t="shared" si="8"/>
        <v>12900.000000000002</v>
      </c>
      <c r="R41" s="11">
        <v>11600</v>
      </c>
      <c r="S41" s="12">
        <f t="shared" si="9"/>
        <v>2204</v>
      </c>
      <c r="T41" s="12">
        <f t="shared" si="10"/>
        <v>13804</v>
      </c>
      <c r="U41" s="11">
        <f>12050/1.19</f>
        <v>10126.050420168067</v>
      </c>
      <c r="V41" s="11">
        <f t="shared" si="0"/>
        <v>1923.9495798319326</v>
      </c>
      <c r="W41" s="11">
        <f t="shared" si="1"/>
        <v>12050</v>
      </c>
      <c r="X41" s="18">
        <v>11600</v>
      </c>
      <c r="Y41" s="19">
        <v>2204</v>
      </c>
      <c r="Z41" s="18">
        <v>13804</v>
      </c>
      <c r="AA41" s="18">
        <f>9317/1.19</f>
        <v>7829.4117647058829</v>
      </c>
      <c r="AB41" s="19">
        <f t="shared" si="13"/>
        <v>1487.5882352941178</v>
      </c>
      <c r="AC41" s="18">
        <f t="shared" si="14"/>
        <v>9317</v>
      </c>
      <c r="AD41" s="18">
        <v>9440</v>
      </c>
      <c r="AE41" s="19">
        <f t="shared" si="11"/>
        <v>1793.6</v>
      </c>
      <c r="AF41" s="18">
        <f t="shared" si="12"/>
        <v>11233.6</v>
      </c>
    </row>
    <row r="42" spans="3:32" x14ac:dyDescent="0.25">
      <c r="C42" s="3" t="s">
        <v>175</v>
      </c>
      <c r="D42" s="6" t="s">
        <v>7</v>
      </c>
      <c r="E42" s="6">
        <v>1</v>
      </c>
      <c r="F42" s="9">
        <v>0</v>
      </c>
      <c r="G42" s="9">
        <v>0</v>
      </c>
      <c r="H42" s="9">
        <f t="shared" si="4"/>
        <v>0</v>
      </c>
      <c r="I42" s="9">
        <v>0</v>
      </c>
      <c r="J42" s="9">
        <v>0</v>
      </c>
      <c r="K42" s="9">
        <f t="shared" si="5"/>
        <v>0</v>
      </c>
      <c r="L42" s="9">
        <v>0</v>
      </c>
      <c r="M42" s="9">
        <v>0</v>
      </c>
      <c r="N42" s="9">
        <f t="shared" si="6"/>
        <v>0</v>
      </c>
      <c r="O42" s="11">
        <f>6627/1.19</f>
        <v>5568.90756302521</v>
      </c>
      <c r="P42" s="12">
        <f t="shared" si="7"/>
        <v>1058.09243697479</v>
      </c>
      <c r="Q42" s="12">
        <f t="shared" si="8"/>
        <v>6627</v>
      </c>
      <c r="R42" s="10">
        <v>23800</v>
      </c>
      <c r="S42" s="10">
        <f t="shared" si="9"/>
        <v>4522</v>
      </c>
      <c r="T42" s="10">
        <f t="shared" si="10"/>
        <v>28322</v>
      </c>
      <c r="U42" s="11">
        <f>19950/1.19</f>
        <v>16764.705882352941</v>
      </c>
      <c r="V42" s="11">
        <f t="shared" si="0"/>
        <v>3185.2941176470586</v>
      </c>
      <c r="W42" s="11">
        <f t="shared" si="1"/>
        <v>19950</v>
      </c>
      <c r="X42" s="18">
        <v>23800</v>
      </c>
      <c r="Y42" s="19">
        <v>4522</v>
      </c>
      <c r="Z42" s="18">
        <v>28322</v>
      </c>
      <c r="AA42" s="18"/>
      <c r="AB42" s="19">
        <f t="shared" si="13"/>
        <v>0</v>
      </c>
      <c r="AC42" s="18">
        <f t="shared" si="14"/>
        <v>0</v>
      </c>
      <c r="AD42" s="18">
        <v>18500</v>
      </c>
      <c r="AE42" s="19">
        <f t="shared" si="11"/>
        <v>3515</v>
      </c>
      <c r="AF42" s="18">
        <f t="shared" si="12"/>
        <v>22015</v>
      </c>
    </row>
    <row r="43" spans="3:32" x14ac:dyDescent="0.25">
      <c r="C43" s="3" t="s">
        <v>176</v>
      </c>
      <c r="D43" s="6" t="s">
        <v>7</v>
      </c>
      <c r="E43" s="6">
        <v>1</v>
      </c>
      <c r="F43" s="9">
        <v>0</v>
      </c>
      <c r="G43" s="9">
        <v>0</v>
      </c>
      <c r="H43" s="9">
        <f t="shared" si="4"/>
        <v>0</v>
      </c>
      <c r="I43" s="9">
        <v>0</v>
      </c>
      <c r="J43" s="9">
        <v>0</v>
      </c>
      <c r="K43" s="9">
        <f t="shared" si="5"/>
        <v>0</v>
      </c>
      <c r="L43" s="9">
        <v>5750</v>
      </c>
      <c r="M43" s="9">
        <v>0</v>
      </c>
      <c r="N43" s="9">
        <f t="shared" si="6"/>
        <v>5750</v>
      </c>
      <c r="O43" s="11">
        <f>4227/1.19</f>
        <v>3552.1008403361348</v>
      </c>
      <c r="P43" s="12">
        <f t="shared" si="7"/>
        <v>674.89915966386559</v>
      </c>
      <c r="Q43" s="12">
        <f t="shared" si="8"/>
        <v>4227</v>
      </c>
      <c r="R43" s="11">
        <v>4250</v>
      </c>
      <c r="S43" s="12">
        <f t="shared" si="9"/>
        <v>807.5</v>
      </c>
      <c r="T43" s="12">
        <f t="shared" si="10"/>
        <v>5057.5</v>
      </c>
      <c r="U43" s="11">
        <f>3650/1.19</f>
        <v>3067.2268907563025</v>
      </c>
      <c r="V43" s="11">
        <f t="shared" si="0"/>
        <v>582.77310924369749</v>
      </c>
      <c r="W43" s="11">
        <f t="shared" si="1"/>
        <v>3650</v>
      </c>
      <c r="X43" s="18">
        <v>4250</v>
      </c>
      <c r="Y43" s="19">
        <v>807.5</v>
      </c>
      <c r="Z43" s="18">
        <v>5057.5</v>
      </c>
      <c r="AA43" s="18"/>
      <c r="AB43" s="19">
        <f t="shared" si="13"/>
        <v>0</v>
      </c>
      <c r="AC43" s="18">
        <f t="shared" si="14"/>
        <v>0</v>
      </c>
      <c r="AD43" s="18">
        <v>3800</v>
      </c>
      <c r="AE43" s="19">
        <f t="shared" si="11"/>
        <v>722</v>
      </c>
      <c r="AF43" s="18">
        <f t="shared" si="12"/>
        <v>4522</v>
      </c>
    </row>
    <row r="44" spans="3:32" x14ac:dyDescent="0.25">
      <c r="C44" s="3" t="s">
        <v>177</v>
      </c>
      <c r="D44" s="6" t="s">
        <v>7</v>
      </c>
      <c r="E44" s="6">
        <v>1</v>
      </c>
      <c r="F44" s="9">
        <v>0</v>
      </c>
      <c r="G44" s="9">
        <v>0</v>
      </c>
      <c r="H44" s="9">
        <f t="shared" si="4"/>
        <v>0</v>
      </c>
      <c r="I44" s="9">
        <v>0</v>
      </c>
      <c r="J44" s="9">
        <v>0</v>
      </c>
      <c r="K44" s="9">
        <f t="shared" si="5"/>
        <v>0</v>
      </c>
      <c r="L44" s="9">
        <v>0</v>
      </c>
      <c r="M44" s="9">
        <v>0</v>
      </c>
      <c r="N44" s="9">
        <f t="shared" si="6"/>
        <v>0</v>
      </c>
      <c r="O44" s="11">
        <f>4090/1.19</f>
        <v>3436.9747899159665</v>
      </c>
      <c r="P44" s="12">
        <f t="shared" si="7"/>
        <v>653.02521008403369</v>
      </c>
      <c r="Q44" s="12">
        <f t="shared" si="8"/>
        <v>4090</v>
      </c>
      <c r="R44" s="11">
        <v>4200</v>
      </c>
      <c r="S44" s="12">
        <f t="shared" si="9"/>
        <v>798</v>
      </c>
      <c r="T44" s="12">
        <f t="shared" si="10"/>
        <v>4998</v>
      </c>
      <c r="U44" s="11">
        <f>3600/1.19</f>
        <v>3025.2100840336134</v>
      </c>
      <c r="V44" s="11">
        <f t="shared" si="0"/>
        <v>574.7899159663865</v>
      </c>
      <c r="W44" s="11">
        <f t="shared" si="1"/>
        <v>3600</v>
      </c>
      <c r="X44" s="18">
        <v>4200</v>
      </c>
      <c r="Y44" s="19">
        <v>798</v>
      </c>
      <c r="Z44" s="18">
        <v>4998</v>
      </c>
      <c r="AA44" s="18"/>
      <c r="AB44" s="19">
        <f t="shared" si="13"/>
        <v>0</v>
      </c>
      <c r="AC44" s="18">
        <f t="shared" si="14"/>
        <v>0</v>
      </c>
      <c r="AD44" s="18">
        <v>3250</v>
      </c>
      <c r="AE44" s="19">
        <f t="shared" si="11"/>
        <v>617.5</v>
      </c>
      <c r="AF44" s="18">
        <f t="shared" si="12"/>
        <v>3867.5</v>
      </c>
    </row>
    <row r="45" spans="3:32" x14ac:dyDescent="0.25">
      <c r="C45" s="3" t="s">
        <v>178</v>
      </c>
      <c r="D45" s="6" t="s">
        <v>7</v>
      </c>
      <c r="E45" s="6">
        <v>1</v>
      </c>
      <c r="F45" s="9">
        <v>0</v>
      </c>
      <c r="G45" s="9">
        <v>0</v>
      </c>
      <c r="H45" s="9">
        <f t="shared" si="4"/>
        <v>0</v>
      </c>
      <c r="I45" s="9">
        <v>0</v>
      </c>
      <c r="J45" s="9">
        <v>0</v>
      </c>
      <c r="K45" s="9">
        <f t="shared" si="5"/>
        <v>0</v>
      </c>
      <c r="L45" s="9">
        <v>0</v>
      </c>
      <c r="M45" s="9">
        <v>0</v>
      </c>
      <c r="N45" s="9">
        <f t="shared" si="6"/>
        <v>0</v>
      </c>
      <c r="O45" s="11">
        <f>22545/1.19</f>
        <v>18945.378151260506</v>
      </c>
      <c r="P45" s="12">
        <f t="shared" si="7"/>
        <v>3599.6218487394963</v>
      </c>
      <c r="Q45" s="12">
        <f t="shared" si="8"/>
        <v>22545</v>
      </c>
      <c r="R45" s="11">
        <v>23800</v>
      </c>
      <c r="S45" s="12">
        <f t="shared" si="9"/>
        <v>4522</v>
      </c>
      <c r="T45" s="12">
        <f t="shared" si="10"/>
        <v>28322</v>
      </c>
      <c r="U45" s="11">
        <f>21000/1.19</f>
        <v>17647.058823529413</v>
      </c>
      <c r="V45" s="11">
        <f t="shared" si="0"/>
        <v>3352.9411764705883</v>
      </c>
      <c r="W45" s="11">
        <f t="shared" si="1"/>
        <v>21000</v>
      </c>
      <c r="X45" s="18">
        <v>23800</v>
      </c>
      <c r="Y45" s="19">
        <v>4522</v>
      </c>
      <c r="Z45" s="18">
        <v>28322</v>
      </c>
      <c r="AA45" s="18"/>
      <c r="AB45" s="19">
        <f t="shared" si="13"/>
        <v>0</v>
      </c>
      <c r="AC45" s="18">
        <f t="shared" si="14"/>
        <v>0</v>
      </c>
      <c r="AD45" s="18">
        <v>17300</v>
      </c>
      <c r="AE45" s="19">
        <f t="shared" si="11"/>
        <v>3287</v>
      </c>
      <c r="AF45" s="18">
        <f t="shared" si="12"/>
        <v>20587</v>
      </c>
    </row>
    <row r="46" spans="3:32" x14ac:dyDescent="0.25">
      <c r="C46" s="3" t="s">
        <v>179</v>
      </c>
      <c r="D46" s="6" t="s">
        <v>7</v>
      </c>
      <c r="E46" s="6">
        <v>1</v>
      </c>
      <c r="F46" s="9">
        <v>0</v>
      </c>
      <c r="G46" s="9">
        <v>0</v>
      </c>
      <c r="H46" s="9">
        <f t="shared" si="4"/>
        <v>0</v>
      </c>
      <c r="I46" s="9">
        <v>0</v>
      </c>
      <c r="J46" s="9">
        <v>0</v>
      </c>
      <c r="K46" s="9">
        <f t="shared" si="5"/>
        <v>0</v>
      </c>
      <c r="L46" s="9">
        <v>2050</v>
      </c>
      <c r="M46" s="9">
        <v>0</v>
      </c>
      <c r="N46" s="9">
        <f t="shared" si="6"/>
        <v>2050</v>
      </c>
      <c r="O46" s="11">
        <f>909/1.19</f>
        <v>763.86554621848745</v>
      </c>
      <c r="P46" s="12">
        <f t="shared" si="7"/>
        <v>145.1344537815126</v>
      </c>
      <c r="Q46" s="12">
        <f t="shared" si="8"/>
        <v>909</v>
      </c>
      <c r="R46" s="11">
        <v>925</v>
      </c>
      <c r="S46" s="12">
        <f t="shared" si="9"/>
        <v>175.75</v>
      </c>
      <c r="T46" s="12">
        <f t="shared" si="10"/>
        <v>1100.75</v>
      </c>
      <c r="U46" s="11">
        <f>800/1.19</f>
        <v>672.26890756302521</v>
      </c>
      <c r="V46" s="11">
        <f t="shared" si="0"/>
        <v>127.73109243697479</v>
      </c>
      <c r="W46" s="11">
        <f t="shared" si="1"/>
        <v>800</v>
      </c>
      <c r="X46" s="18">
        <v>925</v>
      </c>
      <c r="Y46" s="19">
        <v>175.75</v>
      </c>
      <c r="Z46" s="18">
        <v>1100.75</v>
      </c>
      <c r="AA46" s="18"/>
      <c r="AB46" s="19">
        <f t="shared" si="13"/>
        <v>0</v>
      </c>
      <c r="AC46" s="18">
        <f t="shared" si="14"/>
        <v>0</v>
      </c>
      <c r="AD46" s="18">
        <v>860</v>
      </c>
      <c r="AE46" s="19">
        <f t="shared" si="11"/>
        <v>163.4</v>
      </c>
      <c r="AF46" s="18">
        <f t="shared" si="12"/>
        <v>1023.4</v>
      </c>
    </row>
    <row r="47" spans="3:32" x14ac:dyDescent="0.25">
      <c r="C47" s="3" t="s">
        <v>180</v>
      </c>
      <c r="D47" s="6" t="s">
        <v>7</v>
      </c>
      <c r="E47" s="6">
        <v>1</v>
      </c>
      <c r="F47" s="9">
        <v>0</v>
      </c>
      <c r="G47" s="9">
        <v>0</v>
      </c>
      <c r="H47" s="9">
        <f t="shared" si="4"/>
        <v>0</v>
      </c>
      <c r="I47" s="9">
        <v>0</v>
      </c>
      <c r="J47" s="9">
        <v>0</v>
      </c>
      <c r="K47" s="9">
        <f t="shared" si="5"/>
        <v>0</v>
      </c>
      <c r="L47" s="9">
        <v>0</v>
      </c>
      <c r="M47" s="9">
        <v>0</v>
      </c>
      <c r="N47" s="9">
        <f t="shared" si="6"/>
        <v>0</v>
      </c>
      <c r="O47" s="11">
        <f>14409/1.19</f>
        <v>12108.403361344539</v>
      </c>
      <c r="P47" s="12">
        <f t="shared" si="7"/>
        <v>2300.5966386554624</v>
      </c>
      <c r="Q47" s="12">
        <f t="shared" si="8"/>
        <v>14409.000000000002</v>
      </c>
      <c r="R47" s="11">
        <v>15600</v>
      </c>
      <c r="S47" s="12">
        <f t="shared" si="9"/>
        <v>2964</v>
      </c>
      <c r="T47" s="12">
        <f t="shared" si="10"/>
        <v>18564</v>
      </c>
      <c r="U47" s="11">
        <f>13100/1.19</f>
        <v>11008.403361344539</v>
      </c>
      <c r="V47" s="11">
        <f t="shared" si="0"/>
        <v>2091.5966386554624</v>
      </c>
      <c r="W47" s="11">
        <f t="shared" si="1"/>
        <v>13100.000000000002</v>
      </c>
      <c r="X47" s="18">
        <v>15600</v>
      </c>
      <c r="Y47" s="19">
        <v>2964</v>
      </c>
      <c r="Z47" s="18">
        <v>18564</v>
      </c>
      <c r="AA47" s="18"/>
      <c r="AB47" s="19">
        <f t="shared" si="13"/>
        <v>0</v>
      </c>
      <c r="AC47" s="18">
        <f t="shared" si="14"/>
        <v>0</v>
      </c>
      <c r="AD47" s="18">
        <v>11250</v>
      </c>
      <c r="AE47" s="19">
        <f t="shared" si="11"/>
        <v>2137.5</v>
      </c>
      <c r="AF47" s="18">
        <f t="shared" si="12"/>
        <v>13387.5</v>
      </c>
    </row>
    <row r="48" spans="3:32" x14ac:dyDescent="0.25">
      <c r="C48" s="3" t="s">
        <v>142</v>
      </c>
      <c r="D48" s="6" t="s">
        <v>20</v>
      </c>
      <c r="E48" s="6">
        <v>1</v>
      </c>
      <c r="F48" s="9">
        <v>0</v>
      </c>
      <c r="G48" s="9">
        <v>0</v>
      </c>
      <c r="H48" s="9">
        <f t="shared" si="4"/>
        <v>0</v>
      </c>
      <c r="I48" s="9">
        <v>0</v>
      </c>
      <c r="J48" s="9">
        <v>0</v>
      </c>
      <c r="K48" s="9">
        <f t="shared" si="5"/>
        <v>0</v>
      </c>
      <c r="L48" s="9">
        <v>455000</v>
      </c>
      <c r="M48" s="9">
        <v>0</v>
      </c>
      <c r="N48" s="9">
        <f t="shared" si="6"/>
        <v>455000</v>
      </c>
      <c r="O48" s="11">
        <f>355495/1.19</f>
        <v>298735.29411764705</v>
      </c>
      <c r="P48" s="12">
        <f t="shared" si="7"/>
        <v>56759.705882352937</v>
      </c>
      <c r="Q48" s="12">
        <f t="shared" si="8"/>
        <v>355495</v>
      </c>
      <c r="R48" s="11">
        <v>437000</v>
      </c>
      <c r="S48" s="12">
        <f t="shared" si="9"/>
        <v>83030</v>
      </c>
      <c r="T48" s="12">
        <f t="shared" si="10"/>
        <v>520030</v>
      </c>
      <c r="U48" s="11">
        <f>419800/1.19</f>
        <v>352773.10924369749</v>
      </c>
      <c r="V48" s="11">
        <f t="shared" si="0"/>
        <v>67026.890756302528</v>
      </c>
      <c r="W48" s="11">
        <f t="shared" si="1"/>
        <v>419800</v>
      </c>
      <c r="X48" s="18">
        <v>437000</v>
      </c>
      <c r="Y48" s="19">
        <v>83030</v>
      </c>
      <c r="Z48" s="18">
        <v>520030</v>
      </c>
      <c r="AA48" s="18"/>
      <c r="AB48" s="19">
        <f t="shared" si="13"/>
        <v>0</v>
      </c>
      <c r="AC48" s="18">
        <f t="shared" si="14"/>
        <v>0</v>
      </c>
      <c r="AD48" s="18">
        <v>283480</v>
      </c>
      <c r="AE48" s="19">
        <f t="shared" si="11"/>
        <v>53861.2</v>
      </c>
      <c r="AF48" s="18">
        <f t="shared" si="12"/>
        <v>337341.2</v>
      </c>
    </row>
    <row r="49" spans="3:32" x14ac:dyDescent="0.25">
      <c r="C49" s="3" t="s">
        <v>118</v>
      </c>
      <c r="D49" s="6" t="s">
        <v>21</v>
      </c>
      <c r="E49" s="6">
        <v>1</v>
      </c>
      <c r="F49" s="9">
        <v>81000</v>
      </c>
      <c r="G49" s="9">
        <v>0</v>
      </c>
      <c r="H49" s="9">
        <f t="shared" si="4"/>
        <v>81000</v>
      </c>
      <c r="I49" s="9">
        <v>80000</v>
      </c>
      <c r="J49" s="9">
        <v>0</v>
      </c>
      <c r="K49" s="9">
        <f t="shared" si="5"/>
        <v>80000</v>
      </c>
      <c r="L49" s="9">
        <v>100000</v>
      </c>
      <c r="M49" s="9">
        <v>0</v>
      </c>
      <c r="N49" s="9">
        <f t="shared" si="6"/>
        <v>100000</v>
      </c>
      <c r="O49" s="11">
        <f>79380/1.19</f>
        <v>66705.882352941175</v>
      </c>
      <c r="P49" s="12">
        <f t="shared" si="7"/>
        <v>12674.117647058823</v>
      </c>
      <c r="Q49" s="12">
        <f t="shared" si="8"/>
        <v>79380</v>
      </c>
      <c r="R49" s="10">
        <v>99700</v>
      </c>
      <c r="S49" s="10">
        <f t="shared" si="9"/>
        <v>18943</v>
      </c>
      <c r="T49" s="10">
        <f t="shared" si="10"/>
        <v>118643</v>
      </c>
      <c r="U49" s="11">
        <f>95450/1.19</f>
        <v>80210.084033613442</v>
      </c>
      <c r="V49" s="11">
        <f t="shared" si="0"/>
        <v>15239.915966386554</v>
      </c>
      <c r="W49" s="11">
        <f t="shared" si="1"/>
        <v>95450</v>
      </c>
      <c r="X49" s="18">
        <v>99700</v>
      </c>
      <c r="Y49" s="19">
        <v>18943</v>
      </c>
      <c r="Z49" s="18">
        <v>118643</v>
      </c>
      <c r="AA49" s="18"/>
      <c r="AB49" s="19">
        <f t="shared" si="13"/>
        <v>0</v>
      </c>
      <c r="AC49" s="18">
        <f t="shared" si="14"/>
        <v>0</v>
      </c>
      <c r="AD49" s="18">
        <v>69670</v>
      </c>
      <c r="AE49" s="19">
        <f t="shared" si="11"/>
        <v>13237.3</v>
      </c>
      <c r="AF49" s="18">
        <f t="shared" si="12"/>
        <v>82907.3</v>
      </c>
    </row>
    <row r="50" spans="3:32" x14ac:dyDescent="0.25">
      <c r="C50" s="3" t="s">
        <v>70</v>
      </c>
      <c r="D50" s="6" t="s">
        <v>140</v>
      </c>
      <c r="E50" s="6">
        <v>1</v>
      </c>
      <c r="F50" s="9">
        <v>6000</v>
      </c>
      <c r="G50" s="9">
        <v>0</v>
      </c>
      <c r="H50" s="9">
        <f t="shared" si="4"/>
        <v>6000</v>
      </c>
      <c r="I50" s="9">
        <v>6000</v>
      </c>
      <c r="J50" s="9">
        <v>0</v>
      </c>
      <c r="K50" s="9">
        <f t="shared" si="5"/>
        <v>6000</v>
      </c>
      <c r="L50" s="9">
        <v>7200</v>
      </c>
      <c r="M50" s="9">
        <v>0</v>
      </c>
      <c r="N50" s="9">
        <f t="shared" si="6"/>
        <v>7200</v>
      </c>
      <c r="O50" s="11">
        <f>4735/1.19</f>
        <v>3978.9915966386557</v>
      </c>
      <c r="P50" s="12">
        <f t="shared" si="7"/>
        <v>756.00840336134456</v>
      </c>
      <c r="Q50" s="12">
        <f t="shared" si="8"/>
        <v>4735</v>
      </c>
      <c r="R50" s="11">
        <v>6500</v>
      </c>
      <c r="S50" s="12">
        <f t="shared" si="9"/>
        <v>1235</v>
      </c>
      <c r="T50" s="12">
        <f t="shared" si="10"/>
        <v>7735</v>
      </c>
      <c r="U50" s="11">
        <f>5900/1.19</f>
        <v>4957.9831932773113</v>
      </c>
      <c r="V50" s="11">
        <f t="shared" si="0"/>
        <v>942.01680672268913</v>
      </c>
      <c r="W50" s="11">
        <f t="shared" si="1"/>
        <v>5900</v>
      </c>
      <c r="X50" s="18">
        <v>6500</v>
      </c>
      <c r="Y50" s="19">
        <v>1235</v>
      </c>
      <c r="Z50" s="18">
        <v>7735</v>
      </c>
      <c r="AA50" s="18"/>
      <c r="AB50" s="19">
        <f t="shared" si="13"/>
        <v>0</v>
      </c>
      <c r="AC50" s="18">
        <f t="shared" si="14"/>
        <v>0</v>
      </c>
      <c r="AD50" s="18">
        <v>4230</v>
      </c>
      <c r="AE50" s="19">
        <f t="shared" si="11"/>
        <v>803.7</v>
      </c>
      <c r="AF50" s="18">
        <f t="shared" si="12"/>
        <v>5033.7</v>
      </c>
    </row>
    <row r="51" spans="3:32" x14ac:dyDescent="0.25">
      <c r="C51" s="3" t="s">
        <v>71</v>
      </c>
      <c r="D51" s="6" t="s">
        <v>140</v>
      </c>
      <c r="E51" s="6">
        <v>1</v>
      </c>
      <c r="F51" s="9">
        <v>6000</v>
      </c>
      <c r="G51" s="9">
        <v>0</v>
      </c>
      <c r="H51" s="9">
        <f t="shared" si="4"/>
        <v>6000</v>
      </c>
      <c r="I51" s="9">
        <v>6000</v>
      </c>
      <c r="J51" s="9">
        <v>0</v>
      </c>
      <c r="K51" s="9">
        <f t="shared" si="5"/>
        <v>6000</v>
      </c>
      <c r="L51" s="9">
        <v>5500</v>
      </c>
      <c r="M51" s="9">
        <v>0</v>
      </c>
      <c r="N51" s="9">
        <f t="shared" si="6"/>
        <v>5500</v>
      </c>
      <c r="O51" s="11">
        <f>4600/1.19</f>
        <v>3865.546218487395</v>
      </c>
      <c r="P51" s="12">
        <f t="shared" si="7"/>
        <v>734.45378151260502</v>
      </c>
      <c r="Q51" s="12">
        <f t="shared" si="8"/>
        <v>4600</v>
      </c>
      <c r="R51" s="11">
        <v>4500</v>
      </c>
      <c r="S51" s="12">
        <f t="shared" si="9"/>
        <v>855</v>
      </c>
      <c r="T51" s="12">
        <f t="shared" si="10"/>
        <v>5355</v>
      </c>
      <c r="U51" s="11">
        <f>5450/1.19</f>
        <v>4579.8319327731097</v>
      </c>
      <c r="V51" s="11">
        <f t="shared" si="0"/>
        <v>870.1680672268908</v>
      </c>
      <c r="W51" s="11">
        <f t="shared" si="1"/>
        <v>5450</v>
      </c>
      <c r="X51" s="18">
        <v>4500</v>
      </c>
      <c r="Y51" s="19">
        <v>855</v>
      </c>
      <c r="Z51" s="18">
        <v>5355</v>
      </c>
      <c r="AA51" s="18"/>
      <c r="AB51" s="19">
        <f t="shared" si="13"/>
        <v>0</v>
      </c>
      <c r="AC51" s="18">
        <f t="shared" si="14"/>
        <v>0</v>
      </c>
      <c r="AD51" s="18">
        <v>3590</v>
      </c>
      <c r="AE51" s="19">
        <f t="shared" si="11"/>
        <v>682.1</v>
      </c>
      <c r="AF51" s="18">
        <f t="shared" si="12"/>
        <v>4272.1000000000004</v>
      </c>
    </row>
    <row r="52" spans="3:32" x14ac:dyDescent="0.25">
      <c r="C52" s="3" t="s">
        <v>72</v>
      </c>
      <c r="D52" s="6" t="s">
        <v>7</v>
      </c>
      <c r="E52" s="6">
        <v>1</v>
      </c>
      <c r="F52" s="9">
        <v>0</v>
      </c>
      <c r="G52" s="9">
        <v>0</v>
      </c>
      <c r="H52" s="9">
        <f t="shared" si="4"/>
        <v>0</v>
      </c>
      <c r="I52" s="9">
        <v>0</v>
      </c>
      <c r="J52" s="9">
        <v>0</v>
      </c>
      <c r="K52" s="9">
        <f t="shared" si="5"/>
        <v>0</v>
      </c>
      <c r="L52" s="9">
        <v>6200</v>
      </c>
      <c r="M52" s="9">
        <v>0</v>
      </c>
      <c r="N52" s="9">
        <f t="shared" si="6"/>
        <v>6200</v>
      </c>
      <c r="O52" s="11">
        <f>5100/1.19</f>
        <v>4285.7142857142862</v>
      </c>
      <c r="P52" s="12">
        <f t="shared" si="7"/>
        <v>814.28571428571445</v>
      </c>
      <c r="Q52" s="12">
        <f t="shared" si="8"/>
        <v>5100.0000000000009</v>
      </c>
      <c r="R52" s="11">
        <v>5700</v>
      </c>
      <c r="S52" s="12">
        <f t="shared" si="9"/>
        <v>1083</v>
      </c>
      <c r="T52" s="12">
        <f t="shared" si="10"/>
        <v>6783</v>
      </c>
      <c r="U52" s="11">
        <f>5750/1.19</f>
        <v>4831.9327731092435</v>
      </c>
      <c r="V52" s="11">
        <f t="shared" si="0"/>
        <v>918.06722689075627</v>
      </c>
      <c r="W52" s="11">
        <f t="shared" si="1"/>
        <v>5750</v>
      </c>
      <c r="X52" s="18">
        <v>5700</v>
      </c>
      <c r="Y52" s="19">
        <v>1083</v>
      </c>
      <c r="Z52" s="18">
        <v>6783</v>
      </c>
      <c r="AA52" s="18"/>
      <c r="AB52" s="19">
        <f t="shared" si="13"/>
        <v>0</v>
      </c>
      <c r="AC52" s="18">
        <f t="shared" si="14"/>
        <v>0</v>
      </c>
      <c r="AD52" s="18"/>
      <c r="AE52" s="19">
        <f t="shared" si="11"/>
        <v>0</v>
      </c>
      <c r="AF52" s="18">
        <f t="shared" si="12"/>
        <v>0</v>
      </c>
    </row>
    <row r="53" spans="3:32" x14ac:dyDescent="0.25">
      <c r="C53" s="3" t="s">
        <v>73</v>
      </c>
      <c r="D53" s="6" t="s">
        <v>7</v>
      </c>
      <c r="E53" s="6">
        <v>1</v>
      </c>
      <c r="F53" s="9">
        <v>0</v>
      </c>
      <c r="G53" s="9">
        <v>0</v>
      </c>
      <c r="H53" s="9">
        <f t="shared" si="4"/>
        <v>0</v>
      </c>
      <c r="I53" s="9">
        <v>0</v>
      </c>
      <c r="J53" s="9">
        <v>0</v>
      </c>
      <c r="K53" s="9">
        <f t="shared" si="5"/>
        <v>0</v>
      </c>
      <c r="L53" s="9">
        <v>6900</v>
      </c>
      <c r="M53" s="9">
        <v>0</v>
      </c>
      <c r="N53" s="9">
        <f t="shared" si="6"/>
        <v>6900</v>
      </c>
      <c r="O53" s="11">
        <f>6800/1.19</f>
        <v>5714.2857142857147</v>
      </c>
      <c r="P53" s="12">
        <f t="shared" si="7"/>
        <v>1085.7142857142858</v>
      </c>
      <c r="Q53" s="12">
        <f t="shared" si="8"/>
        <v>6800</v>
      </c>
      <c r="R53" s="11">
        <v>7200</v>
      </c>
      <c r="S53" s="12">
        <f t="shared" si="9"/>
        <v>1368</v>
      </c>
      <c r="T53" s="12">
        <f t="shared" si="10"/>
        <v>8568</v>
      </c>
      <c r="U53" s="11">
        <f>6750/1.19</f>
        <v>5672.2689075630251</v>
      </c>
      <c r="V53" s="11">
        <f t="shared" si="0"/>
        <v>1077.7310924369747</v>
      </c>
      <c r="W53" s="11">
        <f t="shared" si="1"/>
        <v>6750</v>
      </c>
      <c r="X53" s="18">
        <v>7200</v>
      </c>
      <c r="Y53" s="19">
        <v>1368</v>
      </c>
      <c r="Z53" s="18">
        <v>8568</v>
      </c>
      <c r="AA53" s="18"/>
      <c r="AB53" s="19">
        <f t="shared" si="13"/>
        <v>0</v>
      </c>
      <c r="AC53" s="18">
        <f t="shared" si="14"/>
        <v>0</v>
      </c>
      <c r="AD53" s="18"/>
      <c r="AE53" s="19">
        <f t="shared" si="11"/>
        <v>0</v>
      </c>
      <c r="AF53" s="18">
        <f t="shared" si="12"/>
        <v>0</v>
      </c>
    </row>
    <row r="54" spans="3:32" x14ac:dyDescent="0.25">
      <c r="C54" s="3" t="s">
        <v>210</v>
      </c>
      <c r="D54" s="6" t="s">
        <v>7</v>
      </c>
      <c r="E54" s="6">
        <v>1</v>
      </c>
      <c r="F54" s="9">
        <v>500</v>
      </c>
      <c r="G54" s="9">
        <v>0</v>
      </c>
      <c r="H54" s="9">
        <f t="shared" ref="H54" si="15">+F54</f>
        <v>500</v>
      </c>
      <c r="I54" s="9">
        <v>500</v>
      </c>
      <c r="J54" s="9">
        <v>0</v>
      </c>
      <c r="K54" s="9">
        <f t="shared" si="5"/>
        <v>500</v>
      </c>
      <c r="L54" s="9">
        <v>0</v>
      </c>
      <c r="M54" s="9">
        <v>0</v>
      </c>
      <c r="N54" s="9">
        <f t="shared" si="6"/>
        <v>0</v>
      </c>
      <c r="O54" s="11"/>
      <c r="P54" s="12">
        <f t="shared" si="7"/>
        <v>0</v>
      </c>
      <c r="Q54" s="12">
        <f t="shared" si="8"/>
        <v>0</v>
      </c>
      <c r="R54" s="11"/>
      <c r="S54" s="12">
        <f t="shared" si="9"/>
        <v>0</v>
      </c>
      <c r="T54" s="12">
        <f t="shared" si="10"/>
        <v>0</v>
      </c>
      <c r="U54" s="11">
        <v>0</v>
      </c>
      <c r="V54" s="11">
        <f t="shared" ref="V54" si="16">U54*19%</f>
        <v>0</v>
      </c>
      <c r="W54" s="11">
        <f t="shared" ref="W54" si="17">U54+V54</f>
        <v>0</v>
      </c>
      <c r="X54" s="18"/>
      <c r="Y54" s="19">
        <v>0</v>
      </c>
      <c r="Z54" s="18">
        <v>0</v>
      </c>
      <c r="AA54" s="18"/>
      <c r="AB54" s="19">
        <f t="shared" si="13"/>
        <v>0</v>
      </c>
      <c r="AC54" s="18">
        <f t="shared" si="14"/>
        <v>0</v>
      </c>
      <c r="AD54" s="18">
        <v>910</v>
      </c>
      <c r="AE54" s="19">
        <f t="shared" si="11"/>
        <v>172.9</v>
      </c>
      <c r="AF54" s="18">
        <f t="shared" si="12"/>
        <v>1082.9000000000001</v>
      </c>
    </row>
    <row r="55" spans="3:32" x14ac:dyDescent="0.25">
      <c r="C55" s="3" t="s">
        <v>209</v>
      </c>
      <c r="D55" s="6" t="s">
        <v>7</v>
      </c>
      <c r="E55" s="6">
        <v>1</v>
      </c>
      <c r="F55" s="9">
        <v>1200</v>
      </c>
      <c r="G55" s="9">
        <v>0</v>
      </c>
      <c r="H55" s="9">
        <f t="shared" si="4"/>
        <v>1200</v>
      </c>
      <c r="I55" s="9">
        <v>1200</v>
      </c>
      <c r="J55" s="9">
        <v>0</v>
      </c>
      <c r="K55" s="9">
        <f t="shared" si="5"/>
        <v>1200</v>
      </c>
      <c r="L55" s="9">
        <v>0</v>
      </c>
      <c r="M55" s="9">
        <v>0</v>
      </c>
      <c r="N55" s="9">
        <f t="shared" si="6"/>
        <v>0</v>
      </c>
      <c r="O55" s="11"/>
      <c r="P55" s="12">
        <f t="shared" si="7"/>
        <v>0</v>
      </c>
      <c r="Q55" s="12">
        <f t="shared" si="8"/>
        <v>0</v>
      </c>
      <c r="R55" s="11"/>
      <c r="S55" s="12">
        <f t="shared" si="9"/>
        <v>0</v>
      </c>
      <c r="T55" s="12">
        <f t="shared" si="10"/>
        <v>0</v>
      </c>
      <c r="U55" s="11">
        <v>0</v>
      </c>
      <c r="V55" s="11">
        <f t="shared" si="0"/>
        <v>0</v>
      </c>
      <c r="W55" s="11">
        <f t="shared" si="1"/>
        <v>0</v>
      </c>
      <c r="X55" s="18"/>
      <c r="Y55" s="19">
        <v>0</v>
      </c>
      <c r="Z55" s="18">
        <v>0</v>
      </c>
      <c r="AA55" s="18"/>
      <c r="AB55" s="19">
        <f t="shared" si="13"/>
        <v>0</v>
      </c>
      <c r="AC55" s="18">
        <f t="shared" si="14"/>
        <v>0</v>
      </c>
      <c r="AD55" s="18"/>
      <c r="AE55" s="19">
        <f t="shared" si="11"/>
        <v>0</v>
      </c>
      <c r="AF55" s="18">
        <f t="shared" si="12"/>
        <v>0</v>
      </c>
    </row>
    <row r="56" spans="3:32" x14ac:dyDescent="0.25">
      <c r="C56" s="3" t="s">
        <v>60</v>
      </c>
      <c r="D56" s="6" t="s">
        <v>7</v>
      </c>
      <c r="E56" s="6">
        <v>1</v>
      </c>
      <c r="F56" s="9">
        <v>0</v>
      </c>
      <c r="G56" s="9">
        <v>0</v>
      </c>
      <c r="H56" s="9">
        <f t="shared" si="4"/>
        <v>0</v>
      </c>
      <c r="I56" s="9">
        <v>0</v>
      </c>
      <c r="J56" s="9">
        <v>0</v>
      </c>
      <c r="K56" s="9">
        <f t="shared" si="5"/>
        <v>0</v>
      </c>
      <c r="L56" s="9">
        <v>0</v>
      </c>
      <c r="M56" s="9">
        <v>0</v>
      </c>
      <c r="N56" s="9">
        <f t="shared" si="6"/>
        <v>0</v>
      </c>
      <c r="O56" s="11"/>
      <c r="P56" s="12">
        <f t="shared" si="7"/>
        <v>0</v>
      </c>
      <c r="Q56" s="12">
        <f t="shared" si="8"/>
        <v>0</v>
      </c>
      <c r="R56" s="10">
        <v>0</v>
      </c>
      <c r="S56" s="10">
        <f t="shared" si="9"/>
        <v>0</v>
      </c>
      <c r="T56" s="10">
        <f t="shared" si="10"/>
        <v>0</v>
      </c>
      <c r="U56" s="11">
        <f>37750/1.19</f>
        <v>31722.689075630253</v>
      </c>
      <c r="V56" s="11">
        <f t="shared" si="0"/>
        <v>6027.3109243697481</v>
      </c>
      <c r="W56" s="11">
        <f t="shared" si="1"/>
        <v>37750</v>
      </c>
      <c r="X56" s="18">
        <v>0</v>
      </c>
      <c r="Y56" s="19">
        <v>0</v>
      </c>
      <c r="Z56" s="18">
        <v>0</v>
      </c>
      <c r="AA56" s="18"/>
      <c r="AB56" s="19">
        <f t="shared" si="13"/>
        <v>0</v>
      </c>
      <c r="AC56" s="18">
        <f t="shared" si="14"/>
        <v>0</v>
      </c>
      <c r="AD56" s="18">
        <v>58140</v>
      </c>
      <c r="AE56" s="19">
        <f t="shared" si="11"/>
        <v>11046.6</v>
      </c>
      <c r="AF56" s="18">
        <f t="shared" si="12"/>
        <v>69186.600000000006</v>
      </c>
    </row>
    <row r="57" spans="3:32" x14ac:dyDescent="0.25">
      <c r="C57" s="3" t="s">
        <v>51</v>
      </c>
      <c r="D57" s="6" t="s">
        <v>7</v>
      </c>
      <c r="E57" s="6">
        <v>1</v>
      </c>
      <c r="F57" s="9">
        <v>0</v>
      </c>
      <c r="G57" s="9">
        <v>0</v>
      </c>
      <c r="H57" s="9">
        <f t="shared" si="4"/>
        <v>0</v>
      </c>
      <c r="I57" s="9">
        <v>0</v>
      </c>
      <c r="J57" s="9">
        <v>0</v>
      </c>
      <c r="K57" s="9">
        <f t="shared" si="5"/>
        <v>0</v>
      </c>
      <c r="L57" s="9">
        <v>0</v>
      </c>
      <c r="M57" s="9">
        <v>0</v>
      </c>
      <c r="N57" s="9">
        <f t="shared" si="6"/>
        <v>0</v>
      </c>
      <c r="O57" s="11">
        <f>37694/1.19</f>
        <v>31675.63025210084</v>
      </c>
      <c r="P57" s="12">
        <f t="shared" si="7"/>
        <v>6018.3697478991598</v>
      </c>
      <c r="Q57" s="12">
        <f t="shared" si="8"/>
        <v>37694</v>
      </c>
      <c r="R57" s="11">
        <v>41500</v>
      </c>
      <c r="S57" s="12">
        <f t="shared" si="9"/>
        <v>7885</v>
      </c>
      <c r="T57" s="12">
        <f t="shared" si="10"/>
        <v>49385</v>
      </c>
      <c r="U57" s="11">
        <v>0</v>
      </c>
      <c r="V57" s="11">
        <f t="shared" si="0"/>
        <v>0</v>
      </c>
      <c r="W57" s="11">
        <f t="shared" si="1"/>
        <v>0</v>
      </c>
      <c r="X57" s="18">
        <v>41500</v>
      </c>
      <c r="Y57" s="19">
        <v>7885</v>
      </c>
      <c r="Z57" s="18">
        <v>49385</v>
      </c>
      <c r="AA57" s="18">
        <v>28622</v>
      </c>
      <c r="AB57" s="19">
        <f t="shared" si="13"/>
        <v>5438.18</v>
      </c>
      <c r="AC57" s="18">
        <f t="shared" si="14"/>
        <v>34060.18</v>
      </c>
      <c r="AD57" s="18">
        <v>34900</v>
      </c>
      <c r="AE57" s="19">
        <f t="shared" si="11"/>
        <v>6631</v>
      </c>
      <c r="AF57" s="18">
        <f t="shared" si="12"/>
        <v>41531</v>
      </c>
    </row>
    <row r="58" spans="3:32" x14ac:dyDescent="0.25">
      <c r="C58" s="3" t="s">
        <v>214</v>
      </c>
      <c r="D58" s="6" t="s">
        <v>62</v>
      </c>
      <c r="E58" s="6">
        <v>1</v>
      </c>
      <c r="F58" s="9">
        <v>2700</v>
      </c>
      <c r="G58" s="9">
        <v>0</v>
      </c>
      <c r="H58" s="9">
        <f t="shared" si="4"/>
        <v>2700</v>
      </c>
      <c r="I58" s="9">
        <v>2700</v>
      </c>
      <c r="J58" s="9">
        <v>0</v>
      </c>
      <c r="K58" s="9">
        <f t="shared" si="5"/>
        <v>2700</v>
      </c>
      <c r="L58" s="9">
        <v>3200</v>
      </c>
      <c r="M58" s="9">
        <v>0</v>
      </c>
      <c r="N58" s="9">
        <f t="shared" si="6"/>
        <v>3200</v>
      </c>
      <c r="O58" s="11"/>
      <c r="P58" s="12">
        <f t="shared" si="7"/>
        <v>0</v>
      </c>
      <c r="Q58" s="12">
        <f t="shared" si="8"/>
        <v>0</v>
      </c>
      <c r="R58" s="11">
        <v>2500</v>
      </c>
      <c r="S58" s="12">
        <f t="shared" si="9"/>
        <v>475</v>
      </c>
      <c r="T58" s="12">
        <f t="shared" si="10"/>
        <v>2975</v>
      </c>
      <c r="U58" s="11">
        <f>3250/1.19</f>
        <v>2731.09243697479</v>
      </c>
      <c r="V58" s="11">
        <f t="shared" si="0"/>
        <v>518.90756302521015</v>
      </c>
      <c r="W58" s="11">
        <f t="shared" si="1"/>
        <v>3250</v>
      </c>
      <c r="X58" s="18">
        <v>2500</v>
      </c>
      <c r="Y58" s="19">
        <v>475</v>
      </c>
      <c r="Z58" s="18">
        <v>2975</v>
      </c>
      <c r="AA58" s="18"/>
      <c r="AB58" s="19">
        <f t="shared" si="13"/>
        <v>0</v>
      </c>
      <c r="AC58" s="18">
        <f t="shared" si="14"/>
        <v>0</v>
      </c>
      <c r="AD58" s="18">
        <v>37360</v>
      </c>
      <c r="AE58" s="19">
        <f t="shared" si="11"/>
        <v>7098.4</v>
      </c>
      <c r="AF58" s="18">
        <f t="shared" si="12"/>
        <v>44458.400000000001</v>
      </c>
    </row>
    <row r="59" spans="3:32" x14ac:dyDescent="0.25">
      <c r="C59" s="3" t="s">
        <v>74</v>
      </c>
      <c r="D59" s="6" t="s">
        <v>62</v>
      </c>
      <c r="E59" s="6">
        <v>1</v>
      </c>
      <c r="F59" s="9">
        <v>1300</v>
      </c>
      <c r="G59" s="9">
        <v>0</v>
      </c>
      <c r="H59" s="9">
        <f t="shared" si="4"/>
        <v>1300</v>
      </c>
      <c r="I59" s="9">
        <v>1300</v>
      </c>
      <c r="J59" s="9">
        <v>0</v>
      </c>
      <c r="K59" s="9">
        <f t="shared" si="5"/>
        <v>1300</v>
      </c>
      <c r="L59" s="9">
        <v>1300</v>
      </c>
      <c r="M59" s="9">
        <v>0</v>
      </c>
      <c r="N59" s="9">
        <f t="shared" si="6"/>
        <v>1300</v>
      </c>
      <c r="O59" s="11"/>
      <c r="P59" s="12">
        <f t="shared" si="7"/>
        <v>0</v>
      </c>
      <c r="Q59" s="12">
        <f t="shared" si="8"/>
        <v>0</v>
      </c>
      <c r="R59" s="11">
        <v>1260</v>
      </c>
      <c r="S59" s="12">
        <f t="shared" si="9"/>
        <v>239.4</v>
      </c>
      <c r="T59" s="12">
        <f t="shared" si="10"/>
        <v>1499.4</v>
      </c>
      <c r="U59" s="11">
        <f>2550/1.19</f>
        <v>2142.8571428571431</v>
      </c>
      <c r="V59" s="11">
        <f t="shared" si="0"/>
        <v>407.14285714285722</v>
      </c>
      <c r="W59" s="11">
        <f t="shared" si="1"/>
        <v>2550.0000000000005</v>
      </c>
      <c r="X59" s="18">
        <v>1260</v>
      </c>
      <c r="Y59" s="19">
        <v>239.4</v>
      </c>
      <c r="Z59" s="18">
        <v>1499.4</v>
      </c>
      <c r="AA59" s="18"/>
      <c r="AB59" s="19">
        <f t="shared" si="13"/>
        <v>0</v>
      </c>
      <c r="AC59" s="18">
        <f t="shared" si="14"/>
        <v>0</v>
      </c>
      <c r="AD59" s="18">
        <v>26520</v>
      </c>
      <c r="AE59" s="19">
        <f t="shared" si="11"/>
        <v>5038.8</v>
      </c>
      <c r="AF59" s="18">
        <f t="shared" si="12"/>
        <v>31558.799999999999</v>
      </c>
    </row>
    <row r="60" spans="3:32" x14ac:dyDescent="0.25">
      <c r="C60" s="3" t="s">
        <v>57</v>
      </c>
      <c r="D60" s="6" t="s">
        <v>18</v>
      </c>
      <c r="E60" s="6">
        <v>1</v>
      </c>
      <c r="F60" s="9">
        <v>33000</v>
      </c>
      <c r="G60" s="9">
        <v>0</v>
      </c>
      <c r="H60" s="9">
        <f t="shared" si="4"/>
        <v>33000</v>
      </c>
      <c r="I60" s="9">
        <v>33000</v>
      </c>
      <c r="J60" s="9">
        <v>0</v>
      </c>
      <c r="K60" s="9">
        <f t="shared" si="5"/>
        <v>33000</v>
      </c>
      <c r="L60" s="9">
        <v>33000</v>
      </c>
      <c r="M60" s="9">
        <v>0</v>
      </c>
      <c r="N60" s="9">
        <f t="shared" si="6"/>
        <v>33000</v>
      </c>
      <c r="O60" s="11">
        <f>26449/1.19</f>
        <v>22226.050420168067</v>
      </c>
      <c r="P60" s="12">
        <f t="shared" si="7"/>
        <v>4222.9495798319331</v>
      </c>
      <c r="Q60" s="12">
        <f t="shared" si="8"/>
        <v>26449</v>
      </c>
      <c r="R60" s="11">
        <v>33500</v>
      </c>
      <c r="S60" s="12">
        <f t="shared" si="9"/>
        <v>6365</v>
      </c>
      <c r="T60" s="12">
        <f t="shared" si="10"/>
        <v>39865</v>
      </c>
      <c r="U60" s="11">
        <f>29500/1.19</f>
        <v>24789.915966386554</v>
      </c>
      <c r="V60" s="11">
        <f t="shared" si="0"/>
        <v>4710.0840336134452</v>
      </c>
      <c r="W60" s="11">
        <f t="shared" si="1"/>
        <v>29500</v>
      </c>
      <c r="X60" s="18">
        <v>33500</v>
      </c>
      <c r="Y60" s="19">
        <v>6365</v>
      </c>
      <c r="Z60" s="18">
        <v>39865</v>
      </c>
      <c r="AA60" s="18"/>
      <c r="AB60" s="19">
        <f t="shared" si="13"/>
        <v>0</v>
      </c>
      <c r="AC60" s="18">
        <f t="shared" si="14"/>
        <v>0</v>
      </c>
      <c r="AD60" s="18"/>
      <c r="AE60" s="19">
        <f t="shared" si="11"/>
        <v>0</v>
      </c>
      <c r="AF60" s="18">
        <f t="shared" si="12"/>
        <v>0</v>
      </c>
    </row>
    <row r="61" spans="3:32" x14ac:dyDescent="0.25">
      <c r="C61" s="3" t="s">
        <v>75</v>
      </c>
      <c r="D61" s="6" t="s">
        <v>7</v>
      </c>
      <c r="E61" s="6">
        <v>1</v>
      </c>
      <c r="F61" s="9">
        <v>11000</v>
      </c>
      <c r="G61" s="9">
        <v>0</v>
      </c>
      <c r="H61" s="9">
        <f t="shared" si="4"/>
        <v>11000</v>
      </c>
      <c r="I61" s="9">
        <v>10500</v>
      </c>
      <c r="J61" s="9">
        <v>0</v>
      </c>
      <c r="K61" s="9">
        <f t="shared" si="5"/>
        <v>10500</v>
      </c>
      <c r="L61" s="9">
        <v>35900</v>
      </c>
      <c r="M61" s="9">
        <v>0</v>
      </c>
      <c r="N61" s="9">
        <f t="shared" si="6"/>
        <v>35900</v>
      </c>
      <c r="O61" s="11">
        <f>20700/1.19</f>
        <v>17394.957983193279</v>
      </c>
      <c r="P61" s="12">
        <f t="shared" si="7"/>
        <v>3305.042016806723</v>
      </c>
      <c r="Q61" s="12">
        <f t="shared" si="8"/>
        <v>20700</v>
      </c>
      <c r="R61" s="11">
        <v>82700</v>
      </c>
      <c r="S61" s="12">
        <f t="shared" si="9"/>
        <v>15713</v>
      </c>
      <c r="T61" s="12">
        <f t="shared" si="10"/>
        <v>98413</v>
      </c>
      <c r="U61" s="11">
        <f>21200/1.19</f>
        <v>17815.126050420167</v>
      </c>
      <c r="V61" s="11">
        <f t="shared" si="0"/>
        <v>3384.8739495798318</v>
      </c>
      <c r="W61" s="11">
        <f t="shared" si="1"/>
        <v>21200</v>
      </c>
      <c r="X61" s="18">
        <v>82700</v>
      </c>
      <c r="Y61" s="19">
        <v>15713</v>
      </c>
      <c r="Z61" s="18">
        <v>98413</v>
      </c>
      <c r="AA61" s="18"/>
      <c r="AB61" s="19">
        <f t="shared" si="13"/>
        <v>0</v>
      </c>
      <c r="AC61" s="18">
        <f t="shared" si="14"/>
        <v>0</v>
      </c>
      <c r="AD61" s="18">
        <v>391990</v>
      </c>
      <c r="AE61" s="19">
        <f t="shared" si="11"/>
        <v>74478.100000000006</v>
      </c>
      <c r="AF61" s="18">
        <f t="shared" si="12"/>
        <v>466468.1</v>
      </c>
    </row>
    <row r="62" spans="3:32" x14ac:dyDescent="0.25">
      <c r="C62" s="3" t="s">
        <v>77</v>
      </c>
      <c r="D62" s="6" t="s">
        <v>7</v>
      </c>
      <c r="E62" s="6">
        <v>1</v>
      </c>
      <c r="F62" s="9">
        <v>5000</v>
      </c>
      <c r="G62" s="9">
        <v>0</v>
      </c>
      <c r="H62" s="9">
        <f t="shared" si="4"/>
        <v>5000</v>
      </c>
      <c r="I62" s="9">
        <v>4800</v>
      </c>
      <c r="J62" s="9">
        <v>0</v>
      </c>
      <c r="K62" s="9">
        <f t="shared" si="5"/>
        <v>4800</v>
      </c>
      <c r="L62" s="9">
        <v>0</v>
      </c>
      <c r="M62" s="9">
        <v>0</v>
      </c>
      <c r="N62" s="9">
        <f t="shared" si="6"/>
        <v>0</v>
      </c>
      <c r="O62" s="11">
        <f>5100/1.19</f>
        <v>4285.7142857142862</v>
      </c>
      <c r="P62" s="12">
        <f t="shared" si="7"/>
        <v>814.28571428571445</v>
      </c>
      <c r="Q62" s="12">
        <f t="shared" si="8"/>
        <v>5100.0000000000009</v>
      </c>
      <c r="R62" s="11">
        <v>31600</v>
      </c>
      <c r="S62" s="12">
        <f t="shared" si="9"/>
        <v>6004</v>
      </c>
      <c r="T62" s="12">
        <f t="shared" si="10"/>
        <v>37604</v>
      </c>
      <c r="U62" s="11">
        <v>0</v>
      </c>
      <c r="V62" s="11">
        <f t="shared" si="0"/>
        <v>0</v>
      </c>
      <c r="W62" s="11">
        <f t="shared" si="1"/>
        <v>0</v>
      </c>
      <c r="X62" s="18">
        <v>31600</v>
      </c>
      <c r="Y62" s="19">
        <v>6004</v>
      </c>
      <c r="Z62" s="18">
        <v>37604</v>
      </c>
      <c r="AA62" s="18"/>
      <c r="AB62" s="19">
        <f t="shared" si="13"/>
        <v>0</v>
      </c>
      <c r="AC62" s="18">
        <f t="shared" si="14"/>
        <v>0</v>
      </c>
      <c r="AD62" s="18">
        <v>11870</v>
      </c>
      <c r="AE62" s="19">
        <f t="shared" si="11"/>
        <v>2255.3000000000002</v>
      </c>
      <c r="AF62" s="18">
        <f t="shared" si="12"/>
        <v>14125.3</v>
      </c>
    </row>
    <row r="63" spans="3:32" x14ac:dyDescent="0.25">
      <c r="C63" s="3" t="s">
        <v>76</v>
      </c>
      <c r="D63" s="6" t="s">
        <v>7</v>
      </c>
      <c r="E63" s="6">
        <v>1</v>
      </c>
      <c r="F63" s="9">
        <v>0</v>
      </c>
      <c r="G63" s="9">
        <v>0</v>
      </c>
      <c r="H63" s="9">
        <f t="shared" si="4"/>
        <v>0</v>
      </c>
      <c r="I63" s="9">
        <v>0</v>
      </c>
      <c r="J63" s="9">
        <v>0</v>
      </c>
      <c r="K63" s="9">
        <f t="shared" si="5"/>
        <v>0</v>
      </c>
      <c r="L63" s="9">
        <v>0</v>
      </c>
      <c r="M63" s="9">
        <v>0</v>
      </c>
      <c r="N63" s="9">
        <f t="shared" si="6"/>
        <v>0</v>
      </c>
      <c r="O63" s="11">
        <v>0</v>
      </c>
      <c r="P63" s="12">
        <f t="shared" si="7"/>
        <v>0</v>
      </c>
      <c r="Q63" s="12">
        <f t="shared" si="8"/>
        <v>0</v>
      </c>
      <c r="R63" s="10"/>
      <c r="S63" s="10">
        <f t="shared" si="9"/>
        <v>0</v>
      </c>
      <c r="T63" s="10">
        <f t="shared" si="10"/>
        <v>0</v>
      </c>
      <c r="U63" s="11">
        <v>0</v>
      </c>
      <c r="V63" s="11">
        <f t="shared" si="0"/>
        <v>0</v>
      </c>
      <c r="W63" s="11">
        <f t="shared" si="1"/>
        <v>0</v>
      </c>
      <c r="X63" s="18"/>
      <c r="Y63" s="19">
        <v>0</v>
      </c>
      <c r="Z63" s="18">
        <v>0</v>
      </c>
      <c r="AA63" s="18"/>
      <c r="AB63" s="19">
        <f t="shared" si="13"/>
        <v>0</v>
      </c>
      <c r="AC63" s="18">
        <f t="shared" si="14"/>
        <v>0</v>
      </c>
      <c r="AD63" s="18">
        <v>12550</v>
      </c>
      <c r="AE63" s="19">
        <f t="shared" si="11"/>
        <v>2384.5</v>
      </c>
      <c r="AF63" s="18">
        <f t="shared" si="12"/>
        <v>14934.5</v>
      </c>
    </row>
    <row r="64" spans="3:32" x14ac:dyDescent="0.25">
      <c r="C64" s="3" t="s">
        <v>13</v>
      </c>
      <c r="D64" s="6" t="s">
        <v>7</v>
      </c>
      <c r="E64" s="6">
        <v>1</v>
      </c>
      <c r="F64" s="9">
        <v>3000</v>
      </c>
      <c r="G64" s="9">
        <v>0</v>
      </c>
      <c r="H64" s="9">
        <f t="shared" si="4"/>
        <v>3000</v>
      </c>
      <c r="I64" s="9">
        <v>3000</v>
      </c>
      <c r="J64" s="9">
        <v>0</v>
      </c>
      <c r="K64" s="9">
        <f t="shared" si="5"/>
        <v>3000</v>
      </c>
      <c r="L64" s="9">
        <v>0</v>
      </c>
      <c r="M64" s="9">
        <v>0</v>
      </c>
      <c r="N64" s="9">
        <f t="shared" si="6"/>
        <v>0</v>
      </c>
      <c r="O64" s="11">
        <f>5700/1.19</f>
        <v>4789.9159663865548</v>
      </c>
      <c r="P64" s="12">
        <f t="shared" si="7"/>
        <v>910.0840336134454</v>
      </c>
      <c r="Q64" s="12">
        <f t="shared" si="8"/>
        <v>5700</v>
      </c>
      <c r="R64" s="11"/>
      <c r="S64" s="12">
        <f t="shared" si="9"/>
        <v>0</v>
      </c>
      <c r="T64" s="12">
        <f t="shared" si="10"/>
        <v>0</v>
      </c>
      <c r="U64" s="11">
        <f>4500/1.19</f>
        <v>3781.5126050420172</v>
      </c>
      <c r="V64" s="11">
        <f t="shared" si="0"/>
        <v>718.48739495798327</v>
      </c>
      <c r="W64" s="11">
        <f t="shared" si="1"/>
        <v>4500</v>
      </c>
      <c r="X64" s="18"/>
      <c r="Y64" s="19">
        <v>0</v>
      </c>
      <c r="Z64" s="18">
        <v>0</v>
      </c>
      <c r="AA64" s="18">
        <v>3871</v>
      </c>
      <c r="AB64" s="19">
        <f t="shared" si="13"/>
        <v>735.49</v>
      </c>
      <c r="AC64" s="18">
        <f t="shared" si="14"/>
        <v>4606.49</v>
      </c>
      <c r="AD64" s="18">
        <v>3820</v>
      </c>
      <c r="AE64" s="19">
        <f t="shared" si="11"/>
        <v>725.8</v>
      </c>
      <c r="AF64" s="18">
        <f t="shared" si="12"/>
        <v>4545.8</v>
      </c>
    </row>
    <row r="65" spans="3:32" x14ac:dyDescent="0.25">
      <c r="C65" s="3" t="s">
        <v>78</v>
      </c>
      <c r="D65" s="6" t="s">
        <v>7</v>
      </c>
      <c r="E65" s="6">
        <v>1</v>
      </c>
      <c r="F65" s="9">
        <v>5500</v>
      </c>
      <c r="G65" s="9">
        <v>0</v>
      </c>
      <c r="H65" s="9">
        <f t="shared" si="4"/>
        <v>5500</v>
      </c>
      <c r="I65" s="9">
        <v>6000</v>
      </c>
      <c r="J65" s="9">
        <v>0</v>
      </c>
      <c r="K65" s="9">
        <f t="shared" si="5"/>
        <v>6000</v>
      </c>
      <c r="L65" s="9">
        <v>5400</v>
      </c>
      <c r="M65" s="9">
        <v>0</v>
      </c>
      <c r="N65" s="9">
        <f t="shared" si="6"/>
        <v>5400</v>
      </c>
      <c r="O65" s="11">
        <f>7950/1.19</f>
        <v>6680.6722689075632</v>
      </c>
      <c r="P65" s="12">
        <f t="shared" si="7"/>
        <v>1269.327731092437</v>
      </c>
      <c r="Q65" s="12">
        <f t="shared" si="8"/>
        <v>7950</v>
      </c>
      <c r="R65" s="11">
        <v>4600</v>
      </c>
      <c r="S65" s="12">
        <f t="shared" si="9"/>
        <v>874</v>
      </c>
      <c r="T65" s="12">
        <f t="shared" si="10"/>
        <v>5474</v>
      </c>
      <c r="U65" s="11">
        <v>0</v>
      </c>
      <c r="V65" s="11">
        <f t="shared" si="0"/>
        <v>0</v>
      </c>
      <c r="W65" s="11">
        <f t="shared" si="1"/>
        <v>0</v>
      </c>
      <c r="X65" s="18">
        <v>4600</v>
      </c>
      <c r="Y65" s="19">
        <v>874</v>
      </c>
      <c r="Z65" s="18">
        <v>5474</v>
      </c>
      <c r="AA65" s="18"/>
      <c r="AB65" s="19">
        <f t="shared" si="13"/>
        <v>0</v>
      </c>
      <c r="AC65" s="18">
        <f t="shared" si="14"/>
        <v>0</v>
      </c>
      <c r="AD65" s="18"/>
      <c r="AE65" s="19">
        <f t="shared" si="11"/>
        <v>0</v>
      </c>
      <c r="AF65" s="18">
        <f t="shared" si="12"/>
        <v>0</v>
      </c>
    </row>
    <row r="66" spans="3:32" x14ac:dyDescent="0.25">
      <c r="C66" s="3" t="s">
        <v>79</v>
      </c>
      <c r="D66" s="6" t="s">
        <v>43</v>
      </c>
      <c r="E66" s="6">
        <v>1</v>
      </c>
      <c r="F66" s="9">
        <v>11000</v>
      </c>
      <c r="G66" s="9">
        <v>0</v>
      </c>
      <c r="H66" s="9">
        <f t="shared" si="4"/>
        <v>11000</v>
      </c>
      <c r="I66" s="9">
        <v>10000</v>
      </c>
      <c r="J66" s="9">
        <v>0</v>
      </c>
      <c r="K66" s="9">
        <f t="shared" si="5"/>
        <v>10000</v>
      </c>
      <c r="L66" s="9">
        <v>13000</v>
      </c>
      <c r="M66" s="9">
        <v>0</v>
      </c>
      <c r="N66" s="9">
        <f t="shared" si="6"/>
        <v>13000</v>
      </c>
      <c r="O66" s="11">
        <f>9250/1.19</f>
        <v>7773.1092436974795</v>
      </c>
      <c r="P66" s="12">
        <f t="shared" si="7"/>
        <v>1476.8907563025211</v>
      </c>
      <c r="Q66" s="12">
        <f t="shared" si="8"/>
        <v>9250</v>
      </c>
      <c r="R66" s="11">
        <v>100</v>
      </c>
      <c r="S66" s="12">
        <f t="shared" si="9"/>
        <v>19</v>
      </c>
      <c r="T66" s="12">
        <f t="shared" si="10"/>
        <v>119</v>
      </c>
      <c r="U66" s="11">
        <f>8500/1.19</f>
        <v>7142.8571428571431</v>
      </c>
      <c r="V66" s="11">
        <f t="shared" si="0"/>
        <v>1357.1428571428571</v>
      </c>
      <c r="W66" s="11">
        <f t="shared" si="1"/>
        <v>8500</v>
      </c>
      <c r="X66" s="18">
        <v>100</v>
      </c>
      <c r="Y66" s="19">
        <v>19</v>
      </c>
      <c r="Z66" s="18">
        <v>119</v>
      </c>
      <c r="AA66" s="18">
        <v>11204</v>
      </c>
      <c r="AB66" s="19">
        <f t="shared" si="13"/>
        <v>2128.7600000000002</v>
      </c>
      <c r="AC66" s="18">
        <f t="shared" si="14"/>
        <v>13332.76</v>
      </c>
      <c r="AD66" s="18">
        <v>28720</v>
      </c>
      <c r="AE66" s="19">
        <f t="shared" si="11"/>
        <v>5456.8</v>
      </c>
      <c r="AF66" s="18">
        <f t="shared" si="12"/>
        <v>34176.800000000003</v>
      </c>
    </row>
    <row r="67" spans="3:32" x14ac:dyDescent="0.25">
      <c r="C67" s="3" t="s">
        <v>212</v>
      </c>
      <c r="D67" s="6" t="s">
        <v>7</v>
      </c>
      <c r="E67" s="6">
        <v>1</v>
      </c>
      <c r="F67" s="9">
        <v>4500</v>
      </c>
      <c r="G67" s="9">
        <v>0</v>
      </c>
      <c r="H67" s="9">
        <f t="shared" ref="H67" si="18">+F67</f>
        <v>4500</v>
      </c>
      <c r="I67" s="9">
        <v>4000</v>
      </c>
      <c r="J67" s="9">
        <v>0</v>
      </c>
      <c r="K67" s="9">
        <f t="shared" si="5"/>
        <v>4000</v>
      </c>
      <c r="L67" s="9">
        <v>3800</v>
      </c>
      <c r="M67" s="9">
        <v>0</v>
      </c>
      <c r="N67" s="9">
        <f t="shared" si="6"/>
        <v>3800</v>
      </c>
      <c r="O67" s="11">
        <f>7172/1.19</f>
        <v>6026.8907563025214</v>
      </c>
      <c r="P67" s="12">
        <f t="shared" si="7"/>
        <v>1145.1092436974791</v>
      </c>
      <c r="Q67" s="12">
        <f t="shared" si="8"/>
        <v>7172</v>
      </c>
      <c r="R67" s="11"/>
      <c r="S67" s="12">
        <f t="shared" si="9"/>
        <v>0</v>
      </c>
      <c r="T67" s="12">
        <f t="shared" si="10"/>
        <v>0</v>
      </c>
      <c r="U67" s="11">
        <f>5200/1.19</f>
        <v>4369.7478991596645</v>
      </c>
      <c r="V67" s="11">
        <f t="shared" ref="V67" si="19">U67*19%</f>
        <v>830.25210084033631</v>
      </c>
      <c r="W67" s="11">
        <f t="shared" ref="W67" si="20">U67+V67</f>
        <v>5200.0000000000009</v>
      </c>
      <c r="X67" s="18"/>
      <c r="Y67" s="19">
        <v>0</v>
      </c>
      <c r="Z67" s="18">
        <v>0</v>
      </c>
      <c r="AA67" s="18"/>
      <c r="AB67" s="19">
        <f t="shared" si="13"/>
        <v>0</v>
      </c>
      <c r="AC67" s="18">
        <f t="shared" si="14"/>
        <v>0</v>
      </c>
      <c r="AD67" s="18">
        <v>910</v>
      </c>
      <c r="AE67" s="19">
        <f t="shared" si="11"/>
        <v>172.9</v>
      </c>
      <c r="AF67" s="18">
        <f t="shared" si="12"/>
        <v>1082.9000000000001</v>
      </c>
    </row>
    <row r="68" spans="3:32" x14ac:dyDescent="0.25">
      <c r="C68" s="3" t="s">
        <v>211</v>
      </c>
      <c r="D68" s="6" t="s">
        <v>7</v>
      </c>
      <c r="E68" s="6">
        <v>1</v>
      </c>
      <c r="F68" s="9">
        <v>2000</v>
      </c>
      <c r="G68" s="9">
        <v>0</v>
      </c>
      <c r="H68" s="9">
        <f t="shared" si="4"/>
        <v>2000</v>
      </c>
      <c r="I68" s="9">
        <v>1000</v>
      </c>
      <c r="J68" s="9">
        <v>0</v>
      </c>
      <c r="K68" s="9">
        <f t="shared" si="5"/>
        <v>1000</v>
      </c>
      <c r="L68" s="9">
        <v>0</v>
      </c>
      <c r="M68" s="9">
        <v>0</v>
      </c>
      <c r="N68" s="9">
        <f t="shared" si="6"/>
        <v>0</v>
      </c>
      <c r="O68" s="11">
        <v>0</v>
      </c>
      <c r="P68" s="12">
        <f t="shared" si="7"/>
        <v>0</v>
      </c>
      <c r="Q68" s="12">
        <f t="shared" si="8"/>
        <v>0</v>
      </c>
      <c r="R68" s="11">
        <v>750</v>
      </c>
      <c r="S68" s="12">
        <f t="shared" si="9"/>
        <v>142.5</v>
      </c>
      <c r="T68" s="12">
        <f t="shared" si="10"/>
        <v>892.5</v>
      </c>
      <c r="U68" s="11">
        <v>0</v>
      </c>
      <c r="V68" s="11">
        <f t="shared" si="0"/>
        <v>0</v>
      </c>
      <c r="W68" s="11">
        <f t="shared" si="1"/>
        <v>0</v>
      </c>
      <c r="X68" s="18">
        <v>750</v>
      </c>
      <c r="Y68" s="19">
        <v>142.5</v>
      </c>
      <c r="Z68" s="18">
        <v>892.5</v>
      </c>
      <c r="AA68" s="18">
        <v>1300</v>
      </c>
      <c r="AB68" s="19">
        <f t="shared" si="13"/>
        <v>247</v>
      </c>
      <c r="AC68" s="18">
        <f t="shared" si="14"/>
        <v>1547</v>
      </c>
      <c r="AD68" s="18"/>
      <c r="AE68" s="19">
        <f t="shared" si="11"/>
        <v>0</v>
      </c>
      <c r="AF68" s="18">
        <f t="shared" si="12"/>
        <v>0</v>
      </c>
    </row>
    <row r="69" spans="3:32" x14ac:dyDescent="0.25">
      <c r="C69" s="3" t="s">
        <v>80</v>
      </c>
      <c r="D69" s="6" t="s">
        <v>7</v>
      </c>
      <c r="E69" s="6">
        <v>1</v>
      </c>
      <c r="F69" s="9">
        <v>800</v>
      </c>
      <c r="G69" s="9">
        <v>0</v>
      </c>
      <c r="H69" s="9">
        <f t="shared" si="4"/>
        <v>800</v>
      </c>
      <c r="I69" s="9">
        <v>800</v>
      </c>
      <c r="J69" s="9">
        <v>0</v>
      </c>
      <c r="K69" s="9">
        <f t="shared" si="5"/>
        <v>800</v>
      </c>
      <c r="L69" s="9">
        <v>800</v>
      </c>
      <c r="M69" s="9">
        <v>0</v>
      </c>
      <c r="N69" s="9">
        <f t="shared" si="6"/>
        <v>800</v>
      </c>
      <c r="O69" s="11">
        <f>454/1.19</f>
        <v>381.51260504201684</v>
      </c>
      <c r="P69" s="12">
        <f t="shared" si="7"/>
        <v>72.487394957983199</v>
      </c>
      <c r="Q69" s="12">
        <f t="shared" si="8"/>
        <v>454.00000000000006</v>
      </c>
      <c r="R69" s="11">
        <v>477</v>
      </c>
      <c r="S69" s="12">
        <f t="shared" si="9"/>
        <v>90.63</v>
      </c>
      <c r="T69" s="12">
        <f t="shared" si="10"/>
        <v>567.63</v>
      </c>
      <c r="U69" s="11">
        <f>500/1.19</f>
        <v>420.1680672268908</v>
      </c>
      <c r="V69" s="11">
        <f t="shared" si="0"/>
        <v>79.831932773109259</v>
      </c>
      <c r="W69" s="11">
        <f t="shared" si="1"/>
        <v>500.00000000000006</v>
      </c>
      <c r="X69" s="18">
        <v>477</v>
      </c>
      <c r="Y69" s="19">
        <v>90.63</v>
      </c>
      <c r="Z69" s="18">
        <v>567.63</v>
      </c>
      <c r="AA69" s="18"/>
      <c r="AB69" s="19">
        <f t="shared" si="13"/>
        <v>0</v>
      </c>
      <c r="AC69" s="18">
        <f t="shared" si="14"/>
        <v>0</v>
      </c>
      <c r="AD69" s="18">
        <v>450</v>
      </c>
      <c r="AE69" s="19">
        <f t="shared" si="11"/>
        <v>85.5</v>
      </c>
      <c r="AF69" s="18">
        <f t="shared" si="12"/>
        <v>535.5</v>
      </c>
    </row>
    <row r="70" spans="3:32" x14ac:dyDescent="0.25">
      <c r="C70" s="3" t="s">
        <v>81</v>
      </c>
      <c r="D70" s="6" t="s">
        <v>7</v>
      </c>
      <c r="E70" s="6">
        <v>1</v>
      </c>
      <c r="F70" s="9">
        <v>5800</v>
      </c>
      <c r="G70" s="9">
        <v>0</v>
      </c>
      <c r="H70" s="9">
        <f t="shared" si="4"/>
        <v>5800</v>
      </c>
      <c r="I70" s="9">
        <v>5800</v>
      </c>
      <c r="J70" s="9">
        <v>0</v>
      </c>
      <c r="K70" s="9">
        <f t="shared" si="5"/>
        <v>5800</v>
      </c>
      <c r="L70" s="9">
        <v>6500</v>
      </c>
      <c r="M70" s="9">
        <v>0</v>
      </c>
      <c r="N70" s="9">
        <f t="shared" si="6"/>
        <v>6500</v>
      </c>
      <c r="O70" s="11">
        <f>4982/1.19</f>
        <v>4186.5546218487398</v>
      </c>
      <c r="P70" s="12">
        <f t="shared" si="7"/>
        <v>795.44537815126057</v>
      </c>
      <c r="Q70" s="12">
        <f t="shared" si="8"/>
        <v>4982</v>
      </c>
      <c r="R70" s="10">
        <v>5712</v>
      </c>
      <c r="S70" s="10">
        <f t="shared" si="9"/>
        <v>1085.28</v>
      </c>
      <c r="T70" s="10">
        <f t="shared" si="10"/>
        <v>6797.28</v>
      </c>
      <c r="U70" s="11">
        <f>4950/1.19</f>
        <v>4159.6638655462184</v>
      </c>
      <c r="V70" s="11">
        <f t="shared" si="0"/>
        <v>790.33613445378148</v>
      </c>
      <c r="W70" s="11">
        <f t="shared" si="1"/>
        <v>4950</v>
      </c>
      <c r="X70" s="18">
        <v>5712</v>
      </c>
      <c r="Y70" s="19">
        <v>1085.28</v>
      </c>
      <c r="Z70" s="18">
        <v>6797.28</v>
      </c>
      <c r="AA70" s="18"/>
      <c r="AB70" s="19">
        <f t="shared" si="13"/>
        <v>0</v>
      </c>
      <c r="AC70" s="18">
        <f t="shared" si="14"/>
        <v>0</v>
      </c>
      <c r="AD70" s="18">
        <v>4500</v>
      </c>
      <c r="AE70" s="19">
        <f t="shared" si="11"/>
        <v>855</v>
      </c>
      <c r="AF70" s="18">
        <f t="shared" si="12"/>
        <v>5355</v>
      </c>
    </row>
    <row r="71" spans="3:32" x14ac:dyDescent="0.25">
      <c r="C71" s="3" t="s">
        <v>83</v>
      </c>
      <c r="D71" s="6" t="s">
        <v>7</v>
      </c>
      <c r="E71" s="6">
        <v>1</v>
      </c>
      <c r="F71" s="9">
        <v>1200</v>
      </c>
      <c r="G71" s="9">
        <v>0</v>
      </c>
      <c r="H71" s="9">
        <f t="shared" si="4"/>
        <v>1200</v>
      </c>
      <c r="I71" s="9">
        <v>1000</v>
      </c>
      <c r="J71" s="9">
        <v>0</v>
      </c>
      <c r="K71" s="9">
        <f t="shared" si="5"/>
        <v>1000</v>
      </c>
      <c r="L71" s="9">
        <v>2600</v>
      </c>
      <c r="M71" s="9">
        <v>0</v>
      </c>
      <c r="N71" s="9">
        <f t="shared" si="6"/>
        <v>2600</v>
      </c>
      <c r="O71" s="11">
        <f>1227/1.19</f>
        <v>1031.09243697479</v>
      </c>
      <c r="P71" s="12">
        <f t="shared" si="7"/>
        <v>195.9075630252101</v>
      </c>
      <c r="Q71" s="12">
        <f t="shared" si="8"/>
        <v>1227</v>
      </c>
      <c r="R71" s="11">
        <v>1270</v>
      </c>
      <c r="S71" s="12">
        <f t="shared" si="9"/>
        <v>241.3</v>
      </c>
      <c r="T71" s="12">
        <f t="shared" si="10"/>
        <v>1511.3</v>
      </c>
      <c r="U71" s="11">
        <f>1100/1.19</f>
        <v>924.36974789915973</v>
      </c>
      <c r="V71" s="11">
        <f t="shared" si="0"/>
        <v>175.63025210084035</v>
      </c>
      <c r="W71" s="11">
        <f t="shared" si="1"/>
        <v>1100</v>
      </c>
      <c r="X71" s="18">
        <v>1270</v>
      </c>
      <c r="Y71" s="19">
        <v>241.3</v>
      </c>
      <c r="Z71" s="18">
        <v>1511.3</v>
      </c>
      <c r="AA71" s="18"/>
      <c r="AB71" s="19">
        <f t="shared" si="13"/>
        <v>0</v>
      </c>
      <c r="AC71" s="18">
        <f t="shared" si="14"/>
        <v>0</v>
      </c>
      <c r="AD71" s="18">
        <v>990</v>
      </c>
      <c r="AE71" s="19">
        <f t="shared" si="11"/>
        <v>188.1</v>
      </c>
      <c r="AF71" s="18">
        <f t="shared" si="12"/>
        <v>1178.0999999999999</v>
      </c>
    </row>
    <row r="72" spans="3:32" x14ac:dyDescent="0.25">
      <c r="C72" s="3" t="s">
        <v>82</v>
      </c>
      <c r="D72" s="6" t="s">
        <v>7</v>
      </c>
      <c r="E72" s="6">
        <v>1</v>
      </c>
      <c r="F72" s="9">
        <v>800</v>
      </c>
      <c r="G72" s="9">
        <v>0</v>
      </c>
      <c r="H72" s="9">
        <f t="shared" si="4"/>
        <v>800</v>
      </c>
      <c r="I72" s="9">
        <v>600</v>
      </c>
      <c r="J72" s="9">
        <v>0</v>
      </c>
      <c r="K72" s="9">
        <f t="shared" ref="K72:K135" si="21">+I72</f>
        <v>600</v>
      </c>
      <c r="L72" s="9">
        <v>1100</v>
      </c>
      <c r="M72" s="9">
        <v>0</v>
      </c>
      <c r="N72" s="9">
        <f t="shared" ref="N72:N135" si="22">+L72</f>
        <v>1100</v>
      </c>
      <c r="O72" s="11">
        <f>773/1.19</f>
        <v>649.57983193277312</v>
      </c>
      <c r="P72" s="12">
        <f t="shared" si="7"/>
        <v>123.4201680672269</v>
      </c>
      <c r="Q72" s="12">
        <f t="shared" si="8"/>
        <v>773</v>
      </c>
      <c r="R72" s="11">
        <v>787</v>
      </c>
      <c r="S72" s="12">
        <f t="shared" si="9"/>
        <v>149.53</v>
      </c>
      <c r="T72" s="12">
        <f t="shared" si="10"/>
        <v>936.53</v>
      </c>
      <c r="U72" s="11">
        <f>700/1.19</f>
        <v>588.23529411764707</v>
      </c>
      <c r="V72" s="11">
        <f t="shared" si="0"/>
        <v>111.76470588235294</v>
      </c>
      <c r="W72" s="11">
        <f t="shared" si="1"/>
        <v>700</v>
      </c>
      <c r="X72" s="18">
        <v>787</v>
      </c>
      <c r="Y72" s="19">
        <v>149.53</v>
      </c>
      <c r="Z72" s="18">
        <v>936.53</v>
      </c>
      <c r="AA72" s="18"/>
      <c r="AB72" s="19">
        <f t="shared" si="13"/>
        <v>0</v>
      </c>
      <c r="AC72" s="18">
        <f t="shared" si="14"/>
        <v>0</v>
      </c>
      <c r="AD72" s="18">
        <v>612</v>
      </c>
      <c r="AE72" s="19">
        <f t="shared" si="11"/>
        <v>116.28</v>
      </c>
      <c r="AF72" s="18">
        <f t="shared" si="12"/>
        <v>728.28</v>
      </c>
    </row>
    <row r="73" spans="3:32" x14ac:dyDescent="0.25">
      <c r="C73" s="3" t="s">
        <v>84</v>
      </c>
      <c r="D73" s="6" t="s">
        <v>7</v>
      </c>
      <c r="E73" s="6">
        <v>1</v>
      </c>
      <c r="F73" s="9">
        <v>2600</v>
      </c>
      <c r="G73" s="9">
        <v>0</v>
      </c>
      <c r="H73" s="9">
        <f t="shared" si="4"/>
        <v>2600</v>
      </c>
      <c r="I73" s="9">
        <v>2500</v>
      </c>
      <c r="J73" s="9">
        <v>0</v>
      </c>
      <c r="K73" s="9">
        <f t="shared" si="21"/>
        <v>2500</v>
      </c>
      <c r="L73" s="9">
        <v>3000</v>
      </c>
      <c r="M73" s="9">
        <v>0</v>
      </c>
      <c r="N73" s="9">
        <f t="shared" si="22"/>
        <v>3000</v>
      </c>
      <c r="O73" s="11">
        <f>2350/1.19</f>
        <v>1974.7899159663866</v>
      </c>
      <c r="P73" s="12">
        <f t="shared" ref="P73:P136" si="23">O73*19%</f>
        <v>375.21008403361344</v>
      </c>
      <c r="Q73" s="12">
        <f t="shared" ref="Q73:Q136" si="24">O73+P73</f>
        <v>2350</v>
      </c>
      <c r="R73" s="11">
        <v>2600</v>
      </c>
      <c r="S73" s="12">
        <f t="shared" ref="S73:S136" si="25">R73*19%</f>
        <v>494</v>
      </c>
      <c r="T73" s="12">
        <f t="shared" ref="T73:T136" si="26">R73+S73</f>
        <v>3094</v>
      </c>
      <c r="U73" s="11">
        <f>1900/1.19</f>
        <v>1596.6386554621849</v>
      </c>
      <c r="V73" s="11">
        <f t="shared" ref="V73:V136" si="27">U73*19%</f>
        <v>303.36134453781517</v>
      </c>
      <c r="W73" s="11">
        <f t="shared" ref="W73:W136" si="28">U73+V73</f>
        <v>1900</v>
      </c>
      <c r="X73" s="18">
        <v>2600</v>
      </c>
      <c r="Y73" s="19">
        <v>494</v>
      </c>
      <c r="Z73" s="18">
        <v>3094</v>
      </c>
      <c r="AA73" s="18"/>
      <c r="AB73" s="19">
        <f t="shared" si="13"/>
        <v>0</v>
      </c>
      <c r="AC73" s="18">
        <f t="shared" si="14"/>
        <v>0</v>
      </c>
      <c r="AD73" s="18">
        <v>2430</v>
      </c>
      <c r="AE73" s="19">
        <f t="shared" ref="AE73:AE136" si="29">AD73*19%</f>
        <v>461.7</v>
      </c>
      <c r="AF73" s="18">
        <f t="shared" ref="AF73:AF136" si="30">AD73+AE73</f>
        <v>2891.7</v>
      </c>
    </row>
    <row r="74" spans="3:32" x14ac:dyDescent="0.25">
      <c r="C74" s="3" t="s">
        <v>85</v>
      </c>
      <c r="D74" s="6" t="s">
        <v>7</v>
      </c>
      <c r="E74" s="6">
        <v>1</v>
      </c>
      <c r="F74" s="9">
        <v>0</v>
      </c>
      <c r="G74" s="9">
        <v>0</v>
      </c>
      <c r="H74" s="9">
        <f t="shared" ref="H74:H137" si="31">+F74</f>
        <v>0</v>
      </c>
      <c r="I74" s="9">
        <v>0</v>
      </c>
      <c r="J74" s="9">
        <v>0</v>
      </c>
      <c r="K74" s="9">
        <f t="shared" si="21"/>
        <v>0</v>
      </c>
      <c r="L74" s="9">
        <v>0</v>
      </c>
      <c r="M74" s="9">
        <v>0</v>
      </c>
      <c r="N74" s="9">
        <f t="shared" si="22"/>
        <v>0</v>
      </c>
      <c r="O74" s="11">
        <f>2681/1.19</f>
        <v>2252.9411764705883</v>
      </c>
      <c r="P74" s="12">
        <f t="shared" si="23"/>
        <v>428.05882352941177</v>
      </c>
      <c r="Q74" s="12">
        <f t="shared" si="24"/>
        <v>2681</v>
      </c>
      <c r="R74" s="11">
        <v>2878</v>
      </c>
      <c r="S74" s="12">
        <f t="shared" si="25"/>
        <v>546.82000000000005</v>
      </c>
      <c r="T74" s="12">
        <f t="shared" si="26"/>
        <v>3424.82</v>
      </c>
      <c r="U74" s="11">
        <f>2500/1.19</f>
        <v>2100.840336134454</v>
      </c>
      <c r="V74" s="11">
        <f t="shared" si="27"/>
        <v>399.15966386554624</v>
      </c>
      <c r="W74" s="11">
        <f t="shared" si="28"/>
        <v>2500</v>
      </c>
      <c r="X74" s="18">
        <v>2878</v>
      </c>
      <c r="Y74" s="19">
        <v>546.82000000000005</v>
      </c>
      <c r="Z74" s="18">
        <v>3424.82</v>
      </c>
      <c r="AA74" s="18"/>
      <c r="AB74" s="19">
        <f t="shared" si="13"/>
        <v>0</v>
      </c>
      <c r="AC74" s="18">
        <f t="shared" si="14"/>
        <v>0</v>
      </c>
      <c r="AD74" s="18">
        <v>2900</v>
      </c>
      <c r="AE74" s="19">
        <f t="shared" si="29"/>
        <v>551</v>
      </c>
      <c r="AF74" s="18">
        <f t="shared" si="30"/>
        <v>3451</v>
      </c>
    </row>
    <row r="75" spans="3:32" x14ac:dyDescent="0.25">
      <c r="C75" s="3" t="s">
        <v>86</v>
      </c>
      <c r="D75" s="6" t="s">
        <v>7</v>
      </c>
      <c r="E75" s="6">
        <v>1</v>
      </c>
      <c r="F75" s="9">
        <v>0</v>
      </c>
      <c r="G75" s="9">
        <v>0</v>
      </c>
      <c r="H75" s="9">
        <f t="shared" si="31"/>
        <v>0</v>
      </c>
      <c r="I75" s="9">
        <v>0</v>
      </c>
      <c r="J75" s="9">
        <v>0</v>
      </c>
      <c r="K75" s="9">
        <f t="shared" si="21"/>
        <v>0</v>
      </c>
      <c r="L75" s="9">
        <v>2900</v>
      </c>
      <c r="M75" s="9">
        <v>0</v>
      </c>
      <c r="N75" s="9">
        <f t="shared" si="22"/>
        <v>2900</v>
      </c>
      <c r="O75" s="11">
        <f>772/1.19</f>
        <v>648.73949579831935</v>
      </c>
      <c r="P75" s="12">
        <f t="shared" si="23"/>
        <v>123.26050420168067</v>
      </c>
      <c r="Q75" s="12">
        <f t="shared" si="24"/>
        <v>772</v>
      </c>
      <c r="R75" s="11">
        <v>767</v>
      </c>
      <c r="S75" s="12">
        <f t="shared" si="25"/>
        <v>145.72999999999999</v>
      </c>
      <c r="T75" s="12">
        <f t="shared" si="26"/>
        <v>912.73</v>
      </c>
      <c r="U75" s="11">
        <f>700/1.19</f>
        <v>588.23529411764707</v>
      </c>
      <c r="V75" s="11">
        <f t="shared" si="27"/>
        <v>111.76470588235294</v>
      </c>
      <c r="W75" s="11">
        <f t="shared" si="28"/>
        <v>700</v>
      </c>
      <c r="X75" s="18">
        <v>767</v>
      </c>
      <c r="Y75" s="19">
        <v>145.72999999999999</v>
      </c>
      <c r="Z75" s="18">
        <v>912.73</v>
      </c>
      <c r="AA75" s="18"/>
      <c r="AB75" s="19">
        <f t="shared" si="13"/>
        <v>0</v>
      </c>
      <c r="AC75" s="18">
        <f t="shared" si="14"/>
        <v>0</v>
      </c>
      <c r="AD75" s="18"/>
      <c r="AE75" s="19">
        <f t="shared" si="29"/>
        <v>0</v>
      </c>
      <c r="AF75" s="18">
        <f t="shared" si="30"/>
        <v>0</v>
      </c>
    </row>
    <row r="76" spans="3:32" x14ac:dyDescent="0.25">
      <c r="C76" s="3" t="s">
        <v>87</v>
      </c>
      <c r="D76" s="6" t="s">
        <v>7</v>
      </c>
      <c r="E76" s="6">
        <v>1</v>
      </c>
      <c r="F76" s="9">
        <v>0</v>
      </c>
      <c r="G76" s="9">
        <v>0</v>
      </c>
      <c r="H76" s="9">
        <f t="shared" si="31"/>
        <v>0</v>
      </c>
      <c r="I76" s="9">
        <v>0</v>
      </c>
      <c r="J76" s="9">
        <v>0</v>
      </c>
      <c r="K76" s="9">
        <f t="shared" si="21"/>
        <v>0</v>
      </c>
      <c r="L76" s="9">
        <v>14000</v>
      </c>
      <c r="M76" s="9">
        <v>0</v>
      </c>
      <c r="N76" s="9">
        <f t="shared" si="22"/>
        <v>14000</v>
      </c>
      <c r="O76" s="11">
        <f>8090/1.19</f>
        <v>6798.3193277310929</v>
      </c>
      <c r="P76" s="12">
        <f t="shared" si="23"/>
        <v>1291.6806722689078</v>
      </c>
      <c r="Q76" s="12">
        <f t="shared" si="24"/>
        <v>8090.0000000000009</v>
      </c>
      <c r="R76" s="11">
        <v>8800</v>
      </c>
      <c r="S76" s="12">
        <f t="shared" si="25"/>
        <v>1672</v>
      </c>
      <c r="T76" s="12">
        <f t="shared" si="26"/>
        <v>10472</v>
      </c>
      <c r="U76" s="11">
        <f>7650/1.19</f>
        <v>6428.5714285714284</v>
      </c>
      <c r="V76" s="11">
        <f t="shared" si="27"/>
        <v>1221.4285714285713</v>
      </c>
      <c r="W76" s="11">
        <f t="shared" si="28"/>
        <v>7650</v>
      </c>
      <c r="X76" s="18">
        <v>8800</v>
      </c>
      <c r="Y76" s="19">
        <v>1672</v>
      </c>
      <c r="Z76" s="18">
        <v>10472</v>
      </c>
      <c r="AA76" s="18"/>
      <c r="AB76" s="19">
        <f t="shared" si="13"/>
        <v>0</v>
      </c>
      <c r="AC76" s="18">
        <f t="shared" si="14"/>
        <v>0</v>
      </c>
      <c r="AD76" s="18">
        <v>6800</v>
      </c>
      <c r="AE76" s="19">
        <f t="shared" si="29"/>
        <v>1292</v>
      </c>
      <c r="AF76" s="18">
        <f t="shared" si="30"/>
        <v>8092</v>
      </c>
    </row>
    <row r="77" spans="3:32" x14ac:dyDescent="0.25">
      <c r="C77" s="3" t="s">
        <v>121</v>
      </c>
      <c r="D77" s="6" t="s">
        <v>7</v>
      </c>
      <c r="E77" s="6">
        <v>1</v>
      </c>
      <c r="F77" s="9">
        <v>2400</v>
      </c>
      <c r="G77" s="9">
        <v>0</v>
      </c>
      <c r="H77" s="9">
        <f t="shared" si="31"/>
        <v>2400</v>
      </c>
      <c r="I77" s="9">
        <v>2500</v>
      </c>
      <c r="J77" s="9">
        <v>0</v>
      </c>
      <c r="K77" s="9">
        <f t="shared" si="21"/>
        <v>2500</v>
      </c>
      <c r="L77" s="9">
        <v>0</v>
      </c>
      <c r="M77" s="9">
        <v>0</v>
      </c>
      <c r="N77" s="9">
        <f t="shared" si="22"/>
        <v>0</v>
      </c>
      <c r="O77" s="11">
        <f>2681/1.19</f>
        <v>2252.9411764705883</v>
      </c>
      <c r="P77" s="12">
        <f t="shared" si="23"/>
        <v>428.05882352941177</v>
      </c>
      <c r="Q77" s="12">
        <f t="shared" si="24"/>
        <v>2681</v>
      </c>
      <c r="R77" s="10">
        <v>2900</v>
      </c>
      <c r="S77" s="10">
        <f t="shared" si="25"/>
        <v>551</v>
      </c>
      <c r="T77" s="10">
        <f t="shared" si="26"/>
        <v>3451</v>
      </c>
      <c r="U77" s="11">
        <v>0</v>
      </c>
      <c r="V77" s="11">
        <f t="shared" si="27"/>
        <v>0</v>
      </c>
      <c r="W77" s="11">
        <f t="shared" si="28"/>
        <v>0</v>
      </c>
      <c r="X77" s="18">
        <v>2900</v>
      </c>
      <c r="Y77" s="19">
        <v>551</v>
      </c>
      <c r="Z77" s="18">
        <v>3451</v>
      </c>
      <c r="AA77" s="18"/>
      <c r="AB77" s="19">
        <f t="shared" si="13"/>
        <v>0</v>
      </c>
      <c r="AC77" s="18">
        <f t="shared" si="14"/>
        <v>0</v>
      </c>
      <c r="AD77" s="18"/>
      <c r="AE77" s="19">
        <f t="shared" si="29"/>
        <v>0</v>
      </c>
      <c r="AF77" s="18">
        <f t="shared" si="30"/>
        <v>0</v>
      </c>
    </row>
    <row r="78" spans="3:32" x14ac:dyDescent="0.25">
      <c r="C78" s="3" t="s">
        <v>123</v>
      </c>
      <c r="D78" s="6" t="s">
        <v>7</v>
      </c>
      <c r="E78" s="6">
        <v>1</v>
      </c>
      <c r="F78" s="9">
        <v>2900</v>
      </c>
      <c r="G78" s="9">
        <v>0</v>
      </c>
      <c r="H78" s="9">
        <f t="shared" si="31"/>
        <v>2900</v>
      </c>
      <c r="I78" s="9">
        <v>2800</v>
      </c>
      <c r="J78" s="9">
        <v>0</v>
      </c>
      <c r="K78" s="9">
        <f t="shared" si="21"/>
        <v>2800</v>
      </c>
      <c r="L78" s="9">
        <v>0</v>
      </c>
      <c r="M78" s="9">
        <v>0</v>
      </c>
      <c r="N78" s="9">
        <f t="shared" si="22"/>
        <v>0</v>
      </c>
      <c r="O78" s="11">
        <f>8090/1.19</f>
        <v>6798.3193277310929</v>
      </c>
      <c r="P78" s="12">
        <f t="shared" si="23"/>
        <v>1291.6806722689078</v>
      </c>
      <c r="Q78" s="12">
        <f t="shared" si="24"/>
        <v>8090.0000000000009</v>
      </c>
      <c r="R78" s="11"/>
      <c r="S78" s="12">
        <f t="shared" si="25"/>
        <v>0</v>
      </c>
      <c r="T78" s="12">
        <f t="shared" si="26"/>
        <v>0</v>
      </c>
      <c r="U78" s="11">
        <v>0</v>
      </c>
      <c r="V78" s="11">
        <f t="shared" si="27"/>
        <v>0</v>
      </c>
      <c r="W78" s="11">
        <f t="shared" si="28"/>
        <v>0</v>
      </c>
      <c r="X78" s="18"/>
      <c r="Y78" s="19">
        <v>0</v>
      </c>
      <c r="Z78" s="18">
        <v>0</v>
      </c>
      <c r="AA78" s="18"/>
      <c r="AB78" s="19">
        <f t="shared" si="13"/>
        <v>0</v>
      </c>
      <c r="AC78" s="18">
        <f t="shared" si="14"/>
        <v>0</v>
      </c>
      <c r="AD78" s="18"/>
      <c r="AE78" s="19">
        <f t="shared" si="29"/>
        <v>0</v>
      </c>
      <c r="AF78" s="18">
        <f t="shared" si="30"/>
        <v>0</v>
      </c>
    </row>
    <row r="79" spans="3:32" x14ac:dyDescent="0.25">
      <c r="C79" s="3" t="s">
        <v>122</v>
      </c>
      <c r="D79" s="6" t="s">
        <v>7</v>
      </c>
      <c r="E79" s="6">
        <v>1</v>
      </c>
      <c r="F79" s="9">
        <v>1200</v>
      </c>
      <c r="G79" s="9">
        <v>0</v>
      </c>
      <c r="H79" s="9">
        <f t="shared" si="31"/>
        <v>1200</v>
      </c>
      <c r="I79" s="9">
        <v>1000</v>
      </c>
      <c r="J79" s="9">
        <v>0</v>
      </c>
      <c r="K79" s="9">
        <f t="shared" si="21"/>
        <v>1000</v>
      </c>
      <c r="L79" s="9">
        <v>0</v>
      </c>
      <c r="M79" s="9">
        <v>0</v>
      </c>
      <c r="N79" s="9">
        <f t="shared" si="22"/>
        <v>0</v>
      </c>
      <c r="O79" s="11">
        <f>772/1.19</f>
        <v>648.73949579831935</v>
      </c>
      <c r="P79" s="12">
        <f t="shared" si="23"/>
        <v>123.26050420168067</v>
      </c>
      <c r="Q79" s="12">
        <f t="shared" si="24"/>
        <v>772</v>
      </c>
      <c r="R79" s="11"/>
      <c r="S79" s="12">
        <f t="shared" si="25"/>
        <v>0</v>
      </c>
      <c r="T79" s="12">
        <f t="shared" si="26"/>
        <v>0</v>
      </c>
      <c r="U79" s="11">
        <v>0</v>
      </c>
      <c r="V79" s="11">
        <f t="shared" si="27"/>
        <v>0</v>
      </c>
      <c r="W79" s="11">
        <f t="shared" si="28"/>
        <v>0</v>
      </c>
      <c r="X79" s="18"/>
      <c r="Y79" s="19">
        <v>0</v>
      </c>
      <c r="Z79" s="18">
        <v>0</v>
      </c>
      <c r="AA79" s="18"/>
      <c r="AB79" s="19">
        <f t="shared" si="13"/>
        <v>0</v>
      </c>
      <c r="AC79" s="18">
        <f t="shared" si="14"/>
        <v>0</v>
      </c>
      <c r="AD79" s="18"/>
      <c r="AE79" s="19">
        <f t="shared" si="29"/>
        <v>0</v>
      </c>
      <c r="AF79" s="18">
        <f t="shared" si="30"/>
        <v>0</v>
      </c>
    </row>
    <row r="80" spans="3:32" x14ac:dyDescent="0.25">
      <c r="C80" s="3" t="s">
        <v>145</v>
      </c>
      <c r="D80" s="6" t="s">
        <v>7</v>
      </c>
      <c r="E80" s="6">
        <v>1</v>
      </c>
      <c r="F80" s="9">
        <v>0</v>
      </c>
      <c r="G80" s="9">
        <v>0</v>
      </c>
      <c r="H80" s="9">
        <f t="shared" si="31"/>
        <v>0</v>
      </c>
      <c r="I80" s="9">
        <v>0</v>
      </c>
      <c r="J80" s="9">
        <v>0</v>
      </c>
      <c r="K80" s="9">
        <f t="shared" si="21"/>
        <v>0</v>
      </c>
      <c r="L80" s="9">
        <v>0</v>
      </c>
      <c r="M80" s="9">
        <v>0</v>
      </c>
      <c r="N80" s="9">
        <f t="shared" si="22"/>
        <v>0</v>
      </c>
      <c r="O80" s="11">
        <f>34784/1.19</f>
        <v>29230.252100840338</v>
      </c>
      <c r="P80" s="12">
        <f t="shared" si="23"/>
        <v>5553.7478991596645</v>
      </c>
      <c r="Q80" s="12">
        <f t="shared" si="24"/>
        <v>34784</v>
      </c>
      <c r="R80" s="11">
        <v>40800</v>
      </c>
      <c r="S80" s="12">
        <f t="shared" si="25"/>
        <v>7752</v>
      </c>
      <c r="T80" s="12">
        <f t="shared" si="26"/>
        <v>48552</v>
      </c>
      <c r="U80" s="11">
        <f>34300/1.19</f>
        <v>28823.529411764706</v>
      </c>
      <c r="V80" s="11">
        <f t="shared" si="27"/>
        <v>5476.4705882352946</v>
      </c>
      <c r="W80" s="11">
        <f t="shared" si="28"/>
        <v>34300</v>
      </c>
      <c r="X80" s="18">
        <v>40800</v>
      </c>
      <c r="Y80" s="19">
        <v>7752</v>
      </c>
      <c r="Z80" s="18">
        <v>48552</v>
      </c>
      <c r="AA80" s="18"/>
      <c r="AB80" s="19">
        <f t="shared" si="13"/>
        <v>0</v>
      </c>
      <c r="AC80" s="18">
        <f t="shared" si="14"/>
        <v>0</v>
      </c>
      <c r="AD80" s="18">
        <v>31300</v>
      </c>
      <c r="AE80" s="19">
        <f t="shared" si="29"/>
        <v>5947</v>
      </c>
      <c r="AF80" s="18">
        <f t="shared" si="30"/>
        <v>37247</v>
      </c>
    </row>
    <row r="81" spans="3:32" x14ac:dyDescent="0.25">
      <c r="C81" s="3" t="s">
        <v>144</v>
      </c>
      <c r="D81" s="6" t="s">
        <v>7</v>
      </c>
      <c r="E81" s="6">
        <v>1</v>
      </c>
      <c r="F81" s="9">
        <v>5800</v>
      </c>
      <c r="G81" s="9">
        <v>0</v>
      </c>
      <c r="H81" s="9">
        <f t="shared" si="31"/>
        <v>5800</v>
      </c>
      <c r="I81" s="9">
        <v>5800</v>
      </c>
      <c r="J81" s="9">
        <v>0</v>
      </c>
      <c r="K81" s="9">
        <f t="shared" si="21"/>
        <v>5800</v>
      </c>
      <c r="L81" s="9">
        <v>0</v>
      </c>
      <c r="M81" s="9">
        <v>0</v>
      </c>
      <c r="N81" s="9">
        <f t="shared" si="22"/>
        <v>0</v>
      </c>
      <c r="O81" s="11">
        <f>4982/1.19</f>
        <v>4186.5546218487398</v>
      </c>
      <c r="P81" s="12">
        <f t="shared" si="23"/>
        <v>795.44537815126057</v>
      </c>
      <c r="Q81" s="12">
        <f t="shared" si="24"/>
        <v>4982</v>
      </c>
      <c r="R81" s="11">
        <v>5712</v>
      </c>
      <c r="S81" s="12">
        <f t="shared" si="25"/>
        <v>1085.28</v>
      </c>
      <c r="T81" s="12">
        <f t="shared" si="26"/>
        <v>6797.28</v>
      </c>
      <c r="U81" s="11">
        <v>0</v>
      </c>
      <c r="V81" s="11">
        <f t="shared" si="27"/>
        <v>0</v>
      </c>
      <c r="W81" s="11">
        <f t="shared" si="28"/>
        <v>0</v>
      </c>
      <c r="X81" s="18">
        <v>5712</v>
      </c>
      <c r="Y81" s="19">
        <v>1085.28</v>
      </c>
      <c r="Z81" s="18">
        <v>6797.28</v>
      </c>
      <c r="AA81" s="18"/>
      <c r="AB81" s="19">
        <f t="shared" si="13"/>
        <v>0</v>
      </c>
      <c r="AC81" s="18">
        <f t="shared" si="14"/>
        <v>0</v>
      </c>
      <c r="AD81" s="18">
        <v>4500</v>
      </c>
      <c r="AE81" s="19">
        <f t="shared" si="29"/>
        <v>855</v>
      </c>
      <c r="AF81" s="18">
        <f t="shared" si="30"/>
        <v>5355</v>
      </c>
    </row>
    <row r="82" spans="3:32" x14ac:dyDescent="0.25">
      <c r="C82" s="3" t="s">
        <v>88</v>
      </c>
      <c r="D82" s="6" t="s">
        <v>7</v>
      </c>
      <c r="E82" s="6">
        <v>1</v>
      </c>
      <c r="F82" s="9">
        <v>9000</v>
      </c>
      <c r="G82" s="9">
        <v>0</v>
      </c>
      <c r="H82" s="9">
        <f t="shared" si="31"/>
        <v>9000</v>
      </c>
      <c r="I82" s="9">
        <v>8500</v>
      </c>
      <c r="J82" s="9">
        <v>0</v>
      </c>
      <c r="K82" s="9">
        <f t="shared" si="21"/>
        <v>8500</v>
      </c>
      <c r="L82" s="9">
        <v>8500</v>
      </c>
      <c r="M82" s="9">
        <v>0</v>
      </c>
      <c r="N82" s="9">
        <f t="shared" si="22"/>
        <v>8500</v>
      </c>
      <c r="O82" s="11">
        <f>13900/1.19</f>
        <v>11680.672268907563</v>
      </c>
      <c r="P82" s="12">
        <f t="shared" si="23"/>
        <v>2219.3277310924368</v>
      </c>
      <c r="Q82" s="12">
        <f t="shared" si="24"/>
        <v>13900</v>
      </c>
      <c r="R82" s="11">
        <v>6500</v>
      </c>
      <c r="S82" s="12">
        <f t="shared" si="25"/>
        <v>1235</v>
      </c>
      <c r="T82" s="12">
        <f t="shared" si="26"/>
        <v>7735</v>
      </c>
      <c r="U82" s="11">
        <f>9600/1.19</f>
        <v>8067.226890756303</v>
      </c>
      <c r="V82" s="11">
        <f t="shared" si="27"/>
        <v>1532.7731092436975</v>
      </c>
      <c r="W82" s="11">
        <f t="shared" si="28"/>
        <v>9600</v>
      </c>
      <c r="X82" s="18">
        <v>6500</v>
      </c>
      <c r="Y82" s="19">
        <v>1235</v>
      </c>
      <c r="Z82" s="18">
        <v>7735</v>
      </c>
      <c r="AA82" s="18"/>
      <c r="AB82" s="19">
        <f t="shared" si="13"/>
        <v>0</v>
      </c>
      <c r="AC82" s="18">
        <f t="shared" si="14"/>
        <v>0</v>
      </c>
      <c r="AD82" s="18">
        <v>8630</v>
      </c>
      <c r="AE82" s="19">
        <f t="shared" si="29"/>
        <v>1639.7</v>
      </c>
      <c r="AF82" s="18">
        <f t="shared" si="30"/>
        <v>10269.700000000001</v>
      </c>
    </row>
    <row r="83" spans="3:32" x14ac:dyDescent="0.25">
      <c r="C83" s="3" t="s">
        <v>89</v>
      </c>
      <c r="D83" s="6" t="s">
        <v>7</v>
      </c>
      <c r="E83" s="6">
        <v>1</v>
      </c>
      <c r="F83" s="9">
        <v>9000</v>
      </c>
      <c r="G83" s="9">
        <v>0</v>
      </c>
      <c r="H83" s="9">
        <f t="shared" si="31"/>
        <v>9000</v>
      </c>
      <c r="I83" s="9">
        <v>8500</v>
      </c>
      <c r="J83" s="9">
        <v>0</v>
      </c>
      <c r="K83" s="9">
        <f t="shared" si="21"/>
        <v>8500</v>
      </c>
      <c r="L83" s="9">
        <v>0</v>
      </c>
      <c r="M83" s="9">
        <v>0</v>
      </c>
      <c r="N83" s="9">
        <f t="shared" si="22"/>
        <v>0</v>
      </c>
      <c r="O83" s="11">
        <f>13900/1.19</f>
        <v>11680.672268907563</v>
      </c>
      <c r="P83" s="12">
        <f t="shared" si="23"/>
        <v>2219.3277310924368</v>
      </c>
      <c r="Q83" s="12">
        <f t="shared" si="24"/>
        <v>13900</v>
      </c>
      <c r="R83" s="11">
        <v>6500</v>
      </c>
      <c r="S83" s="12">
        <f t="shared" si="25"/>
        <v>1235</v>
      </c>
      <c r="T83" s="12">
        <f t="shared" si="26"/>
        <v>7735</v>
      </c>
      <c r="U83" s="11">
        <f>9600/1.19</f>
        <v>8067.226890756303</v>
      </c>
      <c r="V83" s="11">
        <f t="shared" si="27"/>
        <v>1532.7731092436975</v>
      </c>
      <c r="W83" s="11">
        <f t="shared" si="28"/>
        <v>9600</v>
      </c>
      <c r="X83" s="18">
        <v>6500</v>
      </c>
      <c r="Y83" s="19">
        <v>1235</v>
      </c>
      <c r="Z83" s="18">
        <v>7735</v>
      </c>
      <c r="AA83" s="18"/>
      <c r="AB83" s="19">
        <f t="shared" si="13"/>
        <v>0</v>
      </c>
      <c r="AC83" s="18">
        <f t="shared" si="14"/>
        <v>0</v>
      </c>
      <c r="AD83" s="18">
        <v>8550</v>
      </c>
      <c r="AE83" s="19">
        <f t="shared" si="29"/>
        <v>1624.5</v>
      </c>
      <c r="AF83" s="18">
        <f t="shared" si="30"/>
        <v>10174.5</v>
      </c>
    </row>
    <row r="84" spans="3:32" x14ac:dyDescent="0.25">
      <c r="C84" s="3" t="s">
        <v>90</v>
      </c>
      <c r="D84" s="6" t="s">
        <v>7</v>
      </c>
      <c r="E84" s="6">
        <v>1</v>
      </c>
      <c r="F84" s="9">
        <v>4300</v>
      </c>
      <c r="G84" s="9">
        <v>0</v>
      </c>
      <c r="H84" s="9">
        <f t="shared" si="31"/>
        <v>4300</v>
      </c>
      <c r="I84" s="9">
        <v>4500</v>
      </c>
      <c r="J84" s="9">
        <v>0</v>
      </c>
      <c r="K84" s="9">
        <f t="shared" si="21"/>
        <v>4500</v>
      </c>
      <c r="L84" s="9">
        <v>4500</v>
      </c>
      <c r="M84" s="9">
        <v>0</v>
      </c>
      <c r="N84" s="9">
        <f t="shared" si="22"/>
        <v>4500</v>
      </c>
      <c r="O84" s="11">
        <f>1794/1.19</f>
        <v>1507.5630252100841</v>
      </c>
      <c r="P84" s="12">
        <f t="shared" si="23"/>
        <v>286.43697478991601</v>
      </c>
      <c r="Q84" s="12">
        <f t="shared" si="24"/>
        <v>1794</v>
      </c>
      <c r="R84" s="10">
        <v>3000</v>
      </c>
      <c r="S84" s="10">
        <f t="shared" si="25"/>
        <v>570</v>
      </c>
      <c r="T84" s="10">
        <f t="shared" si="26"/>
        <v>3570</v>
      </c>
      <c r="U84" s="11">
        <f>4750/1.19</f>
        <v>3991.5966386554624</v>
      </c>
      <c r="V84" s="11">
        <f t="shared" si="27"/>
        <v>758.40336134453787</v>
      </c>
      <c r="W84" s="11">
        <f t="shared" si="28"/>
        <v>4750</v>
      </c>
      <c r="X84" s="18">
        <v>3000</v>
      </c>
      <c r="Y84" s="19">
        <v>570</v>
      </c>
      <c r="Z84" s="18">
        <v>3570</v>
      </c>
      <c r="AA84" s="18"/>
      <c r="AB84" s="19">
        <f t="shared" si="13"/>
        <v>0</v>
      </c>
      <c r="AC84" s="18">
        <f t="shared" si="14"/>
        <v>0</v>
      </c>
      <c r="AD84" s="18">
        <v>2020</v>
      </c>
      <c r="AE84" s="19">
        <f t="shared" si="29"/>
        <v>383.8</v>
      </c>
      <c r="AF84" s="18">
        <f t="shared" si="30"/>
        <v>2403.8000000000002</v>
      </c>
    </row>
    <row r="85" spans="3:32" x14ac:dyDescent="0.25">
      <c r="C85" s="3" t="s">
        <v>91</v>
      </c>
      <c r="D85" s="6" t="s">
        <v>7</v>
      </c>
      <c r="E85" s="6">
        <v>1</v>
      </c>
      <c r="F85" s="9">
        <v>22000</v>
      </c>
      <c r="G85" s="9">
        <v>0</v>
      </c>
      <c r="H85" s="9">
        <f t="shared" si="31"/>
        <v>22000</v>
      </c>
      <c r="I85" s="9">
        <v>22000</v>
      </c>
      <c r="J85" s="9">
        <v>0</v>
      </c>
      <c r="K85" s="9">
        <f t="shared" si="21"/>
        <v>22000</v>
      </c>
      <c r="L85" s="9">
        <v>16500</v>
      </c>
      <c r="M85" s="9">
        <v>0</v>
      </c>
      <c r="N85" s="9">
        <f t="shared" si="22"/>
        <v>16500</v>
      </c>
      <c r="O85" s="11">
        <f>23550/1.19</f>
        <v>19789.915966386554</v>
      </c>
      <c r="P85" s="12">
        <f t="shared" si="23"/>
        <v>3760.0840336134452</v>
      </c>
      <c r="Q85" s="12">
        <f t="shared" si="24"/>
        <v>23550</v>
      </c>
      <c r="R85" s="11">
        <v>13500</v>
      </c>
      <c r="S85" s="12">
        <f t="shared" si="25"/>
        <v>2565</v>
      </c>
      <c r="T85" s="12">
        <f t="shared" si="26"/>
        <v>16065</v>
      </c>
      <c r="U85" s="11">
        <f>12650/1.19</f>
        <v>10630.252100840336</v>
      </c>
      <c r="V85" s="11">
        <f t="shared" si="27"/>
        <v>2019.747899159664</v>
      </c>
      <c r="W85" s="11">
        <f t="shared" si="28"/>
        <v>12650</v>
      </c>
      <c r="X85" s="18">
        <v>13500</v>
      </c>
      <c r="Y85" s="19">
        <v>2565</v>
      </c>
      <c r="Z85" s="18">
        <v>16065</v>
      </c>
      <c r="AA85" s="18"/>
      <c r="AB85" s="19">
        <f t="shared" si="13"/>
        <v>0</v>
      </c>
      <c r="AC85" s="18">
        <f t="shared" si="14"/>
        <v>0</v>
      </c>
      <c r="AD85" s="18">
        <v>10940</v>
      </c>
      <c r="AE85" s="19">
        <f t="shared" si="29"/>
        <v>2078.6</v>
      </c>
      <c r="AF85" s="18">
        <f t="shared" si="30"/>
        <v>13018.6</v>
      </c>
    </row>
    <row r="86" spans="3:32" x14ac:dyDescent="0.25">
      <c r="C86" s="3" t="s">
        <v>208</v>
      </c>
      <c r="D86" s="6" t="s">
        <v>7</v>
      </c>
      <c r="E86" s="6">
        <v>1</v>
      </c>
      <c r="F86" s="9">
        <v>53000</v>
      </c>
      <c r="G86" s="9">
        <v>0</v>
      </c>
      <c r="H86" s="9">
        <f t="shared" si="31"/>
        <v>53000</v>
      </c>
      <c r="I86" s="9">
        <v>52000</v>
      </c>
      <c r="J86" s="9">
        <v>0</v>
      </c>
      <c r="K86" s="9">
        <f t="shared" si="21"/>
        <v>52000</v>
      </c>
      <c r="L86" s="9">
        <v>90300</v>
      </c>
      <c r="M86" s="9">
        <v>0</v>
      </c>
      <c r="N86" s="9">
        <f t="shared" si="22"/>
        <v>90300</v>
      </c>
      <c r="O86" s="11">
        <f>76218/1.19</f>
        <v>64048.73949579832</v>
      </c>
      <c r="P86" s="12">
        <f t="shared" si="23"/>
        <v>12169.26050420168</v>
      </c>
      <c r="Q86" s="12">
        <f t="shared" si="24"/>
        <v>76218</v>
      </c>
      <c r="R86" s="11">
        <v>46000</v>
      </c>
      <c r="S86" s="12">
        <f t="shared" si="25"/>
        <v>8740</v>
      </c>
      <c r="T86" s="12">
        <f t="shared" si="26"/>
        <v>54740</v>
      </c>
      <c r="U86" s="11">
        <f>68100/1.19</f>
        <v>57226.89075630252</v>
      </c>
      <c r="V86" s="11">
        <f t="shared" si="27"/>
        <v>10873.10924369748</v>
      </c>
      <c r="W86" s="11">
        <f t="shared" si="28"/>
        <v>68100</v>
      </c>
      <c r="X86" s="18">
        <v>46000</v>
      </c>
      <c r="Y86" s="19">
        <v>8740</v>
      </c>
      <c r="Z86" s="18">
        <v>54740</v>
      </c>
      <c r="AA86" s="18"/>
      <c r="AB86" s="19">
        <f t="shared" si="13"/>
        <v>0</v>
      </c>
      <c r="AC86" s="18">
        <f t="shared" si="14"/>
        <v>0</v>
      </c>
      <c r="AD86" s="18">
        <v>55390</v>
      </c>
      <c r="AE86" s="19">
        <f t="shared" si="29"/>
        <v>10524.1</v>
      </c>
      <c r="AF86" s="18">
        <f t="shared" si="30"/>
        <v>65914.100000000006</v>
      </c>
    </row>
    <row r="87" spans="3:32" x14ac:dyDescent="0.25">
      <c r="C87" s="3" t="s">
        <v>131</v>
      </c>
      <c r="D87" s="6" t="s">
        <v>21</v>
      </c>
      <c r="E87" s="6">
        <v>1</v>
      </c>
      <c r="F87" s="9">
        <v>0</v>
      </c>
      <c r="G87" s="9">
        <v>0</v>
      </c>
      <c r="H87" s="9">
        <f t="shared" si="31"/>
        <v>0</v>
      </c>
      <c r="I87" s="9">
        <v>0</v>
      </c>
      <c r="J87" s="9">
        <v>0</v>
      </c>
      <c r="K87" s="9">
        <f t="shared" si="21"/>
        <v>0</v>
      </c>
      <c r="L87" s="9">
        <v>88900</v>
      </c>
      <c r="M87" s="9">
        <v>0</v>
      </c>
      <c r="N87" s="9">
        <f t="shared" si="22"/>
        <v>88900</v>
      </c>
      <c r="O87" s="11">
        <f>87566/1.19</f>
        <v>73584.873949579836</v>
      </c>
      <c r="P87" s="12">
        <f t="shared" si="23"/>
        <v>13981.126050420169</v>
      </c>
      <c r="Q87" s="12">
        <f t="shared" si="24"/>
        <v>87566</v>
      </c>
      <c r="R87" s="11">
        <v>88700</v>
      </c>
      <c r="S87" s="12">
        <f t="shared" si="25"/>
        <v>16853</v>
      </c>
      <c r="T87" s="12">
        <f t="shared" si="26"/>
        <v>105553</v>
      </c>
      <c r="U87" s="11">
        <f>87650/1.19</f>
        <v>73655.462184873948</v>
      </c>
      <c r="V87" s="11">
        <f t="shared" si="27"/>
        <v>13994.53781512605</v>
      </c>
      <c r="W87" s="11">
        <f t="shared" si="28"/>
        <v>87650</v>
      </c>
      <c r="X87" s="18">
        <v>88700</v>
      </c>
      <c r="Y87" s="19">
        <v>16853</v>
      </c>
      <c r="Z87" s="18">
        <v>105553</v>
      </c>
      <c r="AA87" s="18"/>
      <c r="AB87" s="19">
        <f t="shared" si="13"/>
        <v>0</v>
      </c>
      <c r="AC87" s="18">
        <f t="shared" si="14"/>
        <v>0</v>
      </c>
      <c r="AD87" s="18">
        <v>76520</v>
      </c>
      <c r="AE87" s="19">
        <f t="shared" si="29"/>
        <v>14538.8</v>
      </c>
      <c r="AF87" s="18">
        <f t="shared" si="30"/>
        <v>91058.8</v>
      </c>
    </row>
    <row r="88" spans="3:32" x14ac:dyDescent="0.25">
      <c r="C88" s="3" t="s">
        <v>120</v>
      </c>
      <c r="D88" s="6" t="s">
        <v>7</v>
      </c>
      <c r="E88" s="6">
        <v>1</v>
      </c>
      <c r="F88" s="9">
        <v>9000</v>
      </c>
      <c r="G88" s="9">
        <v>0</v>
      </c>
      <c r="H88" s="9">
        <f t="shared" si="31"/>
        <v>9000</v>
      </c>
      <c r="I88" s="9">
        <v>10000</v>
      </c>
      <c r="J88" s="9">
        <v>0</v>
      </c>
      <c r="K88" s="9">
        <f t="shared" si="21"/>
        <v>10000</v>
      </c>
      <c r="L88" s="9">
        <v>8500</v>
      </c>
      <c r="M88" s="9">
        <v>0</v>
      </c>
      <c r="N88" s="9">
        <f t="shared" si="22"/>
        <v>8500</v>
      </c>
      <c r="O88" s="11">
        <f>9702/1.19</f>
        <v>8152.9411764705883</v>
      </c>
      <c r="P88" s="12">
        <f t="shared" si="23"/>
        <v>1549.0588235294117</v>
      </c>
      <c r="Q88" s="12">
        <f t="shared" si="24"/>
        <v>9702</v>
      </c>
      <c r="R88" s="11">
        <v>7100</v>
      </c>
      <c r="S88" s="12">
        <f t="shared" si="25"/>
        <v>1349</v>
      </c>
      <c r="T88" s="12">
        <f t="shared" si="26"/>
        <v>8449</v>
      </c>
      <c r="U88" s="11">
        <v>0</v>
      </c>
      <c r="V88" s="11">
        <f t="shared" si="27"/>
        <v>0</v>
      </c>
      <c r="W88" s="11">
        <f t="shared" si="28"/>
        <v>0</v>
      </c>
      <c r="X88" s="18">
        <v>7100</v>
      </c>
      <c r="Y88" s="19">
        <v>1349</v>
      </c>
      <c r="Z88" s="18">
        <v>8449</v>
      </c>
      <c r="AA88" s="18"/>
      <c r="AB88" s="19">
        <f t="shared" si="13"/>
        <v>0</v>
      </c>
      <c r="AC88" s="18">
        <f t="shared" si="14"/>
        <v>0</v>
      </c>
      <c r="AD88" s="18">
        <v>6650</v>
      </c>
      <c r="AE88" s="19">
        <f t="shared" si="29"/>
        <v>1263.5</v>
      </c>
      <c r="AF88" s="18">
        <f t="shared" si="30"/>
        <v>7913.5</v>
      </c>
    </row>
    <row r="89" spans="3:32" x14ac:dyDescent="0.25">
      <c r="C89" s="3" t="s">
        <v>15</v>
      </c>
      <c r="D89" s="6" t="s">
        <v>21</v>
      </c>
      <c r="E89" s="6">
        <v>1</v>
      </c>
      <c r="F89" s="9">
        <v>0</v>
      </c>
      <c r="G89" s="9">
        <v>0</v>
      </c>
      <c r="H89" s="9">
        <f t="shared" si="31"/>
        <v>0</v>
      </c>
      <c r="I89" s="9">
        <v>0</v>
      </c>
      <c r="J89" s="9">
        <v>0</v>
      </c>
      <c r="K89" s="9">
        <f t="shared" si="21"/>
        <v>0</v>
      </c>
      <c r="L89" s="9">
        <v>112900</v>
      </c>
      <c r="M89" s="9">
        <v>0</v>
      </c>
      <c r="N89" s="9">
        <f t="shared" si="22"/>
        <v>112900</v>
      </c>
      <c r="O89" s="11">
        <f>111435/1.19</f>
        <v>93642.857142857145</v>
      </c>
      <c r="P89" s="12">
        <f t="shared" si="23"/>
        <v>17792.142857142859</v>
      </c>
      <c r="Q89" s="12">
        <f t="shared" si="24"/>
        <v>111435</v>
      </c>
      <c r="R89" s="11"/>
      <c r="S89" s="12">
        <f t="shared" si="25"/>
        <v>0</v>
      </c>
      <c r="T89" s="12">
        <f t="shared" si="26"/>
        <v>0</v>
      </c>
      <c r="U89" s="11">
        <v>0</v>
      </c>
      <c r="V89" s="11">
        <f t="shared" si="27"/>
        <v>0</v>
      </c>
      <c r="W89" s="11">
        <f t="shared" si="28"/>
        <v>0</v>
      </c>
      <c r="X89" s="18"/>
      <c r="Y89" s="19">
        <v>0</v>
      </c>
      <c r="Z89" s="18">
        <v>0</v>
      </c>
      <c r="AA89" s="18">
        <v>84438</v>
      </c>
      <c r="AB89" s="19">
        <f t="shared" si="13"/>
        <v>16043.22</v>
      </c>
      <c r="AC89" s="18">
        <f t="shared" si="14"/>
        <v>100481.22</v>
      </c>
      <c r="AD89" s="18">
        <v>102970</v>
      </c>
      <c r="AE89" s="19">
        <f t="shared" si="29"/>
        <v>19564.3</v>
      </c>
      <c r="AF89" s="18">
        <f t="shared" si="30"/>
        <v>122534.3</v>
      </c>
    </row>
    <row r="90" spans="3:32" x14ac:dyDescent="0.25">
      <c r="C90" s="3" t="s">
        <v>37</v>
      </c>
      <c r="D90" s="6" t="s">
        <v>21</v>
      </c>
      <c r="E90" s="6">
        <v>1</v>
      </c>
      <c r="F90" s="9">
        <v>0</v>
      </c>
      <c r="G90" s="9">
        <v>0</v>
      </c>
      <c r="H90" s="9">
        <f t="shared" si="31"/>
        <v>0</v>
      </c>
      <c r="I90" s="9">
        <v>0</v>
      </c>
      <c r="J90" s="9">
        <v>0</v>
      </c>
      <c r="K90" s="9">
        <f t="shared" si="21"/>
        <v>0</v>
      </c>
      <c r="L90" s="9">
        <v>0</v>
      </c>
      <c r="M90" s="9">
        <v>0</v>
      </c>
      <c r="N90" s="9">
        <f t="shared" si="22"/>
        <v>0</v>
      </c>
      <c r="O90" s="11">
        <v>0</v>
      </c>
      <c r="P90" s="12">
        <f t="shared" si="23"/>
        <v>0</v>
      </c>
      <c r="Q90" s="12">
        <f t="shared" si="24"/>
        <v>0</v>
      </c>
      <c r="R90" s="11">
        <v>112600</v>
      </c>
      <c r="S90" s="12">
        <f t="shared" si="25"/>
        <v>21394</v>
      </c>
      <c r="T90" s="12">
        <f t="shared" si="26"/>
        <v>133994</v>
      </c>
      <c r="U90" s="11">
        <v>0</v>
      </c>
      <c r="V90" s="11">
        <f t="shared" si="27"/>
        <v>0</v>
      </c>
      <c r="W90" s="11">
        <f t="shared" si="28"/>
        <v>0</v>
      </c>
      <c r="X90" s="18">
        <v>112600</v>
      </c>
      <c r="Y90" s="19">
        <v>21394</v>
      </c>
      <c r="Z90" s="18">
        <v>133994</v>
      </c>
      <c r="AA90" s="18"/>
      <c r="AB90" s="19">
        <f t="shared" si="13"/>
        <v>0</v>
      </c>
      <c r="AC90" s="18">
        <f t="shared" si="14"/>
        <v>0</v>
      </c>
      <c r="AD90" s="18"/>
      <c r="AE90" s="19">
        <f t="shared" si="29"/>
        <v>0</v>
      </c>
      <c r="AF90" s="18">
        <f t="shared" si="30"/>
        <v>0</v>
      </c>
    </row>
    <row r="91" spans="3:32" x14ac:dyDescent="0.25">
      <c r="C91" s="3" t="s">
        <v>37</v>
      </c>
      <c r="D91" s="6" t="s">
        <v>53</v>
      </c>
      <c r="E91" s="6">
        <v>1</v>
      </c>
      <c r="F91" s="9">
        <v>0</v>
      </c>
      <c r="G91" s="9">
        <v>0</v>
      </c>
      <c r="H91" s="9">
        <f t="shared" si="31"/>
        <v>0</v>
      </c>
      <c r="I91" s="9">
        <v>0</v>
      </c>
      <c r="J91" s="9">
        <v>0</v>
      </c>
      <c r="K91" s="9">
        <f t="shared" si="21"/>
        <v>0</v>
      </c>
      <c r="L91" s="9">
        <v>0</v>
      </c>
      <c r="M91" s="9">
        <v>0</v>
      </c>
      <c r="N91" s="9">
        <f t="shared" si="22"/>
        <v>0</v>
      </c>
      <c r="O91" s="11">
        <f>39301/1.19</f>
        <v>33026.050420168067</v>
      </c>
      <c r="P91" s="12">
        <f t="shared" si="23"/>
        <v>6274.9495798319331</v>
      </c>
      <c r="Q91" s="12">
        <f t="shared" si="24"/>
        <v>39301</v>
      </c>
      <c r="R91" s="10">
        <v>39800</v>
      </c>
      <c r="S91" s="10">
        <f t="shared" si="25"/>
        <v>7562</v>
      </c>
      <c r="T91" s="10">
        <f t="shared" si="26"/>
        <v>47362</v>
      </c>
      <c r="U91" s="11">
        <v>0</v>
      </c>
      <c r="V91" s="11">
        <f t="shared" si="27"/>
        <v>0</v>
      </c>
      <c r="W91" s="11">
        <f t="shared" si="28"/>
        <v>0</v>
      </c>
      <c r="X91" s="18">
        <v>39800</v>
      </c>
      <c r="Y91" s="19">
        <v>7562</v>
      </c>
      <c r="Z91" s="18">
        <v>47362</v>
      </c>
      <c r="AA91" s="18"/>
      <c r="AB91" s="19">
        <f t="shared" si="13"/>
        <v>0</v>
      </c>
      <c r="AC91" s="18">
        <f t="shared" si="14"/>
        <v>0</v>
      </c>
      <c r="AD91" s="18"/>
      <c r="AE91" s="19">
        <f t="shared" si="29"/>
        <v>0</v>
      </c>
      <c r="AF91" s="18">
        <f t="shared" si="30"/>
        <v>0</v>
      </c>
    </row>
    <row r="92" spans="3:32" x14ac:dyDescent="0.25">
      <c r="C92" s="3" t="s">
        <v>92</v>
      </c>
      <c r="D92" s="6" t="s">
        <v>21</v>
      </c>
      <c r="E92" s="6">
        <v>1</v>
      </c>
      <c r="F92" s="9">
        <v>0</v>
      </c>
      <c r="G92" s="9">
        <v>0</v>
      </c>
      <c r="H92" s="9">
        <f t="shared" si="31"/>
        <v>0</v>
      </c>
      <c r="I92" s="9">
        <v>0</v>
      </c>
      <c r="J92" s="9">
        <v>0</v>
      </c>
      <c r="K92" s="9">
        <f t="shared" si="21"/>
        <v>0</v>
      </c>
      <c r="L92" s="9">
        <v>0</v>
      </c>
      <c r="M92" s="9">
        <v>0</v>
      </c>
      <c r="N92" s="9">
        <f t="shared" si="22"/>
        <v>0</v>
      </c>
      <c r="O92" s="11">
        <v>0</v>
      </c>
      <c r="P92" s="12">
        <f t="shared" si="23"/>
        <v>0</v>
      </c>
      <c r="Q92" s="12">
        <f t="shared" si="24"/>
        <v>0</v>
      </c>
      <c r="R92" s="11"/>
      <c r="S92" s="12">
        <f t="shared" si="25"/>
        <v>0</v>
      </c>
      <c r="T92" s="12">
        <f t="shared" si="26"/>
        <v>0</v>
      </c>
      <c r="U92" s="11">
        <v>0</v>
      </c>
      <c r="V92" s="11">
        <f t="shared" si="27"/>
        <v>0</v>
      </c>
      <c r="W92" s="11">
        <f t="shared" si="28"/>
        <v>0</v>
      </c>
      <c r="X92" s="18"/>
      <c r="Y92" s="19">
        <v>0</v>
      </c>
      <c r="Z92" s="18">
        <v>0</v>
      </c>
      <c r="AA92" s="18"/>
      <c r="AB92" s="19">
        <f t="shared" si="13"/>
        <v>0</v>
      </c>
      <c r="AC92" s="18">
        <f t="shared" si="14"/>
        <v>0</v>
      </c>
      <c r="AD92" s="18">
        <v>120510</v>
      </c>
      <c r="AE92" s="19">
        <f t="shared" si="29"/>
        <v>22896.9</v>
      </c>
      <c r="AF92" s="18">
        <f t="shared" si="30"/>
        <v>143406.9</v>
      </c>
    </row>
    <row r="93" spans="3:32" x14ac:dyDescent="0.25">
      <c r="C93" s="3" t="s">
        <v>93</v>
      </c>
      <c r="D93" s="6" t="s">
        <v>21</v>
      </c>
      <c r="E93" s="6">
        <v>1</v>
      </c>
      <c r="F93" s="9">
        <v>0</v>
      </c>
      <c r="G93" s="9">
        <v>0</v>
      </c>
      <c r="H93" s="9">
        <f t="shared" si="31"/>
        <v>0</v>
      </c>
      <c r="I93" s="9">
        <v>0</v>
      </c>
      <c r="J93" s="9">
        <v>0</v>
      </c>
      <c r="K93" s="9">
        <f t="shared" si="21"/>
        <v>0</v>
      </c>
      <c r="L93" s="9">
        <v>0</v>
      </c>
      <c r="M93" s="9">
        <v>0</v>
      </c>
      <c r="N93" s="9">
        <f t="shared" si="22"/>
        <v>0</v>
      </c>
      <c r="O93" s="11">
        <f>87566/1.19</f>
        <v>73584.873949579836</v>
      </c>
      <c r="P93" s="12">
        <f t="shared" si="23"/>
        <v>13981.126050420169</v>
      </c>
      <c r="Q93" s="12">
        <f t="shared" si="24"/>
        <v>87566</v>
      </c>
      <c r="R93" s="11"/>
      <c r="S93" s="12">
        <f t="shared" si="25"/>
        <v>0</v>
      </c>
      <c r="T93" s="12">
        <f t="shared" si="26"/>
        <v>0</v>
      </c>
      <c r="U93" s="11">
        <v>0</v>
      </c>
      <c r="V93" s="11">
        <f t="shared" si="27"/>
        <v>0</v>
      </c>
      <c r="W93" s="11">
        <f t="shared" si="28"/>
        <v>0</v>
      </c>
      <c r="X93" s="18"/>
      <c r="Y93" s="19">
        <v>0</v>
      </c>
      <c r="Z93" s="18">
        <v>0</v>
      </c>
      <c r="AA93" s="18">
        <v>66488</v>
      </c>
      <c r="AB93" s="19">
        <f t="shared" si="13"/>
        <v>12632.72</v>
      </c>
      <c r="AC93" s="18">
        <f t="shared" si="14"/>
        <v>79120.72</v>
      </c>
      <c r="AD93" s="18">
        <v>76520</v>
      </c>
      <c r="AE93" s="19">
        <f t="shared" si="29"/>
        <v>14538.8</v>
      </c>
      <c r="AF93" s="18">
        <f t="shared" si="30"/>
        <v>91058.8</v>
      </c>
    </row>
    <row r="94" spans="3:32" x14ac:dyDescent="0.25">
      <c r="C94" s="3" t="s">
        <v>56</v>
      </c>
      <c r="D94" s="6" t="s">
        <v>21</v>
      </c>
      <c r="E94" s="6">
        <v>1</v>
      </c>
      <c r="F94" s="9">
        <v>0</v>
      </c>
      <c r="G94" s="9">
        <v>0</v>
      </c>
      <c r="H94" s="9">
        <f t="shared" si="31"/>
        <v>0</v>
      </c>
      <c r="I94" s="9">
        <v>0</v>
      </c>
      <c r="J94" s="9">
        <v>0</v>
      </c>
      <c r="K94" s="9">
        <f t="shared" si="21"/>
        <v>0</v>
      </c>
      <c r="L94" s="9">
        <v>0</v>
      </c>
      <c r="M94" s="9">
        <v>0</v>
      </c>
      <c r="N94" s="9">
        <f t="shared" si="22"/>
        <v>0</v>
      </c>
      <c r="O94" s="11">
        <f>111435/1.19</f>
        <v>93642.857142857145</v>
      </c>
      <c r="P94" s="12">
        <f t="shared" si="23"/>
        <v>17792.142857142859</v>
      </c>
      <c r="Q94" s="12">
        <f t="shared" si="24"/>
        <v>111435</v>
      </c>
      <c r="R94" s="11">
        <v>112600</v>
      </c>
      <c r="S94" s="12">
        <f t="shared" si="25"/>
        <v>21394</v>
      </c>
      <c r="T94" s="12">
        <f t="shared" si="26"/>
        <v>133994</v>
      </c>
      <c r="U94" s="11">
        <v>0</v>
      </c>
      <c r="V94" s="11">
        <f t="shared" si="27"/>
        <v>0</v>
      </c>
      <c r="W94" s="11">
        <f t="shared" si="28"/>
        <v>0</v>
      </c>
      <c r="X94" s="18">
        <v>112600</v>
      </c>
      <c r="Y94" s="19">
        <v>21394</v>
      </c>
      <c r="Z94" s="18">
        <v>133994</v>
      </c>
      <c r="AA94" s="18"/>
      <c r="AB94" s="19">
        <f t="shared" si="13"/>
        <v>0</v>
      </c>
      <c r="AC94" s="18">
        <f t="shared" si="14"/>
        <v>0</v>
      </c>
      <c r="AD94" s="18">
        <v>102960</v>
      </c>
      <c r="AE94" s="19">
        <f t="shared" si="29"/>
        <v>19562.400000000001</v>
      </c>
      <c r="AF94" s="18">
        <f t="shared" si="30"/>
        <v>122522.4</v>
      </c>
    </row>
    <row r="95" spans="3:32" x14ac:dyDescent="0.25">
      <c r="C95" s="3" t="s">
        <v>22</v>
      </c>
      <c r="D95" s="6" t="s">
        <v>21</v>
      </c>
      <c r="E95" s="6">
        <v>1</v>
      </c>
      <c r="F95" s="9">
        <v>128000</v>
      </c>
      <c r="G95" s="9">
        <v>0</v>
      </c>
      <c r="H95" s="9">
        <f t="shared" si="31"/>
        <v>128000</v>
      </c>
      <c r="I95" s="9">
        <v>127000</v>
      </c>
      <c r="J95" s="9">
        <v>0</v>
      </c>
      <c r="K95" s="9">
        <f t="shared" si="21"/>
        <v>127000</v>
      </c>
      <c r="L95" s="9">
        <v>125900</v>
      </c>
      <c r="M95" s="9">
        <v>0</v>
      </c>
      <c r="N95" s="9">
        <f t="shared" si="22"/>
        <v>125900</v>
      </c>
      <c r="O95" s="11">
        <f>124011/1.19</f>
        <v>104210.92436974791</v>
      </c>
      <c r="P95" s="12">
        <f t="shared" si="23"/>
        <v>19800.075630252104</v>
      </c>
      <c r="Q95" s="12">
        <f t="shared" si="24"/>
        <v>124011.00000000001</v>
      </c>
      <c r="R95" s="11">
        <v>125600</v>
      </c>
      <c r="S95" s="12">
        <f t="shared" si="25"/>
        <v>23864</v>
      </c>
      <c r="T95" s="12">
        <f t="shared" si="26"/>
        <v>149464</v>
      </c>
      <c r="U95" s="11">
        <f t="shared" ref="U95:U101" si="32">124100/1.19</f>
        <v>104285.71428571429</v>
      </c>
      <c r="V95" s="11">
        <f t="shared" si="27"/>
        <v>19814.285714285714</v>
      </c>
      <c r="W95" s="11">
        <f t="shared" si="28"/>
        <v>124100</v>
      </c>
      <c r="X95" s="18">
        <v>125600</v>
      </c>
      <c r="Y95" s="19">
        <v>23864</v>
      </c>
      <c r="Z95" s="18">
        <v>149464</v>
      </c>
      <c r="AA95" s="18"/>
      <c r="AB95" s="19">
        <f t="shared" si="13"/>
        <v>0</v>
      </c>
      <c r="AC95" s="18">
        <f t="shared" si="14"/>
        <v>0</v>
      </c>
      <c r="AD95" s="18">
        <v>104800</v>
      </c>
      <c r="AE95" s="19">
        <f t="shared" si="29"/>
        <v>19912</v>
      </c>
      <c r="AF95" s="18">
        <f t="shared" si="30"/>
        <v>124712</v>
      </c>
    </row>
    <row r="96" spans="3:32" x14ac:dyDescent="0.25">
      <c r="C96" s="3" t="s">
        <v>27</v>
      </c>
      <c r="D96" s="6" t="s">
        <v>21</v>
      </c>
      <c r="E96" s="6">
        <v>1</v>
      </c>
      <c r="F96" s="9">
        <v>0</v>
      </c>
      <c r="G96" s="9">
        <v>0</v>
      </c>
      <c r="H96" s="9">
        <f t="shared" si="31"/>
        <v>0</v>
      </c>
      <c r="I96" s="9">
        <v>0</v>
      </c>
      <c r="J96" s="9">
        <v>0</v>
      </c>
      <c r="K96" s="9">
        <f t="shared" si="21"/>
        <v>0</v>
      </c>
      <c r="L96" s="9">
        <v>125900</v>
      </c>
      <c r="M96" s="9">
        <v>0</v>
      </c>
      <c r="N96" s="9">
        <f t="shared" si="22"/>
        <v>125900</v>
      </c>
      <c r="O96" s="11">
        <f>124011/1.19</f>
        <v>104210.92436974791</v>
      </c>
      <c r="P96" s="12">
        <f t="shared" si="23"/>
        <v>19800.075630252104</v>
      </c>
      <c r="Q96" s="12">
        <f t="shared" si="24"/>
        <v>124011.00000000001</v>
      </c>
      <c r="R96" s="11">
        <v>125600</v>
      </c>
      <c r="S96" s="12">
        <f t="shared" si="25"/>
        <v>23864</v>
      </c>
      <c r="T96" s="12">
        <f t="shared" si="26"/>
        <v>149464</v>
      </c>
      <c r="U96" s="11">
        <f t="shared" si="32"/>
        <v>104285.71428571429</v>
      </c>
      <c r="V96" s="11">
        <f t="shared" si="27"/>
        <v>19814.285714285714</v>
      </c>
      <c r="W96" s="11">
        <f t="shared" si="28"/>
        <v>124100</v>
      </c>
      <c r="X96" s="18">
        <v>125600</v>
      </c>
      <c r="Y96" s="19">
        <v>23864</v>
      </c>
      <c r="Z96" s="18">
        <v>149464</v>
      </c>
      <c r="AA96" s="18"/>
      <c r="AB96" s="19">
        <f t="shared" si="13"/>
        <v>0</v>
      </c>
      <c r="AC96" s="18">
        <f t="shared" si="14"/>
        <v>0</v>
      </c>
      <c r="AD96" s="18">
        <v>102970</v>
      </c>
      <c r="AE96" s="19">
        <f t="shared" si="29"/>
        <v>19564.3</v>
      </c>
      <c r="AF96" s="18">
        <f t="shared" si="30"/>
        <v>122534.3</v>
      </c>
    </row>
    <row r="97" spans="3:32" x14ac:dyDescent="0.25">
      <c r="C97" s="3" t="s">
        <v>26</v>
      </c>
      <c r="D97" s="6" t="s">
        <v>21</v>
      </c>
      <c r="E97" s="6">
        <v>1</v>
      </c>
      <c r="F97" s="9">
        <v>128000</v>
      </c>
      <c r="G97" s="9">
        <v>0</v>
      </c>
      <c r="H97" s="9">
        <f t="shared" si="31"/>
        <v>128000</v>
      </c>
      <c r="I97" s="9">
        <v>127000</v>
      </c>
      <c r="J97" s="9">
        <v>0</v>
      </c>
      <c r="K97" s="9">
        <f t="shared" si="21"/>
        <v>127000</v>
      </c>
      <c r="L97" s="9">
        <v>125900</v>
      </c>
      <c r="M97" s="9">
        <v>0</v>
      </c>
      <c r="N97" s="9">
        <f t="shared" si="22"/>
        <v>125900</v>
      </c>
      <c r="O97" s="11">
        <f>113899/1.19</f>
        <v>95713.445378151271</v>
      </c>
      <c r="P97" s="12">
        <f t="shared" si="23"/>
        <v>18185.554621848743</v>
      </c>
      <c r="Q97" s="12">
        <f t="shared" si="24"/>
        <v>113899.00000000001</v>
      </c>
      <c r="R97" s="11">
        <v>125600</v>
      </c>
      <c r="S97" s="12">
        <f t="shared" si="25"/>
        <v>23864</v>
      </c>
      <c r="T97" s="12">
        <f t="shared" si="26"/>
        <v>149464</v>
      </c>
      <c r="U97" s="11">
        <f t="shared" si="32"/>
        <v>104285.71428571429</v>
      </c>
      <c r="V97" s="11">
        <f t="shared" si="27"/>
        <v>19814.285714285714</v>
      </c>
      <c r="W97" s="11">
        <f t="shared" si="28"/>
        <v>124100</v>
      </c>
      <c r="X97" s="18">
        <v>125600</v>
      </c>
      <c r="Y97" s="19">
        <v>23864</v>
      </c>
      <c r="Z97" s="18">
        <v>149464</v>
      </c>
      <c r="AA97" s="18">
        <v>94160</v>
      </c>
      <c r="AB97" s="19">
        <f t="shared" si="13"/>
        <v>17890.400000000001</v>
      </c>
      <c r="AC97" s="18">
        <f t="shared" si="14"/>
        <v>112050.4</v>
      </c>
      <c r="AD97" s="18">
        <v>109090</v>
      </c>
      <c r="AE97" s="19">
        <f t="shared" si="29"/>
        <v>20727.099999999999</v>
      </c>
      <c r="AF97" s="18">
        <f t="shared" si="30"/>
        <v>129817.1</v>
      </c>
    </row>
    <row r="98" spans="3:32" x14ac:dyDescent="0.25">
      <c r="C98" s="3" t="s">
        <v>30</v>
      </c>
      <c r="D98" s="6" t="s">
        <v>21</v>
      </c>
      <c r="E98" s="6">
        <v>1</v>
      </c>
      <c r="F98" s="9">
        <v>0</v>
      </c>
      <c r="G98" s="9">
        <v>0</v>
      </c>
      <c r="H98" s="9">
        <f t="shared" si="31"/>
        <v>0</v>
      </c>
      <c r="I98" s="9">
        <v>0</v>
      </c>
      <c r="J98" s="9">
        <v>0</v>
      </c>
      <c r="K98" s="9">
        <f t="shared" si="21"/>
        <v>0</v>
      </c>
      <c r="L98" s="9">
        <v>125900</v>
      </c>
      <c r="M98" s="9">
        <v>0</v>
      </c>
      <c r="N98" s="9">
        <f t="shared" si="22"/>
        <v>125900</v>
      </c>
      <c r="O98" s="11">
        <f>124011/1.19</f>
        <v>104210.92436974791</v>
      </c>
      <c r="P98" s="12">
        <f t="shared" si="23"/>
        <v>19800.075630252104</v>
      </c>
      <c r="Q98" s="12">
        <f t="shared" si="24"/>
        <v>124011.00000000001</v>
      </c>
      <c r="R98" s="10">
        <v>125600</v>
      </c>
      <c r="S98" s="10">
        <f t="shared" si="25"/>
        <v>23864</v>
      </c>
      <c r="T98" s="10">
        <f t="shared" si="26"/>
        <v>149464</v>
      </c>
      <c r="U98" s="11">
        <f t="shared" si="32"/>
        <v>104285.71428571429</v>
      </c>
      <c r="V98" s="11">
        <f t="shared" si="27"/>
        <v>19814.285714285714</v>
      </c>
      <c r="W98" s="11">
        <f t="shared" si="28"/>
        <v>124100</v>
      </c>
      <c r="X98" s="18">
        <v>125600</v>
      </c>
      <c r="Y98" s="19">
        <v>23864</v>
      </c>
      <c r="Z98" s="18">
        <v>149464</v>
      </c>
      <c r="AA98" s="18"/>
      <c r="AB98" s="19">
        <f t="shared" si="13"/>
        <v>0</v>
      </c>
      <c r="AC98" s="18">
        <f t="shared" si="14"/>
        <v>0</v>
      </c>
      <c r="AD98" s="18">
        <v>114830</v>
      </c>
      <c r="AE98" s="19">
        <f t="shared" si="29"/>
        <v>21817.7</v>
      </c>
      <c r="AF98" s="18">
        <f t="shared" si="30"/>
        <v>136647.70000000001</v>
      </c>
    </row>
    <row r="99" spans="3:32" x14ac:dyDescent="0.25">
      <c r="C99" s="3" t="s">
        <v>29</v>
      </c>
      <c r="D99" s="6" t="s">
        <v>21</v>
      </c>
      <c r="E99" s="6">
        <v>1</v>
      </c>
      <c r="F99" s="9">
        <v>0</v>
      </c>
      <c r="G99" s="9">
        <v>0</v>
      </c>
      <c r="H99" s="9">
        <f t="shared" si="31"/>
        <v>0</v>
      </c>
      <c r="I99" s="9">
        <v>0</v>
      </c>
      <c r="J99" s="9">
        <v>0</v>
      </c>
      <c r="K99" s="9">
        <f t="shared" si="21"/>
        <v>0</v>
      </c>
      <c r="L99" s="9">
        <v>125900</v>
      </c>
      <c r="M99" s="9">
        <v>0</v>
      </c>
      <c r="N99" s="9">
        <f t="shared" si="22"/>
        <v>125900</v>
      </c>
      <c r="O99" s="11">
        <f>124011/1.19</f>
        <v>104210.92436974791</v>
      </c>
      <c r="P99" s="12">
        <f t="shared" si="23"/>
        <v>19800.075630252104</v>
      </c>
      <c r="Q99" s="12">
        <f t="shared" si="24"/>
        <v>124011.00000000001</v>
      </c>
      <c r="R99" s="11">
        <v>125600</v>
      </c>
      <c r="S99" s="12">
        <f t="shared" si="25"/>
        <v>23864</v>
      </c>
      <c r="T99" s="12">
        <f t="shared" si="26"/>
        <v>149464</v>
      </c>
      <c r="U99" s="11">
        <f t="shared" si="32"/>
        <v>104285.71428571429</v>
      </c>
      <c r="V99" s="11">
        <f t="shared" si="27"/>
        <v>19814.285714285714</v>
      </c>
      <c r="W99" s="11">
        <f t="shared" si="28"/>
        <v>124100</v>
      </c>
      <c r="X99" s="18">
        <v>125600</v>
      </c>
      <c r="Y99" s="19">
        <v>23864</v>
      </c>
      <c r="Z99" s="18">
        <v>149464</v>
      </c>
      <c r="AA99" s="18"/>
      <c r="AB99" s="19">
        <f t="shared" si="13"/>
        <v>0</v>
      </c>
      <c r="AC99" s="18">
        <f t="shared" si="14"/>
        <v>0</v>
      </c>
      <c r="AD99" s="18">
        <v>102970</v>
      </c>
      <c r="AE99" s="19">
        <f t="shared" si="29"/>
        <v>19564.3</v>
      </c>
      <c r="AF99" s="18">
        <f t="shared" si="30"/>
        <v>122534.3</v>
      </c>
    </row>
    <row r="100" spans="3:32" x14ac:dyDescent="0.25">
      <c r="C100" s="3" t="s">
        <v>44</v>
      </c>
      <c r="D100" s="6" t="s">
        <v>21</v>
      </c>
      <c r="E100" s="6">
        <v>1</v>
      </c>
      <c r="F100" s="9">
        <v>128000</v>
      </c>
      <c r="G100" s="9">
        <v>0</v>
      </c>
      <c r="H100" s="9">
        <f t="shared" si="31"/>
        <v>128000</v>
      </c>
      <c r="I100" s="9">
        <v>127000</v>
      </c>
      <c r="J100" s="9">
        <v>0</v>
      </c>
      <c r="K100" s="9">
        <f t="shared" si="21"/>
        <v>127000</v>
      </c>
      <c r="L100" s="9">
        <v>125900</v>
      </c>
      <c r="M100" s="9">
        <v>0</v>
      </c>
      <c r="N100" s="9">
        <f t="shared" si="22"/>
        <v>125900</v>
      </c>
      <c r="O100" s="11">
        <f>113899/1.19</f>
        <v>95713.445378151271</v>
      </c>
      <c r="P100" s="12">
        <f t="shared" si="23"/>
        <v>18185.554621848743</v>
      </c>
      <c r="Q100" s="12">
        <f t="shared" si="24"/>
        <v>113899.00000000001</v>
      </c>
      <c r="R100" s="11">
        <v>125600</v>
      </c>
      <c r="S100" s="12">
        <f t="shared" si="25"/>
        <v>23864</v>
      </c>
      <c r="T100" s="12">
        <f t="shared" si="26"/>
        <v>149464</v>
      </c>
      <c r="U100" s="11">
        <f t="shared" si="32"/>
        <v>104285.71428571429</v>
      </c>
      <c r="V100" s="11">
        <f t="shared" si="27"/>
        <v>19814.285714285714</v>
      </c>
      <c r="W100" s="11">
        <f t="shared" si="28"/>
        <v>124100</v>
      </c>
      <c r="X100" s="18">
        <v>125600</v>
      </c>
      <c r="Y100" s="19">
        <v>23864</v>
      </c>
      <c r="Z100" s="18">
        <v>149464</v>
      </c>
      <c r="AA100" s="18">
        <v>134324</v>
      </c>
      <c r="AB100" s="19">
        <f t="shared" si="13"/>
        <v>25521.56</v>
      </c>
      <c r="AC100" s="18">
        <f t="shared" si="14"/>
        <v>159845.56</v>
      </c>
      <c r="AD100" s="18">
        <v>103330</v>
      </c>
      <c r="AE100" s="19">
        <f t="shared" si="29"/>
        <v>19632.7</v>
      </c>
      <c r="AF100" s="18">
        <f t="shared" si="30"/>
        <v>122962.7</v>
      </c>
    </row>
    <row r="101" spans="3:32" x14ac:dyDescent="0.25">
      <c r="C101" s="3" t="s">
        <v>28</v>
      </c>
      <c r="D101" s="6" t="s">
        <v>21</v>
      </c>
      <c r="E101" s="6">
        <v>1</v>
      </c>
      <c r="F101" s="9">
        <v>0</v>
      </c>
      <c r="G101" s="9">
        <v>0</v>
      </c>
      <c r="H101" s="9">
        <f t="shared" si="31"/>
        <v>0</v>
      </c>
      <c r="I101" s="9">
        <v>0</v>
      </c>
      <c r="J101" s="9">
        <v>0</v>
      </c>
      <c r="K101" s="9">
        <f t="shared" si="21"/>
        <v>0</v>
      </c>
      <c r="L101" s="9">
        <v>125900</v>
      </c>
      <c r="M101" s="9">
        <v>0</v>
      </c>
      <c r="N101" s="9">
        <f t="shared" si="22"/>
        <v>125900</v>
      </c>
      <c r="O101" s="11">
        <f>124011/1.19</f>
        <v>104210.92436974791</v>
      </c>
      <c r="P101" s="12">
        <f t="shared" si="23"/>
        <v>19800.075630252104</v>
      </c>
      <c r="Q101" s="12">
        <f t="shared" si="24"/>
        <v>124011.00000000001</v>
      </c>
      <c r="R101" s="11">
        <v>125600</v>
      </c>
      <c r="S101" s="12">
        <f t="shared" si="25"/>
        <v>23864</v>
      </c>
      <c r="T101" s="12">
        <f t="shared" si="26"/>
        <v>149464</v>
      </c>
      <c r="U101" s="11">
        <f t="shared" si="32"/>
        <v>104285.71428571429</v>
      </c>
      <c r="V101" s="11">
        <f t="shared" si="27"/>
        <v>19814.285714285714</v>
      </c>
      <c r="W101" s="11">
        <f t="shared" si="28"/>
        <v>124100</v>
      </c>
      <c r="X101" s="18">
        <v>125600</v>
      </c>
      <c r="Y101" s="19">
        <v>23864</v>
      </c>
      <c r="Z101" s="18">
        <v>149464</v>
      </c>
      <c r="AA101" s="18"/>
      <c r="AB101" s="19">
        <f t="shared" si="13"/>
        <v>0</v>
      </c>
      <c r="AC101" s="18">
        <f t="shared" si="14"/>
        <v>0</v>
      </c>
      <c r="AD101" s="18">
        <v>102970</v>
      </c>
      <c r="AE101" s="19">
        <f t="shared" si="29"/>
        <v>19564.3</v>
      </c>
      <c r="AF101" s="18">
        <f t="shared" si="30"/>
        <v>122534.3</v>
      </c>
    </row>
    <row r="102" spans="3:32" x14ac:dyDescent="0.25">
      <c r="C102" s="3" t="s">
        <v>23</v>
      </c>
      <c r="D102" s="6" t="s">
        <v>21</v>
      </c>
      <c r="E102" s="6">
        <v>1</v>
      </c>
      <c r="F102" s="9">
        <v>0</v>
      </c>
      <c r="G102" s="9">
        <v>0</v>
      </c>
      <c r="H102" s="9">
        <f t="shared" si="31"/>
        <v>0</v>
      </c>
      <c r="I102" s="9">
        <v>0</v>
      </c>
      <c r="J102" s="9">
        <v>0</v>
      </c>
      <c r="K102" s="9">
        <f t="shared" si="21"/>
        <v>0</v>
      </c>
      <c r="L102" s="9">
        <v>0</v>
      </c>
      <c r="M102" s="9">
        <v>0</v>
      </c>
      <c r="N102" s="9">
        <f t="shared" si="22"/>
        <v>0</v>
      </c>
      <c r="O102" s="11">
        <f>111206/1.19</f>
        <v>93450.420168067227</v>
      </c>
      <c r="P102" s="12">
        <f t="shared" si="23"/>
        <v>17755.579831932773</v>
      </c>
      <c r="Q102" s="12">
        <f t="shared" si="24"/>
        <v>111206</v>
      </c>
      <c r="R102" s="11"/>
      <c r="S102" s="12">
        <f t="shared" si="25"/>
        <v>0</v>
      </c>
      <c r="T102" s="12">
        <f t="shared" si="26"/>
        <v>0</v>
      </c>
      <c r="U102" s="11">
        <v>0</v>
      </c>
      <c r="V102" s="11">
        <f t="shared" si="27"/>
        <v>0</v>
      </c>
      <c r="W102" s="11">
        <f t="shared" si="28"/>
        <v>0</v>
      </c>
      <c r="X102" s="18"/>
      <c r="Y102" s="19">
        <v>0</v>
      </c>
      <c r="Z102" s="18">
        <v>0</v>
      </c>
      <c r="AA102" s="18">
        <v>137312</v>
      </c>
      <c r="AB102" s="19">
        <f t="shared" si="13"/>
        <v>26089.279999999999</v>
      </c>
      <c r="AC102" s="18">
        <f t="shared" si="14"/>
        <v>163401.28</v>
      </c>
      <c r="AD102" s="18">
        <v>67070</v>
      </c>
      <c r="AE102" s="19">
        <f t="shared" si="29"/>
        <v>12743.3</v>
      </c>
      <c r="AF102" s="18">
        <f t="shared" si="30"/>
        <v>79813.3</v>
      </c>
    </row>
    <row r="103" spans="3:32" x14ac:dyDescent="0.25">
      <c r="C103" s="3" t="s">
        <v>124</v>
      </c>
      <c r="D103" s="6" t="s">
        <v>21</v>
      </c>
      <c r="E103" s="6">
        <v>1</v>
      </c>
      <c r="F103" s="9">
        <v>0</v>
      </c>
      <c r="G103" s="9">
        <v>0</v>
      </c>
      <c r="H103" s="9">
        <f t="shared" si="31"/>
        <v>0</v>
      </c>
      <c r="I103" s="9">
        <v>0</v>
      </c>
      <c r="J103" s="9">
        <v>0</v>
      </c>
      <c r="K103" s="9">
        <f t="shared" si="21"/>
        <v>0</v>
      </c>
      <c r="L103" s="9">
        <v>0</v>
      </c>
      <c r="M103" s="9">
        <v>0</v>
      </c>
      <c r="N103" s="9">
        <f t="shared" si="22"/>
        <v>0</v>
      </c>
      <c r="O103" s="11"/>
      <c r="P103" s="12">
        <f t="shared" si="23"/>
        <v>0</v>
      </c>
      <c r="Q103" s="12">
        <f t="shared" si="24"/>
        <v>0</v>
      </c>
      <c r="R103" s="11"/>
      <c r="S103" s="12">
        <f t="shared" si="25"/>
        <v>0</v>
      </c>
      <c r="T103" s="12">
        <f t="shared" si="26"/>
        <v>0</v>
      </c>
      <c r="U103" s="11">
        <v>0</v>
      </c>
      <c r="V103" s="11">
        <f t="shared" si="27"/>
        <v>0</v>
      </c>
      <c r="W103" s="11">
        <f t="shared" si="28"/>
        <v>0</v>
      </c>
      <c r="X103" s="18"/>
      <c r="Y103" s="19">
        <v>0</v>
      </c>
      <c r="Z103" s="18">
        <v>0</v>
      </c>
      <c r="AA103" s="18"/>
      <c r="AB103" s="19">
        <f t="shared" si="13"/>
        <v>0</v>
      </c>
      <c r="AC103" s="18">
        <f t="shared" si="14"/>
        <v>0</v>
      </c>
      <c r="AD103" s="18"/>
      <c r="AE103" s="19">
        <f t="shared" si="29"/>
        <v>0</v>
      </c>
      <c r="AF103" s="18">
        <f t="shared" si="30"/>
        <v>0</v>
      </c>
    </row>
    <row r="104" spans="3:32" x14ac:dyDescent="0.25">
      <c r="C104" s="3" t="s">
        <v>94</v>
      </c>
      <c r="D104" s="6" t="s">
        <v>7</v>
      </c>
      <c r="E104" s="6">
        <v>1</v>
      </c>
      <c r="F104" s="9">
        <v>5500</v>
      </c>
      <c r="G104" s="9">
        <v>0</v>
      </c>
      <c r="H104" s="9">
        <f t="shared" si="31"/>
        <v>5500</v>
      </c>
      <c r="I104" s="9">
        <v>5500</v>
      </c>
      <c r="J104" s="9">
        <v>0</v>
      </c>
      <c r="K104" s="9">
        <f t="shared" si="21"/>
        <v>5500</v>
      </c>
      <c r="L104" s="9">
        <v>5700</v>
      </c>
      <c r="M104" s="9">
        <v>0</v>
      </c>
      <c r="N104" s="9">
        <f t="shared" si="22"/>
        <v>5700</v>
      </c>
      <c r="O104" s="11">
        <f>9550/1.19</f>
        <v>8025.2100840336134</v>
      </c>
      <c r="P104" s="12">
        <f t="shared" si="23"/>
        <v>1524.7899159663866</v>
      </c>
      <c r="Q104" s="12">
        <f t="shared" si="24"/>
        <v>9550</v>
      </c>
      <c r="R104" s="11">
        <v>3200</v>
      </c>
      <c r="S104" s="12">
        <f t="shared" si="25"/>
        <v>608</v>
      </c>
      <c r="T104" s="12">
        <f t="shared" si="26"/>
        <v>3808</v>
      </c>
      <c r="U104" s="11">
        <f>6700/1.19</f>
        <v>5630.2521008403364</v>
      </c>
      <c r="V104" s="11">
        <f t="shared" si="27"/>
        <v>1069.747899159664</v>
      </c>
      <c r="W104" s="11">
        <f t="shared" si="28"/>
        <v>6700</v>
      </c>
      <c r="X104" s="18">
        <v>3200</v>
      </c>
      <c r="Y104" s="19">
        <v>608</v>
      </c>
      <c r="Z104" s="18">
        <v>3808</v>
      </c>
      <c r="AA104" s="18">
        <v>4699</v>
      </c>
      <c r="AB104" s="19">
        <f t="shared" ref="AB104:AB166" si="33">AA104*19%</f>
        <v>892.81000000000006</v>
      </c>
      <c r="AC104" s="18">
        <f t="shared" ref="AC104:AC166" si="34">+AA104+AB104</f>
        <v>5591.81</v>
      </c>
      <c r="AD104" s="18">
        <v>1790</v>
      </c>
      <c r="AE104" s="19">
        <f t="shared" si="29"/>
        <v>340.1</v>
      </c>
      <c r="AF104" s="18">
        <f t="shared" si="30"/>
        <v>2130.1</v>
      </c>
    </row>
    <row r="105" spans="3:32" x14ac:dyDescent="0.25">
      <c r="C105" s="3" t="s">
        <v>95</v>
      </c>
      <c r="D105" s="6" t="s">
        <v>7</v>
      </c>
      <c r="E105" s="6">
        <v>1</v>
      </c>
      <c r="F105" s="9">
        <v>8000</v>
      </c>
      <c r="G105" s="9">
        <v>0</v>
      </c>
      <c r="H105" s="9">
        <f t="shared" si="31"/>
        <v>8000</v>
      </c>
      <c r="I105" s="9">
        <v>9000</v>
      </c>
      <c r="J105" s="9">
        <v>0</v>
      </c>
      <c r="K105" s="9">
        <f t="shared" si="21"/>
        <v>9000</v>
      </c>
      <c r="L105" s="9">
        <v>7700</v>
      </c>
      <c r="M105" s="9">
        <v>0</v>
      </c>
      <c r="N105" s="9">
        <f t="shared" si="22"/>
        <v>7700</v>
      </c>
      <c r="O105" s="11">
        <f>8400/1.19</f>
        <v>7058.8235294117649</v>
      </c>
      <c r="P105" s="12">
        <f t="shared" si="23"/>
        <v>1341.1764705882354</v>
      </c>
      <c r="Q105" s="12">
        <f t="shared" si="24"/>
        <v>8400</v>
      </c>
      <c r="R105" s="10">
        <v>5600</v>
      </c>
      <c r="S105" s="10">
        <f t="shared" si="25"/>
        <v>1064</v>
      </c>
      <c r="T105" s="10">
        <f t="shared" si="26"/>
        <v>6664</v>
      </c>
      <c r="U105" s="11">
        <f>9350/1.19</f>
        <v>7857.1428571428578</v>
      </c>
      <c r="V105" s="11">
        <f t="shared" si="27"/>
        <v>1492.8571428571429</v>
      </c>
      <c r="W105" s="11">
        <f t="shared" si="28"/>
        <v>9350</v>
      </c>
      <c r="X105" s="18">
        <v>5600</v>
      </c>
      <c r="Y105" s="19">
        <v>1064</v>
      </c>
      <c r="Z105" s="18">
        <v>6664</v>
      </c>
      <c r="AA105" s="18">
        <v>6280</v>
      </c>
      <c r="AB105" s="19">
        <f t="shared" si="33"/>
        <v>1193.2</v>
      </c>
      <c r="AC105" s="18">
        <f t="shared" si="34"/>
        <v>7473.2</v>
      </c>
      <c r="AD105" s="18">
        <v>15120</v>
      </c>
      <c r="AE105" s="19">
        <f t="shared" si="29"/>
        <v>2872.8</v>
      </c>
      <c r="AF105" s="18">
        <f t="shared" si="30"/>
        <v>17992.8</v>
      </c>
    </row>
    <row r="106" spans="3:32" x14ac:dyDescent="0.25">
      <c r="C106" s="3" t="s">
        <v>119</v>
      </c>
      <c r="D106" s="6" t="s">
        <v>7</v>
      </c>
      <c r="E106" s="6">
        <v>1</v>
      </c>
      <c r="F106" s="9">
        <v>1000</v>
      </c>
      <c r="G106" s="9">
        <v>0</v>
      </c>
      <c r="H106" s="9">
        <f t="shared" si="31"/>
        <v>1000</v>
      </c>
      <c r="I106" s="9">
        <v>800</v>
      </c>
      <c r="J106" s="9">
        <v>0</v>
      </c>
      <c r="K106" s="9">
        <f t="shared" si="21"/>
        <v>800</v>
      </c>
      <c r="L106" s="9">
        <v>500</v>
      </c>
      <c r="M106" s="9">
        <v>0</v>
      </c>
      <c r="N106" s="9">
        <f t="shared" si="22"/>
        <v>500</v>
      </c>
      <c r="O106" s="11"/>
      <c r="P106" s="12">
        <f t="shared" si="23"/>
        <v>0</v>
      </c>
      <c r="Q106" s="12">
        <f t="shared" si="24"/>
        <v>0</v>
      </c>
      <c r="R106" s="11">
        <v>800</v>
      </c>
      <c r="S106" s="12">
        <f t="shared" si="25"/>
        <v>152</v>
      </c>
      <c r="T106" s="12">
        <f t="shared" si="26"/>
        <v>952</v>
      </c>
      <c r="U106" s="11">
        <v>0</v>
      </c>
      <c r="V106" s="11">
        <f t="shared" si="27"/>
        <v>0</v>
      </c>
      <c r="W106" s="11">
        <f t="shared" si="28"/>
        <v>0</v>
      </c>
      <c r="X106" s="18">
        <v>800</v>
      </c>
      <c r="Y106" s="19">
        <v>152</v>
      </c>
      <c r="Z106" s="18">
        <v>952</v>
      </c>
      <c r="AA106" s="18"/>
      <c r="AB106" s="19">
        <f t="shared" si="33"/>
        <v>0</v>
      </c>
      <c r="AC106" s="18">
        <f t="shared" si="34"/>
        <v>0</v>
      </c>
      <c r="AD106" s="18">
        <v>800</v>
      </c>
      <c r="AE106" s="19">
        <f t="shared" si="29"/>
        <v>152</v>
      </c>
      <c r="AF106" s="18">
        <f t="shared" si="30"/>
        <v>952</v>
      </c>
    </row>
    <row r="107" spans="3:32" x14ac:dyDescent="0.25">
      <c r="C107" s="3" t="s">
        <v>50</v>
      </c>
      <c r="D107" s="6" t="s">
        <v>7</v>
      </c>
      <c r="E107" s="6">
        <v>1</v>
      </c>
      <c r="F107" s="9">
        <v>0</v>
      </c>
      <c r="G107" s="9">
        <v>0</v>
      </c>
      <c r="H107" s="9">
        <f t="shared" si="31"/>
        <v>0</v>
      </c>
      <c r="I107" s="9">
        <v>0</v>
      </c>
      <c r="J107" s="9">
        <v>0</v>
      </c>
      <c r="K107" s="9">
        <f t="shared" si="21"/>
        <v>0</v>
      </c>
      <c r="L107" s="9">
        <v>60000</v>
      </c>
      <c r="M107" s="9">
        <v>0</v>
      </c>
      <c r="N107" s="9">
        <f t="shared" si="22"/>
        <v>60000</v>
      </c>
      <c r="O107" s="11">
        <f>41601/1.19</f>
        <v>34958.823529411769</v>
      </c>
      <c r="P107" s="12">
        <f t="shared" si="23"/>
        <v>6642.176470588236</v>
      </c>
      <c r="Q107" s="12">
        <f t="shared" si="24"/>
        <v>41601.000000000007</v>
      </c>
      <c r="R107" s="11">
        <v>44300</v>
      </c>
      <c r="S107" s="12">
        <f t="shared" si="25"/>
        <v>8417</v>
      </c>
      <c r="T107" s="12">
        <f t="shared" si="26"/>
        <v>52717</v>
      </c>
      <c r="U107" s="11">
        <f>77300/1.19</f>
        <v>64957.983193277316</v>
      </c>
      <c r="V107" s="11">
        <f t="shared" si="27"/>
        <v>12342.01680672269</v>
      </c>
      <c r="W107" s="11">
        <f t="shared" si="28"/>
        <v>77300</v>
      </c>
      <c r="X107" s="18">
        <v>44300</v>
      </c>
      <c r="Y107" s="19">
        <v>8417</v>
      </c>
      <c r="Z107" s="18">
        <v>52717</v>
      </c>
      <c r="AA107" s="18">
        <v>33820</v>
      </c>
      <c r="AB107" s="19">
        <f t="shared" si="33"/>
        <v>6425.8</v>
      </c>
      <c r="AC107" s="18">
        <f t="shared" si="34"/>
        <v>40245.800000000003</v>
      </c>
      <c r="AD107" s="18">
        <v>34230</v>
      </c>
      <c r="AE107" s="19">
        <f t="shared" si="29"/>
        <v>6503.7</v>
      </c>
      <c r="AF107" s="18">
        <f t="shared" si="30"/>
        <v>40733.699999999997</v>
      </c>
    </row>
    <row r="108" spans="3:32" x14ac:dyDescent="0.25">
      <c r="C108" s="3" t="s">
        <v>38</v>
      </c>
      <c r="D108" s="6" t="s">
        <v>20</v>
      </c>
      <c r="E108" s="6">
        <v>1</v>
      </c>
      <c r="F108" s="9">
        <v>0</v>
      </c>
      <c r="G108" s="9">
        <v>0</v>
      </c>
      <c r="H108" s="9">
        <f t="shared" si="31"/>
        <v>0</v>
      </c>
      <c r="I108" s="9">
        <v>0</v>
      </c>
      <c r="J108" s="9">
        <v>0</v>
      </c>
      <c r="K108" s="9">
        <f t="shared" si="21"/>
        <v>0</v>
      </c>
      <c r="L108" s="9">
        <v>68500</v>
      </c>
      <c r="M108" s="9">
        <v>0</v>
      </c>
      <c r="N108" s="9">
        <f t="shared" si="22"/>
        <v>68500</v>
      </c>
      <c r="O108" s="11">
        <f>102949/1.19</f>
        <v>86511.764705882364</v>
      </c>
      <c r="P108" s="12">
        <f t="shared" si="23"/>
        <v>16437.23529411765</v>
      </c>
      <c r="Q108" s="12">
        <f t="shared" si="24"/>
        <v>102949.00000000001</v>
      </c>
      <c r="R108" s="11">
        <v>145600</v>
      </c>
      <c r="S108" s="12">
        <f t="shared" si="25"/>
        <v>27664</v>
      </c>
      <c r="T108" s="12">
        <f t="shared" si="26"/>
        <v>173264</v>
      </c>
      <c r="U108" s="11">
        <f>141050/1.19</f>
        <v>118529.41176470589</v>
      </c>
      <c r="V108" s="11">
        <f t="shared" si="27"/>
        <v>22520.588235294119</v>
      </c>
      <c r="W108" s="11">
        <f t="shared" si="28"/>
        <v>141050</v>
      </c>
      <c r="X108" s="18">
        <v>145600</v>
      </c>
      <c r="Y108" s="19">
        <v>27664</v>
      </c>
      <c r="Z108" s="18">
        <v>173264</v>
      </c>
      <c r="AA108" s="18">
        <v>109198</v>
      </c>
      <c r="AB108" s="19">
        <f t="shared" si="33"/>
        <v>20747.62</v>
      </c>
      <c r="AC108" s="18">
        <f t="shared" si="34"/>
        <v>129945.62</v>
      </c>
      <c r="AD108" s="18">
        <v>90490</v>
      </c>
      <c r="AE108" s="19">
        <f t="shared" si="29"/>
        <v>17193.099999999999</v>
      </c>
      <c r="AF108" s="18">
        <f t="shared" si="30"/>
        <v>107683.1</v>
      </c>
    </row>
    <row r="109" spans="3:32" x14ac:dyDescent="0.25">
      <c r="C109" s="3" t="s">
        <v>19</v>
      </c>
      <c r="D109" s="6" t="s">
        <v>20</v>
      </c>
      <c r="E109" s="6">
        <v>1</v>
      </c>
      <c r="F109" s="9">
        <v>0</v>
      </c>
      <c r="G109" s="9">
        <v>0</v>
      </c>
      <c r="H109" s="9">
        <f t="shared" si="31"/>
        <v>0</v>
      </c>
      <c r="I109" s="9">
        <v>0</v>
      </c>
      <c r="J109" s="9">
        <v>0</v>
      </c>
      <c r="K109" s="9">
        <f t="shared" si="21"/>
        <v>0</v>
      </c>
      <c r="L109" s="9">
        <v>0</v>
      </c>
      <c r="M109" s="9">
        <v>0</v>
      </c>
      <c r="N109" s="9">
        <f t="shared" si="22"/>
        <v>0</v>
      </c>
      <c r="O109" s="11">
        <f>111690/1.19</f>
        <v>93857.142857142855</v>
      </c>
      <c r="P109" s="12">
        <f t="shared" si="23"/>
        <v>17832.857142857141</v>
      </c>
      <c r="Q109" s="12">
        <f t="shared" si="24"/>
        <v>111690</v>
      </c>
      <c r="R109" s="11"/>
      <c r="S109" s="12">
        <f t="shared" si="25"/>
        <v>0</v>
      </c>
      <c r="T109" s="12">
        <f t="shared" si="26"/>
        <v>0</v>
      </c>
      <c r="U109" s="11">
        <f>100000/1.19</f>
        <v>84033.613445378156</v>
      </c>
      <c r="V109" s="11">
        <f t="shared" si="27"/>
        <v>15966.386554621849</v>
      </c>
      <c r="W109" s="11">
        <f t="shared" si="28"/>
        <v>100000</v>
      </c>
      <c r="X109" s="18"/>
      <c r="Y109" s="19">
        <v>0</v>
      </c>
      <c r="Z109" s="18">
        <v>0</v>
      </c>
      <c r="AA109" s="18">
        <v>59840</v>
      </c>
      <c r="AB109" s="19">
        <f t="shared" si="33"/>
        <v>11369.6</v>
      </c>
      <c r="AC109" s="18">
        <f t="shared" si="34"/>
        <v>71209.600000000006</v>
      </c>
      <c r="AD109" s="18"/>
      <c r="AE109" s="19">
        <f t="shared" si="29"/>
        <v>0</v>
      </c>
      <c r="AF109" s="18">
        <f t="shared" si="30"/>
        <v>0</v>
      </c>
    </row>
    <row r="110" spans="3:32" x14ac:dyDescent="0.25">
      <c r="C110" s="3" t="s">
        <v>97</v>
      </c>
      <c r="D110" s="6" t="s">
        <v>7</v>
      </c>
      <c r="E110" s="6">
        <v>1</v>
      </c>
      <c r="F110" s="9">
        <v>57000</v>
      </c>
      <c r="G110" s="9">
        <v>0</v>
      </c>
      <c r="H110" s="9">
        <f t="shared" si="31"/>
        <v>57000</v>
      </c>
      <c r="I110" s="9">
        <v>57000</v>
      </c>
      <c r="J110" s="9">
        <v>0</v>
      </c>
      <c r="K110" s="9">
        <f t="shared" si="21"/>
        <v>57000</v>
      </c>
      <c r="L110" s="9">
        <v>55000</v>
      </c>
      <c r="M110" s="9">
        <v>0</v>
      </c>
      <c r="N110" s="9">
        <f t="shared" si="22"/>
        <v>55000</v>
      </c>
      <c r="O110" s="11">
        <v>0</v>
      </c>
      <c r="P110" s="12">
        <f t="shared" si="23"/>
        <v>0</v>
      </c>
      <c r="Q110" s="12">
        <f t="shared" si="24"/>
        <v>0</v>
      </c>
      <c r="R110" s="11">
        <v>52000</v>
      </c>
      <c r="S110" s="12">
        <f t="shared" si="25"/>
        <v>9880</v>
      </c>
      <c r="T110" s="12">
        <f t="shared" si="26"/>
        <v>61880</v>
      </c>
      <c r="U110" s="11">
        <f>49100/1.19</f>
        <v>41260.504201680676</v>
      </c>
      <c r="V110" s="11">
        <f t="shared" si="27"/>
        <v>7839.495798319329</v>
      </c>
      <c r="W110" s="11">
        <f t="shared" si="28"/>
        <v>49100.000000000007</v>
      </c>
      <c r="X110" s="18">
        <v>52000</v>
      </c>
      <c r="Y110" s="19">
        <v>9880</v>
      </c>
      <c r="Z110" s="18">
        <v>61880</v>
      </c>
      <c r="AA110" s="18"/>
      <c r="AB110" s="19">
        <f t="shared" si="33"/>
        <v>0</v>
      </c>
      <c r="AC110" s="18">
        <f t="shared" si="34"/>
        <v>0</v>
      </c>
      <c r="AD110" s="18">
        <v>52430</v>
      </c>
      <c r="AE110" s="19">
        <f t="shared" si="29"/>
        <v>9961.7000000000007</v>
      </c>
      <c r="AF110" s="18">
        <f t="shared" si="30"/>
        <v>62391.7</v>
      </c>
    </row>
    <row r="111" spans="3:32" x14ac:dyDescent="0.25">
      <c r="C111" s="3" t="s">
        <v>96</v>
      </c>
      <c r="D111" s="6" t="s">
        <v>7</v>
      </c>
      <c r="E111" s="6">
        <v>1</v>
      </c>
      <c r="F111" s="9">
        <v>5000</v>
      </c>
      <c r="G111" s="9">
        <v>0</v>
      </c>
      <c r="H111" s="9">
        <f t="shared" si="31"/>
        <v>5000</v>
      </c>
      <c r="I111" s="9">
        <v>5000</v>
      </c>
      <c r="J111" s="9">
        <v>0</v>
      </c>
      <c r="K111" s="9">
        <f t="shared" si="21"/>
        <v>5000</v>
      </c>
      <c r="L111" s="9">
        <v>5400</v>
      </c>
      <c r="M111" s="9">
        <v>0</v>
      </c>
      <c r="N111" s="9">
        <f t="shared" si="22"/>
        <v>5400</v>
      </c>
      <c r="O111" s="11">
        <f>6900/1.19</f>
        <v>5798.3193277310929</v>
      </c>
      <c r="P111" s="12">
        <f t="shared" si="23"/>
        <v>1101.6806722689078</v>
      </c>
      <c r="Q111" s="12">
        <f t="shared" si="24"/>
        <v>6900.0000000000009</v>
      </c>
      <c r="R111" s="11">
        <v>3600</v>
      </c>
      <c r="S111" s="12">
        <f t="shared" si="25"/>
        <v>684</v>
      </c>
      <c r="T111" s="12">
        <f t="shared" si="26"/>
        <v>4284</v>
      </c>
      <c r="U111" s="11">
        <f>3600/1.19</f>
        <v>3025.2100840336134</v>
      </c>
      <c r="V111" s="11">
        <f t="shared" si="27"/>
        <v>574.7899159663865</v>
      </c>
      <c r="W111" s="11">
        <f t="shared" si="28"/>
        <v>3600</v>
      </c>
      <c r="X111" s="18">
        <v>3600</v>
      </c>
      <c r="Y111" s="19">
        <v>684</v>
      </c>
      <c r="Z111" s="18">
        <v>4284</v>
      </c>
      <c r="AA111" s="18"/>
      <c r="AB111" s="19">
        <f t="shared" si="33"/>
        <v>0</v>
      </c>
      <c r="AC111" s="18">
        <f t="shared" si="34"/>
        <v>0</v>
      </c>
      <c r="AD111" s="18">
        <v>3080</v>
      </c>
      <c r="AE111" s="19">
        <f t="shared" si="29"/>
        <v>585.20000000000005</v>
      </c>
      <c r="AF111" s="18">
        <f t="shared" si="30"/>
        <v>3665.2</v>
      </c>
    </row>
    <row r="112" spans="3:32" x14ac:dyDescent="0.25">
      <c r="C112" s="3" t="s">
        <v>33</v>
      </c>
      <c r="D112" s="6" t="s">
        <v>21</v>
      </c>
      <c r="E112" s="6">
        <v>1</v>
      </c>
      <c r="F112" s="9">
        <v>0</v>
      </c>
      <c r="G112" s="9">
        <v>0</v>
      </c>
      <c r="H112" s="9">
        <f t="shared" si="31"/>
        <v>0</v>
      </c>
      <c r="I112" s="9">
        <v>0</v>
      </c>
      <c r="J112" s="9">
        <v>0</v>
      </c>
      <c r="K112" s="9">
        <f t="shared" si="21"/>
        <v>0</v>
      </c>
      <c r="L112" s="9">
        <v>127900</v>
      </c>
      <c r="M112" s="9">
        <v>0</v>
      </c>
      <c r="N112" s="9">
        <f t="shared" si="22"/>
        <v>127900</v>
      </c>
      <c r="O112" s="11">
        <f>125981/1.19</f>
        <v>105866.38655462186</v>
      </c>
      <c r="P112" s="12">
        <f t="shared" si="23"/>
        <v>20114.613445378152</v>
      </c>
      <c r="Q112" s="12">
        <f t="shared" si="24"/>
        <v>125981.00000000001</v>
      </c>
      <c r="R112" s="10">
        <v>127600</v>
      </c>
      <c r="S112" s="10">
        <f t="shared" si="25"/>
        <v>24244</v>
      </c>
      <c r="T112" s="10">
        <f t="shared" si="26"/>
        <v>151844</v>
      </c>
      <c r="U112" s="11">
        <f>118200/1.19</f>
        <v>99327.731092436981</v>
      </c>
      <c r="V112" s="11">
        <f t="shared" si="27"/>
        <v>18872.268907563026</v>
      </c>
      <c r="W112" s="11">
        <f t="shared" si="28"/>
        <v>118200</v>
      </c>
      <c r="X112" s="18">
        <v>127600</v>
      </c>
      <c r="Y112" s="19">
        <v>24244</v>
      </c>
      <c r="Z112" s="18">
        <v>151844</v>
      </c>
      <c r="AA112" s="18">
        <v>95656</v>
      </c>
      <c r="AB112" s="19">
        <f t="shared" si="33"/>
        <v>18174.64</v>
      </c>
      <c r="AC112" s="18">
        <f t="shared" si="34"/>
        <v>113830.64</v>
      </c>
      <c r="AD112" s="18"/>
      <c r="AE112" s="19">
        <f t="shared" si="29"/>
        <v>0</v>
      </c>
      <c r="AF112" s="18">
        <f t="shared" si="30"/>
        <v>0</v>
      </c>
    </row>
    <row r="113" spans="3:32" x14ac:dyDescent="0.25">
      <c r="C113" s="3" t="s">
        <v>11</v>
      </c>
      <c r="D113" s="6" t="s">
        <v>20</v>
      </c>
      <c r="E113" s="6">
        <v>1</v>
      </c>
      <c r="F113" s="9">
        <v>0</v>
      </c>
      <c r="G113" s="9">
        <v>0</v>
      </c>
      <c r="H113" s="9">
        <f t="shared" si="31"/>
        <v>0</v>
      </c>
      <c r="I113" s="9">
        <v>0</v>
      </c>
      <c r="J113" s="9">
        <v>0</v>
      </c>
      <c r="K113" s="9">
        <f t="shared" si="21"/>
        <v>0</v>
      </c>
      <c r="L113" s="9">
        <v>527900</v>
      </c>
      <c r="M113" s="9">
        <v>0</v>
      </c>
      <c r="N113" s="9">
        <f t="shared" si="22"/>
        <v>527900</v>
      </c>
      <c r="O113" s="11">
        <f>519980/1.19</f>
        <v>436957.98319327732</v>
      </c>
      <c r="P113" s="12">
        <f t="shared" si="23"/>
        <v>83022.016806722691</v>
      </c>
      <c r="Q113" s="12">
        <f t="shared" si="24"/>
        <v>519980</v>
      </c>
      <c r="R113" s="11">
        <v>526500</v>
      </c>
      <c r="S113" s="12">
        <f t="shared" si="25"/>
        <v>100035</v>
      </c>
      <c r="T113" s="12">
        <f t="shared" si="26"/>
        <v>626535</v>
      </c>
      <c r="U113" s="11">
        <f>492750/1.19</f>
        <v>414075.63025210088</v>
      </c>
      <c r="V113" s="11">
        <f t="shared" si="27"/>
        <v>78674.369747899167</v>
      </c>
      <c r="W113" s="11">
        <f t="shared" si="28"/>
        <v>492750.00000000006</v>
      </c>
      <c r="X113" s="18">
        <v>526500</v>
      </c>
      <c r="Y113" s="19">
        <v>100035</v>
      </c>
      <c r="Z113" s="18">
        <v>626535</v>
      </c>
      <c r="AA113" s="18">
        <v>394816</v>
      </c>
      <c r="AB113" s="19">
        <f t="shared" si="33"/>
        <v>75015.040000000008</v>
      </c>
      <c r="AC113" s="18">
        <f t="shared" si="34"/>
        <v>469831.04000000004</v>
      </c>
      <c r="AD113" s="18"/>
      <c r="AE113" s="19">
        <f t="shared" si="29"/>
        <v>0</v>
      </c>
      <c r="AF113" s="18">
        <f t="shared" si="30"/>
        <v>0</v>
      </c>
    </row>
    <row r="114" spans="3:32" x14ac:dyDescent="0.25">
      <c r="C114" s="3" t="s">
        <v>36</v>
      </c>
      <c r="D114" s="6" t="s">
        <v>20</v>
      </c>
      <c r="E114" s="6">
        <v>1</v>
      </c>
      <c r="F114" s="9">
        <v>0</v>
      </c>
      <c r="G114" s="9">
        <v>0</v>
      </c>
      <c r="H114" s="9">
        <f t="shared" si="31"/>
        <v>0</v>
      </c>
      <c r="I114" s="9">
        <v>0</v>
      </c>
      <c r="J114" s="9">
        <v>0</v>
      </c>
      <c r="K114" s="9">
        <f t="shared" si="21"/>
        <v>0</v>
      </c>
      <c r="L114" s="9">
        <v>527900</v>
      </c>
      <c r="M114" s="9">
        <v>0</v>
      </c>
      <c r="N114" s="9">
        <f t="shared" si="22"/>
        <v>527900</v>
      </c>
      <c r="O114" s="11"/>
      <c r="P114" s="12">
        <f t="shared" si="23"/>
        <v>0</v>
      </c>
      <c r="Q114" s="12">
        <f t="shared" si="24"/>
        <v>0</v>
      </c>
      <c r="R114" s="11"/>
      <c r="S114" s="12">
        <f t="shared" si="25"/>
        <v>0</v>
      </c>
      <c r="T114" s="12">
        <f t="shared" si="26"/>
        <v>0</v>
      </c>
      <c r="U114" s="11">
        <v>0</v>
      </c>
      <c r="V114" s="11">
        <f t="shared" si="27"/>
        <v>0</v>
      </c>
      <c r="W114" s="11">
        <f t="shared" si="28"/>
        <v>0</v>
      </c>
      <c r="X114" s="18"/>
      <c r="Y114" s="19">
        <v>0</v>
      </c>
      <c r="Z114" s="18">
        <v>0</v>
      </c>
      <c r="AA114" s="18"/>
      <c r="AB114" s="19">
        <f t="shared" si="33"/>
        <v>0</v>
      </c>
      <c r="AC114" s="18">
        <f t="shared" si="34"/>
        <v>0</v>
      </c>
      <c r="AD114" s="18"/>
      <c r="AE114" s="19">
        <f t="shared" si="29"/>
        <v>0</v>
      </c>
      <c r="AF114" s="18">
        <f t="shared" si="30"/>
        <v>0</v>
      </c>
    </row>
    <row r="115" spans="3:32" x14ac:dyDescent="0.25">
      <c r="C115" s="3" t="s">
        <v>181</v>
      </c>
      <c r="D115" s="6" t="s">
        <v>7</v>
      </c>
      <c r="E115" s="6">
        <v>1</v>
      </c>
      <c r="F115" s="9">
        <v>2200</v>
      </c>
      <c r="G115" s="9">
        <v>0</v>
      </c>
      <c r="H115" s="9">
        <f t="shared" si="31"/>
        <v>2200</v>
      </c>
      <c r="I115" s="9">
        <v>2200</v>
      </c>
      <c r="J115" s="9">
        <v>0</v>
      </c>
      <c r="K115" s="9">
        <f t="shared" si="21"/>
        <v>2200</v>
      </c>
      <c r="L115" s="9">
        <v>2200</v>
      </c>
      <c r="M115" s="9">
        <v>0</v>
      </c>
      <c r="N115" s="9">
        <f t="shared" si="22"/>
        <v>2200</v>
      </c>
      <c r="O115" s="11">
        <f>1750/1.19</f>
        <v>1470.5882352941178</v>
      </c>
      <c r="P115" s="12">
        <f t="shared" si="23"/>
        <v>279.41176470588238</v>
      </c>
      <c r="Q115" s="12">
        <f t="shared" si="24"/>
        <v>1750.0000000000002</v>
      </c>
      <c r="R115" s="11">
        <v>1600</v>
      </c>
      <c r="S115" s="12">
        <f t="shared" si="25"/>
        <v>304</v>
      </c>
      <c r="T115" s="12">
        <f t="shared" si="26"/>
        <v>1904</v>
      </c>
      <c r="U115" s="11">
        <f>1400/1.19</f>
        <v>1176.4705882352941</v>
      </c>
      <c r="V115" s="11">
        <f t="shared" si="27"/>
        <v>223.52941176470588</v>
      </c>
      <c r="W115" s="11">
        <f t="shared" si="28"/>
        <v>1400</v>
      </c>
      <c r="X115" s="18">
        <v>1600</v>
      </c>
      <c r="Y115" s="19">
        <v>304</v>
      </c>
      <c r="Z115" s="18">
        <v>1904</v>
      </c>
      <c r="AA115" s="18">
        <v>1405</v>
      </c>
      <c r="AB115" s="19">
        <f t="shared" si="33"/>
        <v>266.95</v>
      </c>
      <c r="AC115" s="18">
        <f t="shared" si="34"/>
        <v>1671.95</v>
      </c>
      <c r="AD115" s="18"/>
      <c r="AE115" s="19">
        <f t="shared" si="29"/>
        <v>0</v>
      </c>
      <c r="AF115" s="18">
        <f t="shared" si="30"/>
        <v>0</v>
      </c>
    </row>
    <row r="116" spans="3:32" x14ac:dyDescent="0.25">
      <c r="C116" s="3" t="s">
        <v>136</v>
      </c>
      <c r="D116" s="6" t="s">
        <v>7</v>
      </c>
      <c r="E116" s="6">
        <v>1</v>
      </c>
      <c r="F116" s="9">
        <v>0</v>
      </c>
      <c r="G116" s="9">
        <v>0</v>
      </c>
      <c r="H116" s="9">
        <f t="shared" si="31"/>
        <v>0</v>
      </c>
      <c r="I116" s="9">
        <v>0</v>
      </c>
      <c r="J116" s="9">
        <v>0</v>
      </c>
      <c r="K116" s="9">
        <f t="shared" si="21"/>
        <v>0</v>
      </c>
      <c r="L116" s="9">
        <v>0</v>
      </c>
      <c r="M116" s="9">
        <v>0</v>
      </c>
      <c r="N116" s="9">
        <f t="shared" si="22"/>
        <v>0</v>
      </c>
      <c r="O116" s="11">
        <f>3439/1.19</f>
        <v>2889.9159663865548</v>
      </c>
      <c r="P116" s="12">
        <f t="shared" si="23"/>
        <v>549.0840336134454</v>
      </c>
      <c r="Q116" s="12">
        <f t="shared" si="24"/>
        <v>3439</v>
      </c>
      <c r="R116" s="11">
        <v>31500</v>
      </c>
      <c r="S116" s="12">
        <f t="shared" si="25"/>
        <v>5985</v>
      </c>
      <c r="T116" s="12">
        <f t="shared" si="26"/>
        <v>37485</v>
      </c>
      <c r="U116" s="11">
        <v>0</v>
      </c>
      <c r="V116" s="11">
        <f t="shared" si="27"/>
        <v>0</v>
      </c>
      <c r="W116" s="11">
        <f t="shared" si="28"/>
        <v>0</v>
      </c>
      <c r="X116" s="18">
        <v>31500</v>
      </c>
      <c r="Y116" s="19">
        <v>5985</v>
      </c>
      <c r="Z116" s="18">
        <v>37485</v>
      </c>
      <c r="AA116" s="18"/>
      <c r="AB116" s="19">
        <f t="shared" si="33"/>
        <v>0</v>
      </c>
      <c r="AC116" s="18">
        <f t="shared" si="34"/>
        <v>0</v>
      </c>
      <c r="AD116" s="18"/>
      <c r="AE116" s="19">
        <f t="shared" si="29"/>
        <v>0</v>
      </c>
      <c r="AF116" s="18">
        <f t="shared" si="30"/>
        <v>0</v>
      </c>
    </row>
    <row r="117" spans="3:32" x14ac:dyDescent="0.25">
      <c r="C117" s="3" t="s">
        <v>182</v>
      </c>
      <c r="D117" s="6" t="s">
        <v>7</v>
      </c>
      <c r="E117" s="6">
        <v>1</v>
      </c>
      <c r="F117" s="9">
        <v>0</v>
      </c>
      <c r="G117" s="9">
        <v>0</v>
      </c>
      <c r="H117" s="9">
        <f t="shared" si="31"/>
        <v>0</v>
      </c>
      <c r="I117" s="9">
        <v>0</v>
      </c>
      <c r="J117" s="9">
        <v>0</v>
      </c>
      <c r="K117" s="9">
        <f t="shared" si="21"/>
        <v>0</v>
      </c>
      <c r="L117" s="9">
        <v>0</v>
      </c>
      <c r="M117" s="9">
        <v>0</v>
      </c>
      <c r="N117" s="9">
        <f t="shared" si="22"/>
        <v>0</v>
      </c>
      <c r="O117" s="11"/>
      <c r="P117" s="12">
        <f t="shared" si="23"/>
        <v>0</v>
      </c>
      <c r="Q117" s="12">
        <f t="shared" si="24"/>
        <v>0</v>
      </c>
      <c r="R117" s="11"/>
      <c r="S117" s="12">
        <f t="shared" si="25"/>
        <v>0</v>
      </c>
      <c r="T117" s="12">
        <f t="shared" si="26"/>
        <v>0</v>
      </c>
      <c r="U117" s="11">
        <v>0</v>
      </c>
      <c r="V117" s="11">
        <f t="shared" si="27"/>
        <v>0</v>
      </c>
      <c r="W117" s="11">
        <f t="shared" si="28"/>
        <v>0</v>
      </c>
      <c r="X117" s="18"/>
      <c r="Y117" s="19">
        <v>0</v>
      </c>
      <c r="Z117" s="18">
        <v>0</v>
      </c>
      <c r="AA117" s="18"/>
      <c r="AB117" s="19">
        <f t="shared" si="33"/>
        <v>0</v>
      </c>
      <c r="AC117" s="18">
        <f t="shared" si="34"/>
        <v>0</v>
      </c>
      <c r="AD117" s="18"/>
      <c r="AE117" s="19">
        <f t="shared" si="29"/>
        <v>0</v>
      </c>
      <c r="AF117" s="18">
        <f t="shared" si="30"/>
        <v>0</v>
      </c>
    </row>
    <row r="118" spans="3:32" x14ac:dyDescent="0.25">
      <c r="C118" s="3" t="s">
        <v>35</v>
      </c>
      <c r="D118" s="6" t="s">
        <v>7</v>
      </c>
      <c r="E118" s="6">
        <v>1</v>
      </c>
      <c r="F118" s="9">
        <v>16000</v>
      </c>
      <c r="G118" s="9">
        <v>0</v>
      </c>
      <c r="H118" s="9">
        <f t="shared" si="31"/>
        <v>16000</v>
      </c>
      <c r="I118" s="9">
        <v>16000</v>
      </c>
      <c r="J118" s="9">
        <v>0</v>
      </c>
      <c r="K118" s="9">
        <f t="shared" si="21"/>
        <v>16000</v>
      </c>
      <c r="L118" s="9">
        <v>21000</v>
      </c>
      <c r="M118" s="9">
        <v>0</v>
      </c>
      <c r="N118" s="9">
        <f t="shared" si="22"/>
        <v>21000</v>
      </c>
      <c r="O118" s="11">
        <f>30400/1.19</f>
        <v>25546.218487394959</v>
      </c>
      <c r="P118" s="12">
        <f t="shared" si="23"/>
        <v>4853.7815126050427</v>
      </c>
      <c r="Q118" s="12">
        <f t="shared" si="24"/>
        <v>30400</v>
      </c>
      <c r="R118" s="11">
        <v>47000</v>
      </c>
      <c r="S118" s="12">
        <f t="shared" si="25"/>
        <v>8930</v>
      </c>
      <c r="T118" s="12">
        <f t="shared" si="26"/>
        <v>55930</v>
      </c>
      <c r="U118" s="11">
        <v>0</v>
      </c>
      <c r="V118" s="11">
        <f t="shared" si="27"/>
        <v>0</v>
      </c>
      <c r="W118" s="11">
        <f t="shared" si="28"/>
        <v>0</v>
      </c>
      <c r="X118" s="18">
        <v>47000</v>
      </c>
      <c r="Y118" s="19">
        <v>8930</v>
      </c>
      <c r="Z118" s="18">
        <v>55930</v>
      </c>
      <c r="AA118" s="18"/>
      <c r="AB118" s="19">
        <f t="shared" si="33"/>
        <v>0</v>
      </c>
      <c r="AC118" s="18">
        <f t="shared" si="34"/>
        <v>0</v>
      </c>
      <c r="AD118" s="18"/>
      <c r="AE118" s="19">
        <f t="shared" si="29"/>
        <v>0</v>
      </c>
      <c r="AF118" s="18">
        <f t="shared" si="30"/>
        <v>0</v>
      </c>
    </row>
    <row r="119" spans="3:32" x14ac:dyDescent="0.25">
      <c r="C119" s="3" t="s">
        <v>45</v>
      </c>
      <c r="D119" s="6" t="s">
        <v>7</v>
      </c>
      <c r="E119" s="6">
        <v>1</v>
      </c>
      <c r="F119" s="9">
        <v>33000</v>
      </c>
      <c r="G119" s="9">
        <v>0</v>
      </c>
      <c r="H119" s="9">
        <f t="shared" si="31"/>
        <v>33000</v>
      </c>
      <c r="I119" s="9">
        <v>33000</v>
      </c>
      <c r="J119" s="9">
        <v>0</v>
      </c>
      <c r="K119" s="9">
        <f t="shared" si="21"/>
        <v>33000</v>
      </c>
      <c r="L119" s="9">
        <v>36000</v>
      </c>
      <c r="M119" s="9">
        <v>0</v>
      </c>
      <c r="N119" s="9">
        <f t="shared" si="22"/>
        <v>36000</v>
      </c>
      <c r="O119" s="11"/>
      <c r="P119" s="12">
        <f t="shared" si="23"/>
        <v>0</v>
      </c>
      <c r="Q119" s="12">
        <f t="shared" si="24"/>
        <v>0</v>
      </c>
      <c r="R119" s="10">
        <v>43700</v>
      </c>
      <c r="S119" s="10">
        <f t="shared" si="25"/>
        <v>8303</v>
      </c>
      <c r="T119" s="10">
        <f t="shared" si="26"/>
        <v>52003</v>
      </c>
      <c r="U119" s="11">
        <f>50900/1.19</f>
        <v>42773.10924369748</v>
      </c>
      <c r="V119" s="11">
        <f t="shared" si="27"/>
        <v>8126.8907563025214</v>
      </c>
      <c r="W119" s="11">
        <f t="shared" si="28"/>
        <v>50900</v>
      </c>
      <c r="X119" s="18">
        <v>43700</v>
      </c>
      <c r="Y119" s="19">
        <v>8303</v>
      </c>
      <c r="Z119" s="18">
        <v>52003</v>
      </c>
      <c r="AA119" s="18"/>
      <c r="AB119" s="19">
        <f t="shared" si="33"/>
        <v>0</v>
      </c>
      <c r="AC119" s="18">
        <f t="shared" si="34"/>
        <v>0</v>
      </c>
      <c r="AD119" s="18"/>
      <c r="AE119" s="19">
        <f t="shared" si="29"/>
        <v>0</v>
      </c>
      <c r="AF119" s="18">
        <f t="shared" si="30"/>
        <v>0</v>
      </c>
    </row>
    <row r="120" spans="3:32" x14ac:dyDescent="0.25">
      <c r="C120" s="3" t="s">
        <v>98</v>
      </c>
      <c r="D120" s="6" t="s">
        <v>7</v>
      </c>
      <c r="E120" s="6">
        <v>1</v>
      </c>
      <c r="F120" s="9">
        <v>27000</v>
      </c>
      <c r="G120" s="9">
        <v>0</v>
      </c>
      <c r="H120" s="9">
        <f t="shared" si="31"/>
        <v>27000</v>
      </c>
      <c r="I120" s="9">
        <v>27000</v>
      </c>
      <c r="J120" s="9">
        <v>0</v>
      </c>
      <c r="K120" s="9">
        <f t="shared" si="21"/>
        <v>27000</v>
      </c>
      <c r="L120" s="9">
        <v>35000</v>
      </c>
      <c r="M120" s="9">
        <v>0</v>
      </c>
      <c r="N120" s="9">
        <f t="shared" si="22"/>
        <v>35000</v>
      </c>
      <c r="O120" s="11"/>
      <c r="P120" s="12">
        <f t="shared" si="23"/>
        <v>0</v>
      </c>
      <c r="Q120" s="12">
        <f t="shared" si="24"/>
        <v>0</v>
      </c>
      <c r="R120" s="11"/>
      <c r="S120" s="12">
        <f t="shared" si="25"/>
        <v>0</v>
      </c>
      <c r="T120" s="12">
        <f t="shared" si="26"/>
        <v>0</v>
      </c>
      <c r="U120" s="11">
        <f>23900/1.19</f>
        <v>20084.033613445379</v>
      </c>
      <c r="V120" s="11">
        <f t="shared" si="27"/>
        <v>3815.9663865546222</v>
      </c>
      <c r="W120" s="11">
        <f t="shared" si="28"/>
        <v>23900</v>
      </c>
      <c r="X120" s="18"/>
      <c r="Y120" s="19">
        <v>0</v>
      </c>
      <c r="Z120" s="18">
        <v>0</v>
      </c>
      <c r="AA120" s="18"/>
      <c r="AB120" s="19">
        <f t="shared" si="33"/>
        <v>0</v>
      </c>
      <c r="AC120" s="18">
        <f t="shared" si="34"/>
        <v>0</v>
      </c>
      <c r="AD120" s="18"/>
      <c r="AE120" s="19">
        <f t="shared" si="29"/>
        <v>0</v>
      </c>
      <c r="AF120" s="18">
        <f t="shared" si="30"/>
        <v>0</v>
      </c>
    </row>
    <row r="121" spans="3:32" x14ac:dyDescent="0.25">
      <c r="C121" s="3" t="s">
        <v>99</v>
      </c>
      <c r="D121" s="6" t="s">
        <v>7</v>
      </c>
      <c r="E121" s="6">
        <v>1</v>
      </c>
      <c r="F121" s="9">
        <v>0</v>
      </c>
      <c r="G121" s="9">
        <v>0</v>
      </c>
      <c r="H121" s="9">
        <f t="shared" si="31"/>
        <v>0</v>
      </c>
      <c r="I121" s="9">
        <v>0</v>
      </c>
      <c r="J121" s="9">
        <v>0</v>
      </c>
      <c r="K121" s="9">
        <f t="shared" si="21"/>
        <v>0</v>
      </c>
      <c r="L121" s="9">
        <v>0</v>
      </c>
      <c r="M121" s="9">
        <v>0</v>
      </c>
      <c r="N121" s="9">
        <f t="shared" si="22"/>
        <v>0</v>
      </c>
      <c r="O121" s="11">
        <f>199405/1.19</f>
        <v>167567.22689075631</v>
      </c>
      <c r="P121" s="12">
        <f t="shared" si="23"/>
        <v>31837.773109243699</v>
      </c>
      <c r="Q121" s="12">
        <f t="shared" si="24"/>
        <v>199405</v>
      </c>
      <c r="R121" s="11"/>
      <c r="S121" s="12">
        <f t="shared" si="25"/>
        <v>0</v>
      </c>
      <c r="T121" s="12">
        <f t="shared" si="26"/>
        <v>0</v>
      </c>
      <c r="U121" s="11">
        <v>0</v>
      </c>
      <c r="V121" s="11">
        <f t="shared" si="27"/>
        <v>0</v>
      </c>
      <c r="W121" s="11">
        <f t="shared" si="28"/>
        <v>0</v>
      </c>
      <c r="X121" s="18"/>
      <c r="Y121" s="19">
        <v>0</v>
      </c>
      <c r="Z121" s="18">
        <v>0</v>
      </c>
      <c r="AA121" s="18"/>
      <c r="AB121" s="19">
        <f t="shared" si="33"/>
        <v>0</v>
      </c>
      <c r="AC121" s="18">
        <f t="shared" si="34"/>
        <v>0</v>
      </c>
      <c r="AD121" s="18"/>
      <c r="AE121" s="19">
        <f t="shared" si="29"/>
        <v>0</v>
      </c>
      <c r="AF121" s="18">
        <f t="shared" si="30"/>
        <v>0</v>
      </c>
    </row>
    <row r="122" spans="3:32" x14ac:dyDescent="0.25">
      <c r="C122" s="3" t="s">
        <v>125</v>
      </c>
      <c r="D122" s="6" t="s">
        <v>7</v>
      </c>
      <c r="E122" s="6">
        <v>1</v>
      </c>
      <c r="F122" s="9">
        <v>3000</v>
      </c>
      <c r="G122" s="9">
        <v>0</v>
      </c>
      <c r="H122" s="9">
        <f t="shared" si="31"/>
        <v>3000</v>
      </c>
      <c r="I122" s="9">
        <v>3000</v>
      </c>
      <c r="J122" s="9">
        <v>0</v>
      </c>
      <c r="K122" s="9">
        <f t="shared" si="21"/>
        <v>3000</v>
      </c>
      <c r="L122" s="9">
        <v>0</v>
      </c>
      <c r="M122" s="9">
        <v>0</v>
      </c>
      <c r="N122" s="9">
        <f t="shared" si="22"/>
        <v>0</v>
      </c>
      <c r="O122" s="11">
        <f>2800/1.19</f>
        <v>2352.9411764705883</v>
      </c>
      <c r="P122" s="12">
        <f t="shared" si="23"/>
        <v>447.05882352941177</v>
      </c>
      <c r="Q122" s="12">
        <f t="shared" si="24"/>
        <v>2800</v>
      </c>
      <c r="R122" s="11">
        <f>35*100</f>
        <v>3500</v>
      </c>
      <c r="S122" s="12">
        <f t="shared" si="25"/>
        <v>665</v>
      </c>
      <c r="T122" s="12">
        <f t="shared" si="26"/>
        <v>4165</v>
      </c>
      <c r="U122" s="11">
        <f>1300/1.19</f>
        <v>1092.4369747899161</v>
      </c>
      <c r="V122" s="11">
        <f t="shared" si="27"/>
        <v>207.56302521008408</v>
      </c>
      <c r="W122" s="11">
        <f t="shared" si="28"/>
        <v>1300.0000000000002</v>
      </c>
      <c r="X122" s="18">
        <f>35*100</f>
        <v>3500</v>
      </c>
      <c r="Y122" s="19">
        <f t="shared" ref="Y122:Y127" si="35">X122*19%</f>
        <v>665</v>
      </c>
      <c r="Z122" s="18">
        <f t="shared" ref="Z122:Z127" si="36">X122+Y122</f>
        <v>4165</v>
      </c>
      <c r="AA122" s="18"/>
      <c r="AB122" s="19">
        <f t="shared" si="33"/>
        <v>0</v>
      </c>
      <c r="AC122" s="18">
        <f t="shared" si="34"/>
        <v>0</v>
      </c>
      <c r="AD122" s="18"/>
      <c r="AE122" s="19">
        <f t="shared" si="29"/>
        <v>0</v>
      </c>
      <c r="AF122" s="18">
        <f t="shared" si="30"/>
        <v>0</v>
      </c>
    </row>
    <row r="123" spans="3:32" x14ac:dyDescent="0.25">
      <c r="C123" s="3" t="s">
        <v>126</v>
      </c>
      <c r="D123" s="6" t="s">
        <v>7</v>
      </c>
      <c r="E123" s="6">
        <v>1</v>
      </c>
      <c r="F123" s="9">
        <v>4000</v>
      </c>
      <c r="G123" s="9">
        <v>0</v>
      </c>
      <c r="H123" s="9">
        <f t="shared" si="31"/>
        <v>4000</v>
      </c>
      <c r="I123" s="9">
        <v>4000</v>
      </c>
      <c r="J123" s="9">
        <v>0</v>
      </c>
      <c r="K123" s="9">
        <f t="shared" si="21"/>
        <v>4000</v>
      </c>
      <c r="L123" s="9">
        <v>0</v>
      </c>
      <c r="M123" s="9">
        <v>0</v>
      </c>
      <c r="N123" s="9">
        <f t="shared" si="22"/>
        <v>0</v>
      </c>
      <c r="O123" s="11">
        <f>4650/1.19</f>
        <v>3907.5630252100841</v>
      </c>
      <c r="P123" s="12">
        <f t="shared" si="23"/>
        <v>742.43697478991601</v>
      </c>
      <c r="Q123" s="12">
        <f t="shared" si="24"/>
        <v>4650</v>
      </c>
      <c r="R123" s="11">
        <f>70*100</f>
        <v>7000</v>
      </c>
      <c r="S123" s="12">
        <f t="shared" si="25"/>
        <v>1330</v>
      </c>
      <c r="T123" s="12">
        <f t="shared" si="26"/>
        <v>8330</v>
      </c>
      <c r="U123" s="11">
        <f>1700/1.19</f>
        <v>1428.5714285714287</v>
      </c>
      <c r="V123" s="11">
        <f t="shared" si="27"/>
        <v>271.42857142857144</v>
      </c>
      <c r="W123" s="11">
        <f t="shared" si="28"/>
        <v>1700</v>
      </c>
      <c r="X123" s="18">
        <f>70*100</f>
        <v>7000</v>
      </c>
      <c r="Y123" s="19">
        <f t="shared" si="35"/>
        <v>1330</v>
      </c>
      <c r="Z123" s="18">
        <f t="shared" si="36"/>
        <v>8330</v>
      </c>
      <c r="AA123" s="18"/>
      <c r="AB123" s="19">
        <f t="shared" si="33"/>
        <v>0</v>
      </c>
      <c r="AC123" s="18">
        <f t="shared" si="34"/>
        <v>0</v>
      </c>
      <c r="AD123" s="18"/>
      <c r="AE123" s="19">
        <f t="shared" si="29"/>
        <v>0</v>
      </c>
      <c r="AF123" s="18">
        <f t="shared" si="30"/>
        <v>0</v>
      </c>
    </row>
    <row r="124" spans="3:32" x14ac:dyDescent="0.25">
      <c r="C124" s="3" t="s">
        <v>100</v>
      </c>
      <c r="D124" s="6" t="s">
        <v>7</v>
      </c>
      <c r="E124" s="6">
        <v>1</v>
      </c>
      <c r="F124" s="9">
        <v>4600</v>
      </c>
      <c r="G124" s="9">
        <v>0</v>
      </c>
      <c r="H124" s="9">
        <f t="shared" si="31"/>
        <v>4600</v>
      </c>
      <c r="I124" s="9">
        <v>4600</v>
      </c>
      <c r="J124" s="9">
        <v>0</v>
      </c>
      <c r="K124" s="9">
        <f t="shared" si="21"/>
        <v>4600</v>
      </c>
      <c r="L124" s="9">
        <v>0</v>
      </c>
      <c r="M124" s="9">
        <v>0</v>
      </c>
      <c r="N124" s="9">
        <f t="shared" si="22"/>
        <v>0</v>
      </c>
      <c r="O124" s="11">
        <f>9700/1.19</f>
        <v>8151.2605042016812</v>
      </c>
      <c r="P124" s="12">
        <f t="shared" si="23"/>
        <v>1548.7394957983195</v>
      </c>
      <c r="Q124" s="12">
        <f t="shared" si="24"/>
        <v>9700</v>
      </c>
      <c r="R124" s="11">
        <f>130*50</f>
        <v>6500</v>
      </c>
      <c r="S124" s="12">
        <f t="shared" si="25"/>
        <v>1235</v>
      </c>
      <c r="T124" s="12">
        <f t="shared" si="26"/>
        <v>7735</v>
      </c>
      <c r="U124" s="11">
        <f>3200/1.19</f>
        <v>2689.0756302521008</v>
      </c>
      <c r="V124" s="11">
        <f t="shared" si="27"/>
        <v>510.92436974789916</v>
      </c>
      <c r="W124" s="11">
        <f t="shared" si="28"/>
        <v>3200</v>
      </c>
      <c r="X124" s="18">
        <f>130*50</f>
        <v>6500</v>
      </c>
      <c r="Y124" s="19">
        <f t="shared" si="35"/>
        <v>1235</v>
      </c>
      <c r="Z124" s="18">
        <f t="shared" si="36"/>
        <v>7735</v>
      </c>
      <c r="AA124" s="18"/>
      <c r="AB124" s="19">
        <f t="shared" si="33"/>
        <v>0</v>
      </c>
      <c r="AC124" s="18">
        <f t="shared" si="34"/>
        <v>0</v>
      </c>
      <c r="AD124" s="18"/>
      <c r="AE124" s="19">
        <f t="shared" si="29"/>
        <v>0</v>
      </c>
      <c r="AF124" s="18">
        <f t="shared" si="30"/>
        <v>0</v>
      </c>
    </row>
    <row r="125" spans="3:32" x14ac:dyDescent="0.25">
      <c r="C125" s="3" t="s">
        <v>127</v>
      </c>
      <c r="D125" s="6" t="s">
        <v>7</v>
      </c>
      <c r="E125" s="6">
        <v>1</v>
      </c>
      <c r="F125" s="9">
        <v>5400</v>
      </c>
      <c r="G125" s="9">
        <v>0</v>
      </c>
      <c r="H125" s="9">
        <f t="shared" si="31"/>
        <v>5400</v>
      </c>
      <c r="I125" s="9">
        <v>5400</v>
      </c>
      <c r="J125" s="9">
        <v>0</v>
      </c>
      <c r="K125" s="9">
        <f t="shared" si="21"/>
        <v>5400</v>
      </c>
      <c r="L125" s="9">
        <v>0</v>
      </c>
      <c r="M125" s="9">
        <v>0</v>
      </c>
      <c r="N125" s="9">
        <f t="shared" si="22"/>
        <v>0</v>
      </c>
      <c r="O125" s="11"/>
      <c r="P125" s="12">
        <f t="shared" si="23"/>
        <v>0</v>
      </c>
      <c r="Q125" s="12">
        <f t="shared" si="24"/>
        <v>0</v>
      </c>
      <c r="R125" s="11">
        <f>170*50</f>
        <v>8500</v>
      </c>
      <c r="S125" s="12">
        <f t="shared" si="25"/>
        <v>1615</v>
      </c>
      <c r="T125" s="12">
        <f t="shared" si="26"/>
        <v>10115</v>
      </c>
      <c r="U125" s="11">
        <v>0</v>
      </c>
      <c r="V125" s="11">
        <f t="shared" si="27"/>
        <v>0</v>
      </c>
      <c r="W125" s="11">
        <f t="shared" si="28"/>
        <v>0</v>
      </c>
      <c r="X125" s="18">
        <f>170*50</f>
        <v>8500</v>
      </c>
      <c r="Y125" s="19">
        <f t="shared" si="35"/>
        <v>1615</v>
      </c>
      <c r="Z125" s="18">
        <f t="shared" si="36"/>
        <v>10115</v>
      </c>
      <c r="AA125" s="18"/>
      <c r="AB125" s="19">
        <f t="shared" si="33"/>
        <v>0</v>
      </c>
      <c r="AC125" s="18">
        <f t="shared" si="34"/>
        <v>0</v>
      </c>
      <c r="AD125" s="18"/>
      <c r="AE125" s="19">
        <f t="shared" si="29"/>
        <v>0</v>
      </c>
      <c r="AF125" s="18">
        <f t="shared" si="30"/>
        <v>0</v>
      </c>
    </row>
    <row r="126" spans="3:32" x14ac:dyDescent="0.25">
      <c r="C126" s="3" t="s">
        <v>128</v>
      </c>
      <c r="D126" s="6" t="s">
        <v>7</v>
      </c>
      <c r="E126" s="6">
        <v>1</v>
      </c>
      <c r="F126" s="9">
        <v>6200</v>
      </c>
      <c r="G126" s="9">
        <v>0</v>
      </c>
      <c r="H126" s="9">
        <f t="shared" si="31"/>
        <v>6200</v>
      </c>
      <c r="I126" s="9">
        <v>6200</v>
      </c>
      <c r="J126" s="9">
        <v>0</v>
      </c>
      <c r="K126" s="9">
        <f t="shared" si="21"/>
        <v>6200</v>
      </c>
      <c r="L126" s="9">
        <v>0</v>
      </c>
      <c r="M126" s="9">
        <v>0</v>
      </c>
      <c r="N126" s="9">
        <f t="shared" si="22"/>
        <v>0</v>
      </c>
      <c r="O126" s="11"/>
      <c r="P126" s="12">
        <f t="shared" si="23"/>
        <v>0</v>
      </c>
      <c r="Q126" s="12">
        <f t="shared" si="24"/>
        <v>0</v>
      </c>
      <c r="R126" s="10">
        <f>200*50</f>
        <v>10000</v>
      </c>
      <c r="S126" s="10">
        <f t="shared" si="25"/>
        <v>1900</v>
      </c>
      <c r="T126" s="10">
        <f t="shared" si="26"/>
        <v>11900</v>
      </c>
      <c r="U126" s="11">
        <f>6800/1.19</f>
        <v>5714.2857142857147</v>
      </c>
      <c r="V126" s="11">
        <f t="shared" si="27"/>
        <v>1085.7142857142858</v>
      </c>
      <c r="W126" s="11">
        <f t="shared" si="28"/>
        <v>6800</v>
      </c>
      <c r="X126" s="18">
        <f>200*50</f>
        <v>10000</v>
      </c>
      <c r="Y126" s="19">
        <f t="shared" si="35"/>
        <v>1900</v>
      </c>
      <c r="Z126" s="18">
        <f t="shared" si="36"/>
        <v>11900</v>
      </c>
      <c r="AA126" s="18"/>
      <c r="AB126" s="19">
        <f t="shared" si="33"/>
        <v>0</v>
      </c>
      <c r="AC126" s="18">
        <f t="shared" si="34"/>
        <v>0</v>
      </c>
      <c r="AD126" s="18"/>
      <c r="AE126" s="19">
        <f t="shared" si="29"/>
        <v>0</v>
      </c>
      <c r="AF126" s="18">
        <f t="shared" si="30"/>
        <v>0</v>
      </c>
    </row>
    <row r="127" spans="3:32" x14ac:dyDescent="0.25">
      <c r="C127" s="3" t="s">
        <v>129</v>
      </c>
      <c r="D127" s="6" t="s">
        <v>7</v>
      </c>
      <c r="E127" s="6">
        <v>1</v>
      </c>
      <c r="F127" s="9">
        <v>7000</v>
      </c>
      <c r="G127" s="9">
        <v>0</v>
      </c>
      <c r="H127" s="9">
        <f t="shared" si="31"/>
        <v>7000</v>
      </c>
      <c r="I127" s="9">
        <v>7000</v>
      </c>
      <c r="J127" s="9">
        <v>0</v>
      </c>
      <c r="K127" s="9">
        <f t="shared" si="21"/>
        <v>7000</v>
      </c>
      <c r="L127" s="9">
        <v>0</v>
      </c>
      <c r="M127" s="9">
        <v>0</v>
      </c>
      <c r="N127" s="9">
        <f t="shared" si="22"/>
        <v>0</v>
      </c>
      <c r="O127" s="11"/>
      <c r="P127" s="12">
        <f t="shared" si="23"/>
        <v>0</v>
      </c>
      <c r="Q127" s="12">
        <f t="shared" si="24"/>
        <v>0</v>
      </c>
      <c r="R127" s="11">
        <f>252*50</f>
        <v>12600</v>
      </c>
      <c r="S127" s="12">
        <f t="shared" si="25"/>
        <v>2394</v>
      </c>
      <c r="T127" s="12">
        <f t="shared" si="26"/>
        <v>14994</v>
      </c>
      <c r="U127" s="11">
        <v>0</v>
      </c>
      <c r="V127" s="11">
        <f t="shared" si="27"/>
        <v>0</v>
      </c>
      <c r="W127" s="11">
        <f t="shared" si="28"/>
        <v>0</v>
      </c>
      <c r="X127" s="18">
        <f>252*50</f>
        <v>12600</v>
      </c>
      <c r="Y127" s="19">
        <f t="shared" si="35"/>
        <v>2394</v>
      </c>
      <c r="Z127" s="18">
        <f t="shared" si="36"/>
        <v>14994</v>
      </c>
      <c r="AA127" s="18"/>
      <c r="AB127" s="19">
        <f t="shared" si="33"/>
        <v>0</v>
      </c>
      <c r="AC127" s="18">
        <f t="shared" si="34"/>
        <v>0</v>
      </c>
      <c r="AD127" s="18"/>
      <c r="AE127" s="19">
        <f t="shared" si="29"/>
        <v>0</v>
      </c>
      <c r="AF127" s="18">
        <f t="shared" si="30"/>
        <v>0</v>
      </c>
    </row>
    <row r="128" spans="3:32" x14ac:dyDescent="0.25">
      <c r="C128" s="3" t="s">
        <v>10</v>
      </c>
      <c r="D128" s="6" t="s">
        <v>21</v>
      </c>
      <c r="E128" s="6">
        <v>1</v>
      </c>
      <c r="F128" s="9">
        <v>0</v>
      </c>
      <c r="G128" s="9">
        <v>0</v>
      </c>
      <c r="H128" s="9">
        <f t="shared" si="31"/>
        <v>0</v>
      </c>
      <c r="I128" s="9">
        <v>0</v>
      </c>
      <c r="J128" s="9">
        <v>0</v>
      </c>
      <c r="K128" s="9">
        <f t="shared" si="21"/>
        <v>0</v>
      </c>
      <c r="L128" s="9">
        <v>252100</v>
      </c>
      <c r="M128" s="9">
        <v>0</v>
      </c>
      <c r="N128" s="9">
        <f t="shared" si="22"/>
        <v>252100</v>
      </c>
      <c r="O128" s="11">
        <f>216827/1.19</f>
        <v>182207.56302521008</v>
      </c>
      <c r="P128" s="12">
        <f t="shared" si="23"/>
        <v>34619.436974789918</v>
      </c>
      <c r="Q128" s="12">
        <f t="shared" si="24"/>
        <v>216827</v>
      </c>
      <c r="R128" s="11">
        <v>0</v>
      </c>
      <c r="S128" s="12">
        <f t="shared" si="25"/>
        <v>0</v>
      </c>
      <c r="T128" s="12">
        <f t="shared" si="26"/>
        <v>0</v>
      </c>
      <c r="U128" s="11">
        <v>0</v>
      </c>
      <c r="V128" s="11">
        <f t="shared" si="27"/>
        <v>0</v>
      </c>
      <c r="W128" s="11">
        <f t="shared" si="28"/>
        <v>0</v>
      </c>
      <c r="X128" s="18">
        <v>0</v>
      </c>
      <c r="Y128" s="19">
        <v>0</v>
      </c>
      <c r="Z128" s="18">
        <v>0</v>
      </c>
      <c r="AA128" s="18">
        <v>164634</v>
      </c>
      <c r="AB128" s="19">
        <f t="shared" si="33"/>
        <v>31280.46</v>
      </c>
      <c r="AC128" s="18">
        <f t="shared" si="34"/>
        <v>195914.46</v>
      </c>
      <c r="AD128" s="18"/>
      <c r="AE128" s="19">
        <f t="shared" si="29"/>
        <v>0</v>
      </c>
      <c r="AF128" s="18">
        <f t="shared" si="30"/>
        <v>0</v>
      </c>
    </row>
    <row r="129" spans="3:32" x14ac:dyDescent="0.25">
      <c r="C129" s="3" t="s">
        <v>41</v>
      </c>
      <c r="D129" s="6" t="s">
        <v>21</v>
      </c>
      <c r="E129" s="6">
        <v>1</v>
      </c>
      <c r="F129" s="9">
        <v>0</v>
      </c>
      <c r="G129" s="9">
        <v>0</v>
      </c>
      <c r="H129" s="9">
        <f t="shared" si="31"/>
        <v>0</v>
      </c>
      <c r="I129" s="9">
        <v>0</v>
      </c>
      <c r="J129" s="9">
        <v>0</v>
      </c>
      <c r="K129" s="9">
        <f t="shared" si="21"/>
        <v>0</v>
      </c>
      <c r="L129" s="9">
        <v>252100</v>
      </c>
      <c r="M129" s="9">
        <v>0</v>
      </c>
      <c r="N129" s="9">
        <f t="shared" si="22"/>
        <v>252100</v>
      </c>
      <c r="O129" s="11"/>
      <c r="P129" s="12">
        <f t="shared" si="23"/>
        <v>0</v>
      </c>
      <c r="Q129" s="12">
        <f t="shared" si="24"/>
        <v>0</v>
      </c>
      <c r="R129" s="11">
        <v>257700</v>
      </c>
      <c r="S129" s="12">
        <f t="shared" si="25"/>
        <v>48963</v>
      </c>
      <c r="T129" s="12">
        <f t="shared" si="26"/>
        <v>306663</v>
      </c>
      <c r="U129" s="11">
        <v>0</v>
      </c>
      <c r="V129" s="11">
        <f t="shared" si="27"/>
        <v>0</v>
      </c>
      <c r="W129" s="11">
        <f t="shared" si="28"/>
        <v>0</v>
      </c>
      <c r="X129" s="18">
        <v>257700</v>
      </c>
      <c r="Y129" s="19">
        <v>48963</v>
      </c>
      <c r="Z129" s="18">
        <v>306663</v>
      </c>
      <c r="AA129" s="18"/>
      <c r="AB129" s="19">
        <f t="shared" si="33"/>
        <v>0</v>
      </c>
      <c r="AC129" s="18">
        <f t="shared" si="34"/>
        <v>0</v>
      </c>
      <c r="AD129" s="18"/>
      <c r="AE129" s="19">
        <f t="shared" si="29"/>
        <v>0</v>
      </c>
      <c r="AF129" s="18">
        <f t="shared" si="30"/>
        <v>0</v>
      </c>
    </row>
    <row r="130" spans="3:32" x14ac:dyDescent="0.25">
      <c r="C130" s="3" t="s">
        <v>24</v>
      </c>
      <c r="D130" s="6" t="s">
        <v>21</v>
      </c>
      <c r="E130" s="6">
        <v>1</v>
      </c>
      <c r="F130" s="9">
        <v>0</v>
      </c>
      <c r="G130" s="9">
        <v>0</v>
      </c>
      <c r="H130" s="9">
        <f t="shared" si="31"/>
        <v>0</v>
      </c>
      <c r="I130" s="9">
        <v>0</v>
      </c>
      <c r="J130" s="9">
        <v>0</v>
      </c>
      <c r="K130" s="9">
        <f t="shared" si="21"/>
        <v>0</v>
      </c>
      <c r="L130" s="9">
        <v>252100</v>
      </c>
      <c r="M130" s="9">
        <v>0</v>
      </c>
      <c r="N130" s="9">
        <f t="shared" si="22"/>
        <v>252100</v>
      </c>
      <c r="O130" s="11">
        <f>216827/1.19</f>
        <v>182207.56302521008</v>
      </c>
      <c r="P130" s="12">
        <f t="shared" si="23"/>
        <v>34619.436974789918</v>
      </c>
      <c r="Q130" s="12">
        <f t="shared" si="24"/>
        <v>216827</v>
      </c>
      <c r="R130" s="11"/>
      <c r="S130" s="12">
        <f t="shared" si="25"/>
        <v>0</v>
      </c>
      <c r="T130" s="12">
        <f t="shared" si="26"/>
        <v>0</v>
      </c>
      <c r="U130" s="11">
        <f>217000/1.19</f>
        <v>182352.9411764706</v>
      </c>
      <c r="V130" s="11">
        <f t="shared" si="27"/>
        <v>34647.058823529413</v>
      </c>
      <c r="W130" s="11">
        <f t="shared" si="28"/>
        <v>217000</v>
      </c>
      <c r="X130" s="18"/>
      <c r="Y130" s="19">
        <v>0</v>
      </c>
      <c r="Z130" s="18">
        <v>0</v>
      </c>
      <c r="AA130" s="18">
        <v>164634</v>
      </c>
      <c r="AB130" s="19">
        <f t="shared" si="33"/>
        <v>31280.46</v>
      </c>
      <c r="AC130" s="18">
        <f t="shared" si="34"/>
        <v>195914.46</v>
      </c>
      <c r="AD130" s="18"/>
      <c r="AE130" s="19">
        <f t="shared" si="29"/>
        <v>0</v>
      </c>
      <c r="AF130" s="18">
        <f t="shared" si="30"/>
        <v>0</v>
      </c>
    </row>
    <row r="131" spans="3:32" x14ac:dyDescent="0.25">
      <c r="C131" s="3" t="s">
        <v>39</v>
      </c>
      <c r="D131" s="6" t="s">
        <v>21</v>
      </c>
      <c r="E131" s="6">
        <v>1</v>
      </c>
      <c r="F131" s="9">
        <v>0</v>
      </c>
      <c r="G131" s="9">
        <v>0</v>
      </c>
      <c r="H131" s="9">
        <f t="shared" si="31"/>
        <v>0</v>
      </c>
      <c r="I131" s="9">
        <v>0</v>
      </c>
      <c r="J131" s="9">
        <v>0</v>
      </c>
      <c r="K131" s="9">
        <f t="shared" si="21"/>
        <v>0</v>
      </c>
      <c r="L131" s="9">
        <v>252100</v>
      </c>
      <c r="M131" s="9">
        <v>0</v>
      </c>
      <c r="N131" s="9">
        <f t="shared" si="22"/>
        <v>252100</v>
      </c>
      <c r="O131" s="11"/>
      <c r="P131" s="12">
        <f t="shared" si="23"/>
        <v>0</v>
      </c>
      <c r="Q131" s="12">
        <f t="shared" si="24"/>
        <v>0</v>
      </c>
      <c r="R131" s="11">
        <v>257700</v>
      </c>
      <c r="S131" s="12">
        <f t="shared" si="25"/>
        <v>48963</v>
      </c>
      <c r="T131" s="12">
        <f t="shared" si="26"/>
        <v>306663</v>
      </c>
      <c r="U131" s="11">
        <v>0</v>
      </c>
      <c r="V131" s="11">
        <f t="shared" si="27"/>
        <v>0</v>
      </c>
      <c r="W131" s="11">
        <f t="shared" si="28"/>
        <v>0</v>
      </c>
      <c r="X131" s="18">
        <v>257700</v>
      </c>
      <c r="Y131" s="19">
        <v>48963</v>
      </c>
      <c r="Z131" s="18">
        <v>306663</v>
      </c>
      <c r="AA131" s="18">
        <v>218216</v>
      </c>
      <c r="AB131" s="19">
        <f t="shared" si="33"/>
        <v>41461.040000000001</v>
      </c>
      <c r="AC131" s="18">
        <f t="shared" si="34"/>
        <v>259677.04</v>
      </c>
      <c r="AD131" s="18"/>
      <c r="AE131" s="19">
        <f t="shared" si="29"/>
        <v>0</v>
      </c>
      <c r="AF131" s="18">
        <f t="shared" si="30"/>
        <v>0</v>
      </c>
    </row>
    <row r="132" spans="3:32" x14ac:dyDescent="0.25">
      <c r="C132" s="3" t="s">
        <v>25</v>
      </c>
      <c r="D132" s="6" t="s">
        <v>21</v>
      </c>
      <c r="E132" s="6">
        <v>1</v>
      </c>
      <c r="F132" s="9">
        <v>0</v>
      </c>
      <c r="G132" s="9">
        <v>0</v>
      </c>
      <c r="H132" s="9">
        <f t="shared" si="31"/>
        <v>0</v>
      </c>
      <c r="I132" s="9">
        <v>0</v>
      </c>
      <c r="J132" s="9">
        <v>0</v>
      </c>
      <c r="K132" s="9">
        <f t="shared" si="21"/>
        <v>0</v>
      </c>
      <c r="L132" s="9">
        <v>252100</v>
      </c>
      <c r="M132" s="9">
        <v>0</v>
      </c>
      <c r="N132" s="9">
        <f t="shared" si="22"/>
        <v>252100</v>
      </c>
      <c r="O132" s="11">
        <f>216827/1.19</f>
        <v>182207.56302521008</v>
      </c>
      <c r="P132" s="12">
        <f t="shared" si="23"/>
        <v>34619.436974789918</v>
      </c>
      <c r="Q132" s="12">
        <f t="shared" si="24"/>
        <v>216827</v>
      </c>
      <c r="R132" s="11"/>
      <c r="S132" s="12">
        <f t="shared" si="25"/>
        <v>0</v>
      </c>
      <c r="T132" s="12">
        <f t="shared" si="26"/>
        <v>0</v>
      </c>
      <c r="U132" s="11">
        <f>208650/1.19</f>
        <v>175336.13445378153</v>
      </c>
      <c r="V132" s="11">
        <f t="shared" si="27"/>
        <v>33313.865546218491</v>
      </c>
      <c r="W132" s="11">
        <f t="shared" si="28"/>
        <v>208650.00000000003</v>
      </c>
      <c r="X132" s="18"/>
      <c r="Y132" s="19">
        <v>0</v>
      </c>
      <c r="Z132" s="18">
        <v>0</v>
      </c>
      <c r="AA132" s="18">
        <v>164634</v>
      </c>
      <c r="AB132" s="19">
        <f t="shared" si="33"/>
        <v>31280.46</v>
      </c>
      <c r="AC132" s="18">
        <f t="shared" si="34"/>
        <v>195914.46</v>
      </c>
      <c r="AD132" s="18"/>
      <c r="AE132" s="19">
        <f t="shared" si="29"/>
        <v>0</v>
      </c>
      <c r="AF132" s="18">
        <f t="shared" si="30"/>
        <v>0</v>
      </c>
    </row>
    <row r="133" spans="3:32" x14ac:dyDescent="0.25">
      <c r="C133" s="3" t="s">
        <v>40</v>
      </c>
      <c r="D133" s="6" t="s">
        <v>21</v>
      </c>
      <c r="E133" s="6">
        <v>1</v>
      </c>
      <c r="F133" s="9">
        <v>0</v>
      </c>
      <c r="G133" s="9">
        <v>0</v>
      </c>
      <c r="H133" s="9">
        <f t="shared" si="31"/>
        <v>0</v>
      </c>
      <c r="I133" s="9">
        <v>0</v>
      </c>
      <c r="J133" s="9">
        <v>0</v>
      </c>
      <c r="K133" s="9">
        <f t="shared" si="21"/>
        <v>0</v>
      </c>
      <c r="L133" s="9">
        <v>252100</v>
      </c>
      <c r="M133" s="9">
        <v>0</v>
      </c>
      <c r="N133" s="9">
        <f t="shared" si="22"/>
        <v>252100</v>
      </c>
      <c r="O133" s="11"/>
      <c r="P133" s="12">
        <f t="shared" si="23"/>
        <v>0</v>
      </c>
      <c r="Q133" s="12">
        <f t="shared" si="24"/>
        <v>0</v>
      </c>
      <c r="R133" s="10">
        <v>257700</v>
      </c>
      <c r="S133" s="10">
        <f t="shared" si="25"/>
        <v>48963</v>
      </c>
      <c r="T133" s="10">
        <f t="shared" si="26"/>
        <v>306663</v>
      </c>
      <c r="U133" s="11">
        <v>0</v>
      </c>
      <c r="V133" s="11">
        <f t="shared" si="27"/>
        <v>0</v>
      </c>
      <c r="W133" s="11">
        <f t="shared" si="28"/>
        <v>0</v>
      </c>
      <c r="X133" s="18">
        <v>257700</v>
      </c>
      <c r="Y133" s="19">
        <v>48963</v>
      </c>
      <c r="Z133" s="18">
        <v>306663</v>
      </c>
      <c r="AA133" s="18">
        <v>218216</v>
      </c>
      <c r="AB133" s="19">
        <f t="shared" si="33"/>
        <v>41461.040000000001</v>
      </c>
      <c r="AC133" s="18">
        <f t="shared" si="34"/>
        <v>259677.04</v>
      </c>
      <c r="AD133" s="18"/>
      <c r="AE133" s="19">
        <f t="shared" si="29"/>
        <v>0</v>
      </c>
      <c r="AF133" s="18">
        <f t="shared" si="30"/>
        <v>0</v>
      </c>
    </row>
    <row r="134" spans="3:32" x14ac:dyDescent="0.25">
      <c r="C134" s="3" t="s">
        <v>49</v>
      </c>
      <c r="D134" s="6" t="s">
        <v>21</v>
      </c>
      <c r="E134" s="6">
        <v>1</v>
      </c>
      <c r="F134" s="9">
        <v>0</v>
      </c>
      <c r="G134" s="9">
        <v>0</v>
      </c>
      <c r="H134" s="9">
        <f t="shared" si="31"/>
        <v>0</v>
      </c>
      <c r="I134" s="9">
        <v>0</v>
      </c>
      <c r="J134" s="9">
        <v>0</v>
      </c>
      <c r="K134" s="9">
        <f t="shared" si="21"/>
        <v>0</v>
      </c>
      <c r="L134" s="9">
        <v>252100</v>
      </c>
      <c r="M134" s="9">
        <v>0</v>
      </c>
      <c r="N134" s="9">
        <f t="shared" si="22"/>
        <v>252100</v>
      </c>
      <c r="O134" s="11"/>
      <c r="P134" s="12">
        <f t="shared" si="23"/>
        <v>0</v>
      </c>
      <c r="Q134" s="12">
        <f t="shared" si="24"/>
        <v>0</v>
      </c>
      <c r="R134" s="11">
        <v>257700</v>
      </c>
      <c r="S134" s="12">
        <f t="shared" si="25"/>
        <v>48963</v>
      </c>
      <c r="T134" s="12">
        <f t="shared" si="26"/>
        <v>306663</v>
      </c>
      <c r="U134" s="11">
        <v>0</v>
      </c>
      <c r="V134" s="11">
        <f t="shared" si="27"/>
        <v>0</v>
      </c>
      <c r="W134" s="11">
        <f t="shared" si="28"/>
        <v>0</v>
      </c>
      <c r="X134" s="18">
        <v>257700</v>
      </c>
      <c r="Y134" s="19">
        <v>48963</v>
      </c>
      <c r="Z134" s="18">
        <v>306663</v>
      </c>
      <c r="AA134" s="18"/>
      <c r="AB134" s="19">
        <f t="shared" si="33"/>
        <v>0</v>
      </c>
      <c r="AC134" s="18">
        <f t="shared" si="34"/>
        <v>0</v>
      </c>
      <c r="AD134" s="18"/>
      <c r="AE134" s="19">
        <f t="shared" si="29"/>
        <v>0</v>
      </c>
      <c r="AF134" s="18">
        <f t="shared" si="30"/>
        <v>0</v>
      </c>
    </row>
    <row r="135" spans="3:32" x14ac:dyDescent="0.25">
      <c r="C135" s="3" t="s">
        <v>141</v>
      </c>
      <c r="D135" s="6" t="s">
        <v>21</v>
      </c>
      <c r="E135" s="6">
        <v>1</v>
      </c>
      <c r="F135" s="9">
        <v>0</v>
      </c>
      <c r="G135" s="9">
        <v>0</v>
      </c>
      <c r="H135" s="9">
        <f t="shared" si="31"/>
        <v>0</v>
      </c>
      <c r="I135" s="9">
        <v>0</v>
      </c>
      <c r="J135" s="9">
        <v>0</v>
      </c>
      <c r="K135" s="9">
        <f t="shared" si="21"/>
        <v>0</v>
      </c>
      <c r="L135" s="9">
        <v>0</v>
      </c>
      <c r="M135" s="9">
        <v>0</v>
      </c>
      <c r="N135" s="9">
        <f t="shared" si="22"/>
        <v>0</v>
      </c>
      <c r="O135" s="11">
        <f>162311/1.19</f>
        <v>136395.79831932773</v>
      </c>
      <c r="P135" s="12">
        <f t="shared" si="23"/>
        <v>25915.201680672268</v>
      </c>
      <c r="Q135" s="12">
        <f t="shared" si="24"/>
        <v>162311</v>
      </c>
      <c r="R135" s="11">
        <v>228500</v>
      </c>
      <c r="S135" s="12">
        <f t="shared" si="25"/>
        <v>43415</v>
      </c>
      <c r="T135" s="12">
        <f t="shared" si="26"/>
        <v>271915</v>
      </c>
      <c r="U135" s="11">
        <v>0</v>
      </c>
      <c r="V135" s="11">
        <f t="shared" si="27"/>
        <v>0</v>
      </c>
      <c r="W135" s="11">
        <f t="shared" si="28"/>
        <v>0</v>
      </c>
      <c r="X135" s="18">
        <v>228500</v>
      </c>
      <c r="Y135" s="19">
        <v>43415</v>
      </c>
      <c r="Z135" s="18">
        <v>271915</v>
      </c>
      <c r="AA135" s="18"/>
      <c r="AB135" s="19">
        <f t="shared" si="33"/>
        <v>0</v>
      </c>
      <c r="AC135" s="18">
        <f t="shared" si="34"/>
        <v>0</v>
      </c>
      <c r="AD135" s="18"/>
      <c r="AE135" s="19">
        <f t="shared" si="29"/>
        <v>0</v>
      </c>
      <c r="AF135" s="18">
        <f t="shared" si="30"/>
        <v>0</v>
      </c>
    </row>
    <row r="136" spans="3:32" x14ac:dyDescent="0.25">
      <c r="C136" s="3" t="s">
        <v>31</v>
      </c>
      <c r="D136" s="6" t="s">
        <v>21</v>
      </c>
      <c r="E136" s="6">
        <v>1</v>
      </c>
      <c r="F136" s="9">
        <v>0</v>
      </c>
      <c r="G136" s="9">
        <v>0</v>
      </c>
      <c r="H136" s="9">
        <f t="shared" si="31"/>
        <v>0</v>
      </c>
      <c r="I136" s="9">
        <v>0</v>
      </c>
      <c r="J136" s="9">
        <v>0</v>
      </c>
      <c r="K136" s="9">
        <f t="shared" ref="K136:K196" si="37">+I136</f>
        <v>0</v>
      </c>
      <c r="L136" s="9">
        <v>157000</v>
      </c>
      <c r="M136" s="9">
        <v>0</v>
      </c>
      <c r="N136" s="9">
        <f t="shared" ref="N136:N197" si="38">+L136</f>
        <v>157000</v>
      </c>
      <c r="O136" s="11">
        <f>157000/1.19</f>
        <v>131932.77310924372</v>
      </c>
      <c r="P136" s="12">
        <f t="shared" si="23"/>
        <v>25067.226890756305</v>
      </c>
      <c r="Q136" s="12">
        <f t="shared" si="24"/>
        <v>157000.00000000003</v>
      </c>
      <c r="R136" s="11">
        <v>157100</v>
      </c>
      <c r="S136" s="12">
        <f t="shared" si="25"/>
        <v>29849</v>
      </c>
      <c r="T136" s="12">
        <f t="shared" si="26"/>
        <v>186949</v>
      </c>
      <c r="U136" s="11">
        <f>154750/1.19</f>
        <v>130042.01680672269</v>
      </c>
      <c r="V136" s="11">
        <f t="shared" si="27"/>
        <v>24707.983193277312</v>
      </c>
      <c r="W136" s="11">
        <f t="shared" si="28"/>
        <v>154750</v>
      </c>
      <c r="X136" s="18">
        <v>157100</v>
      </c>
      <c r="Y136" s="19">
        <v>29849</v>
      </c>
      <c r="Z136" s="18">
        <v>186949</v>
      </c>
      <c r="AA136" s="18">
        <v>117420</v>
      </c>
      <c r="AB136" s="19">
        <f t="shared" si="33"/>
        <v>22309.8</v>
      </c>
      <c r="AC136" s="18">
        <f t="shared" si="34"/>
        <v>139729.79999999999</v>
      </c>
      <c r="AD136" s="18"/>
      <c r="AE136" s="19">
        <f t="shared" si="29"/>
        <v>0</v>
      </c>
      <c r="AF136" s="18">
        <f t="shared" si="30"/>
        <v>0</v>
      </c>
    </row>
    <row r="137" spans="3:32" x14ac:dyDescent="0.25">
      <c r="C137" s="3" t="s">
        <v>32</v>
      </c>
      <c r="D137" s="6" t="s">
        <v>21</v>
      </c>
      <c r="E137" s="6">
        <v>1</v>
      </c>
      <c r="F137" s="9">
        <v>0</v>
      </c>
      <c r="G137" s="9">
        <v>0</v>
      </c>
      <c r="H137" s="9">
        <f t="shared" si="31"/>
        <v>0</v>
      </c>
      <c r="I137" s="9">
        <v>0</v>
      </c>
      <c r="J137" s="9">
        <v>0</v>
      </c>
      <c r="K137" s="9">
        <f t="shared" si="37"/>
        <v>0</v>
      </c>
      <c r="L137" s="9">
        <v>157000</v>
      </c>
      <c r="M137" s="9">
        <v>0</v>
      </c>
      <c r="N137" s="9">
        <f t="shared" si="38"/>
        <v>157000</v>
      </c>
      <c r="O137" s="11">
        <f>157500/1.19</f>
        <v>132352.9411764706</v>
      </c>
      <c r="P137" s="12">
        <f t="shared" ref="P137:P198" si="39">O137*19%</f>
        <v>25147.058823529416</v>
      </c>
      <c r="Q137" s="12">
        <f t="shared" ref="Q137:Q198" si="40">O137+P137</f>
        <v>157500.00000000003</v>
      </c>
      <c r="R137" s="11">
        <v>157100</v>
      </c>
      <c r="S137" s="12">
        <f t="shared" ref="S137:S200" si="41">R137*19%</f>
        <v>29849</v>
      </c>
      <c r="T137" s="12">
        <f t="shared" ref="T137:T200" si="42">R137+S137</f>
        <v>186949</v>
      </c>
      <c r="U137" s="11">
        <f>155250/1.19</f>
        <v>130462.18487394959</v>
      </c>
      <c r="V137" s="11">
        <f t="shared" ref="V137:V191" si="43">U137*19%</f>
        <v>24787.815126050424</v>
      </c>
      <c r="W137" s="11">
        <f t="shared" ref="W137:W191" si="44">U137+V137</f>
        <v>155250</v>
      </c>
      <c r="X137" s="18">
        <v>157100</v>
      </c>
      <c r="Y137" s="19">
        <v>29849</v>
      </c>
      <c r="Z137" s="18">
        <v>186949</v>
      </c>
      <c r="AA137" s="18">
        <v>117420</v>
      </c>
      <c r="AB137" s="19">
        <f t="shared" si="33"/>
        <v>22309.8</v>
      </c>
      <c r="AC137" s="18">
        <f t="shared" si="34"/>
        <v>139729.79999999999</v>
      </c>
      <c r="AD137" s="18"/>
      <c r="AE137" s="19">
        <f t="shared" ref="AE137:AE200" si="45">AD137*19%</f>
        <v>0</v>
      </c>
      <c r="AF137" s="18">
        <f t="shared" ref="AF137:AF200" si="46">AD137+AE137</f>
        <v>0</v>
      </c>
    </row>
    <row r="138" spans="3:32" x14ac:dyDescent="0.25">
      <c r="C138" s="3" t="s">
        <v>228</v>
      </c>
      <c r="D138" s="6" t="s">
        <v>21</v>
      </c>
      <c r="E138" s="6">
        <v>1</v>
      </c>
      <c r="F138" s="9">
        <v>0</v>
      </c>
      <c r="G138" s="9">
        <v>0</v>
      </c>
      <c r="H138" s="9">
        <f t="shared" ref="H138:H196" si="47">+F138</f>
        <v>0</v>
      </c>
      <c r="I138" s="9">
        <v>0</v>
      </c>
      <c r="J138" s="9">
        <v>0</v>
      </c>
      <c r="K138" s="9">
        <f t="shared" si="37"/>
        <v>0</v>
      </c>
      <c r="L138" s="9">
        <v>28500</v>
      </c>
      <c r="M138" s="9">
        <v>0</v>
      </c>
      <c r="N138" s="9">
        <f t="shared" si="38"/>
        <v>28500</v>
      </c>
      <c r="O138" s="11"/>
      <c r="P138" s="12">
        <f t="shared" si="39"/>
        <v>0</v>
      </c>
      <c r="Q138" s="12">
        <f t="shared" si="40"/>
        <v>0</v>
      </c>
      <c r="R138" s="11">
        <v>295000</v>
      </c>
      <c r="S138" s="12">
        <f t="shared" si="41"/>
        <v>56050</v>
      </c>
      <c r="T138" s="12">
        <f t="shared" si="42"/>
        <v>351050</v>
      </c>
      <c r="U138" s="11">
        <v>0</v>
      </c>
      <c r="V138" s="11">
        <f t="shared" si="43"/>
        <v>0</v>
      </c>
      <c r="W138" s="11">
        <f t="shared" si="44"/>
        <v>0</v>
      </c>
      <c r="X138" s="18">
        <v>295000</v>
      </c>
      <c r="Y138" s="19">
        <v>56050</v>
      </c>
      <c r="Z138" s="18">
        <v>351050</v>
      </c>
      <c r="AA138" s="18">
        <v>255319</v>
      </c>
      <c r="AB138" s="19">
        <f t="shared" si="33"/>
        <v>48510.61</v>
      </c>
      <c r="AC138" s="18">
        <f t="shared" si="34"/>
        <v>303829.61</v>
      </c>
      <c r="AD138" s="18"/>
      <c r="AE138" s="19">
        <f t="shared" si="45"/>
        <v>0</v>
      </c>
      <c r="AF138" s="18">
        <f t="shared" si="46"/>
        <v>0</v>
      </c>
    </row>
    <row r="139" spans="3:32" x14ac:dyDescent="0.25">
      <c r="C139" s="3" t="s">
        <v>52</v>
      </c>
      <c r="D139" s="6" t="s">
        <v>21</v>
      </c>
      <c r="E139" s="6">
        <v>1</v>
      </c>
      <c r="F139" s="9">
        <v>0</v>
      </c>
      <c r="G139" s="9">
        <v>0</v>
      </c>
      <c r="H139" s="9">
        <f t="shared" si="47"/>
        <v>0</v>
      </c>
      <c r="I139" s="9">
        <v>0</v>
      </c>
      <c r="J139" s="9">
        <v>0</v>
      </c>
      <c r="K139" s="9">
        <f t="shared" si="37"/>
        <v>0</v>
      </c>
      <c r="L139" s="9">
        <v>0</v>
      </c>
      <c r="M139" s="9">
        <v>0</v>
      </c>
      <c r="N139" s="9">
        <f t="shared" si="38"/>
        <v>0</v>
      </c>
      <c r="O139" s="11">
        <f>69836/1.19</f>
        <v>58685.71428571429</v>
      </c>
      <c r="P139" s="12">
        <f t="shared" si="39"/>
        <v>11150.285714285716</v>
      </c>
      <c r="Q139" s="12">
        <f t="shared" si="40"/>
        <v>69836</v>
      </c>
      <c r="R139" s="11">
        <v>144000</v>
      </c>
      <c r="S139" s="12">
        <f t="shared" si="41"/>
        <v>27360</v>
      </c>
      <c r="T139" s="12">
        <f t="shared" si="42"/>
        <v>171360</v>
      </c>
      <c r="U139" s="11">
        <v>0</v>
      </c>
      <c r="V139" s="11">
        <f t="shared" si="43"/>
        <v>0</v>
      </c>
      <c r="W139" s="11">
        <f t="shared" si="44"/>
        <v>0</v>
      </c>
      <c r="X139" s="18">
        <v>144000</v>
      </c>
      <c r="Y139" s="19">
        <v>27360</v>
      </c>
      <c r="Z139" s="18">
        <v>171360</v>
      </c>
      <c r="AA139" s="18"/>
      <c r="AB139" s="19">
        <f t="shared" si="33"/>
        <v>0</v>
      </c>
      <c r="AC139" s="18">
        <f t="shared" si="34"/>
        <v>0</v>
      </c>
      <c r="AD139" s="18"/>
      <c r="AE139" s="19">
        <f t="shared" si="45"/>
        <v>0</v>
      </c>
      <c r="AF139" s="18">
        <f t="shared" si="46"/>
        <v>0</v>
      </c>
    </row>
    <row r="140" spans="3:32" x14ac:dyDescent="0.25">
      <c r="C140" s="3" t="s">
        <v>101</v>
      </c>
      <c r="D140" s="6" t="s">
        <v>7</v>
      </c>
      <c r="E140" s="6">
        <v>1</v>
      </c>
      <c r="F140" s="9">
        <v>3000</v>
      </c>
      <c r="G140" s="9">
        <v>0</v>
      </c>
      <c r="H140" s="9">
        <f t="shared" si="47"/>
        <v>3000</v>
      </c>
      <c r="I140" s="9">
        <v>3500</v>
      </c>
      <c r="J140" s="9">
        <v>0</v>
      </c>
      <c r="K140" s="9">
        <f t="shared" si="37"/>
        <v>3500</v>
      </c>
      <c r="L140" s="9">
        <v>7900</v>
      </c>
      <c r="M140" s="9">
        <v>0</v>
      </c>
      <c r="N140" s="9">
        <f t="shared" si="38"/>
        <v>7900</v>
      </c>
      <c r="O140" s="11">
        <f>4370/1.19</f>
        <v>3672.2689075630256</v>
      </c>
      <c r="P140" s="12">
        <f t="shared" si="39"/>
        <v>697.7310924369749</v>
      </c>
      <c r="Q140" s="12">
        <f t="shared" si="40"/>
        <v>4370</v>
      </c>
      <c r="R140" s="10">
        <v>2100</v>
      </c>
      <c r="S140" s="10">
        <f t="shared" si="41"/>
        <v>399</v>
      </c>
      <c r="T140" s="10">
        <f t="shared" si="42"/>
        <v>2499</v>
      </c>
      <c r="U140" s="11">
        <f>3500/1.19</f>
        <v>2941.1764705882356</v>
      </c>
      <c r="V140" s="11">
        <f t="shared" si="43"/>
        <v>558.82352941176475</v>
      </c>
      <c r="W140" s="11">
        <f t="shared" si="44"/>
        <v>3500.0000000000005</v>
      </c>
      <c r="X140" s="18">
        <v>2100</v>
      </c>
      <c r="Y140" s="19">
        <v>399</v>
      </c>
      <c r="Z140" s="18">
        <v>2499</v>
      </c>
      <c r="AA140" s="18"/>
      <c r="AB140" s="19">
        <f t="shared" si="33"/>
        <v>0</v>
      </c>
      <c r="AC140" s="18">
        <f t="shared" si="34"/>
        <v>0</v>
      </c>
      <c r="AD140" s="18"/>
      <c r="AE140" s="19">
        <f t="shared" si="45"/>
        <v>0</v>
      </c>
      <c r="AF140" s="18">
        <f t="shared" si="46"/>
        <v>0</v>
      </c>
    </row>
    <row r="141" spans="3:32" x14ac:dyDescent="0.25">
      <c r="C141" s="3" t="s">
        <v>17</v>
      </c>
      <c r="D141" s="6" t="s">
        <v>20</v>
      </c>
      <c r="E141" s="6">
        <v>1</v>
      </c>
      <c r="F141" s="9">
        <v>57000</v>
      </c>
      <c r="G141" s="9">
        <v>0</v>
      </c>
      <c r="H141" s="9">
        <f t="shared" si="47"/>
        <v>57000</v>
      </c>
      <c r="I141" s="9">
        <v>58000</v>
      </c>
      <c r="J141" s="9">
        <v>0</v>
      </c>
      <c r="K141" s="9">
        <f t="shared" si="37"/>
        <v>58000</v>
      </c>
      <c r="L141" s="9">
        <v>0</v>
      </c>
      <c r="M141" s="9">
        <v>0</v>
      </c>
      <c r="N141" s="9">
        <f t="shared" si="38"/>
        <v>0</v>
      </c>
      <c r="O141" s="11">
        <f>112319/1.19</f>
        <v>94385.71428571429</v>
      </c>
      <c r="P141" s="12">
        <f t="shared" si="39"/>
        <v>17933.285714285714</v>
      </c>
      <c r="Q141" s="12">
        <f t="shared" si="40"/>
        <v>112319</v>
      </c>
      <c r="R141" s="11">
        <v>103200</v>
      </c>
      <c r="S141" s="12">
        <f t="shared" si="41"/>
        <v>19608</v>
      </c>
      <c r="T141" s="12">
        <f t="shared" si="42"/>
        <v>122808</v>
      </c>
      <c r="U141" s="11">
        <v>0</v>
      </c>
      <c r="V141" s="11">
        <f t="shared" si="43"/>
        <v>0</v>
      </c>
      <c r="W141" s="11">
        <f t="shared" si="44"/>
        <v>0</v>
      </c>
      <c r="X141" s="18">
        <v>103200</v>
      </c>
      <c r="Y141" s="19">
        <v>19608</v>
      </c>
      <c r="Z141" s="18">
        <v>122808</v>
      </c>
      <c r="AA141" s="18">
        <v>77397</v>
      </c>
      <c r="AB141" s="19">
        <f t="shared" si="33"/>
        <v>14705.43</v>
      </c>
      <c r="AC141" s="18">
        <f t="shared" si="34"/>
        <v>92102.43</v>
      </c>
      <c r="AD141" s="18"/>
      <c r="AE141" s="19">
        <f t="shared" si="45"/>
        <v>0</v>
      </c>
      <c r="AF141" s="18">
        <f t="shared" si="46"/>
        <v>0</v>
      </c>
    </row>
    <row r="142" spans="3:32" x14ac:dyDescent="0.25">
      <c r="C142" s="3" t="s">
        <v>183</v>
      </c>
      <c r="D142" s="6" t="s">
        <v>7</v>
      </c>
      <c r="E142" s="6">
        <v>1</v>
      </c>
      <c r="F142" s="9">
        <v>3200</v>
      </c>
      <c r="G142" s="9">
        <v>0</v>
      </c>
      <c r="H142" s="9">
        <f t="shared" si="47"/>
        <v>3200</v>
      </c>
      <c r="I142" s="9">
        <v>3000</v>
      </c>
      <c r="J142" s="9">
        <v>0</v>
      </c>
      <c r="K142" s="9">
        <f t="shared" si="37"/>
        <v>3000</v>
      </c>
      <c r="L142" s="9">
        <v>3800</v>
      </c>
      <c r="M142" s="9">
        <v>0</v>
      </c>
      <c r="N142" s="9">
        <f t="shared" si="38"/>
        <v>3800</v>
      </c>
      <c r="O142" s="11">
        <f>3750/1.19</f>
        <v>3151.2605042016808</v>
      </c>
      <c r="P142" s="12">
        <f t="shared" si="39"/>
        <v>598.73949579831935</v>
      </c>
      <c r="Q142" s="12">
        <f t="shared" si="40"/>
        <v>3750</v>
      </c>
      <c r="R142" s="11">
        <v>4100</v>
      </c>
      <c r="S142" s="12">
        <f t="shared" si="41"/>
        <v>779</v>
      </c>
      <c r="T142" s="12">
        <f t="shared" si="42"/>
        <v>4879</v>
      </c>
      <c r="U142" s="11">
        <f>3800/1.19</f>
        <v>3193.2773109243699</v>
      </c>
      <c r="V142" s="11">
        <f t="shared" si="43"/>
        <v>606.72268907563034</v>
      </c>
      <c r="W142" s="11">
        <f t="shared" si="44"/>
        <v>3800</v>
      </c>
      <c r="X142" s="18">
        <v>4100</v>
      </c>
      <c r="Y142" s="19">
        <v>779</v>
      </c>
      <c r="Z142" s="18">
        <v>4879</v>
      </c>
      <c r="AA142" s="18">
        <v>3506</v>
      </c>
      <c r="AB142" s="19">
        <f t="shared" si="33"/>
        <v>666.14</v>
      </c>
      <c r="AC142" s="18">
        <f t="shared" si="34"/>
        <v>4172.1400000000003</v>
      </c>
      <c r="AD142" s="18"/>
      <c r="AE142" s="19">
        <f t="shared" si="45"/>
        <v>0</v>
      </c>
      <c r="AF142" s="18">
        <f t="shared" si="46"/>
        <v>0</v>
      </c>
    </row>
    <row r="143" spans="3:32" x14ac:dyDescent="0.25">
      <c r="C143" s="3" t="s">
        <v>184</v>
      </c>
      <c r="D143" s="6" t="s">
        <v>7</v>
      </c>
      <c r="E143" s="6">
        <v>1</v>
      </c>
      <c r="F143" s="9">
        <v>4500</v>
      </c>
      <c r="G143" s="9">
        <v>0</v>
      </c>
      <c r="H143" s="9">
        <f t="shared" si="47"/>
        <v>4500</v>
      </c>
      <c r="I143" s="9">
        <v>4000</v>
      </c>
      <c r="J143" s="9">
        <v>0</v>
      </c>
      <c r="K143" s="9">
        <f t="shared" si="37"/>
        <v>4000</v>
      </c>
      <c r="L143" s="9">
        <v>4700</v>
      </c>
      <c r="M143" s="9">
        <v>0</v>
      </c>
      <c r="N143" s="9">
        <f t="shared" si="38"/>
        <v>4700</v>
      </c>
      <c r="O143" s="11">
        <f>4500/1.19</f>
        <v>3781.5126050420172</v>
      </c>
      <c r="P143" s="12">
        <f t="shared" si="39"/>
        <v>718.48739495798327</v>
      </c>
      <c r="Q143" s="12">
        <f t="shared" si="40"/>
        <v>4500</v>
      </c>
      <c r="R143" s="11">
        <v>5300</v>
      </c>
      <c r="S143" s="12">
        <f t="shared" si="41"/>
        <v>1007</v>
      </c>
      <c r="T143" s="12">
        <f t="shared" si="42"/>
        <v>6307</v>
      </c>
      <c r="U143" s="11">
        <f>4500/1.19</f>
        <v>3781.5126050420172</v>
      </c>
      <c r="V143" s="11">
        <f t="shared" si="43"/>
        <v>718.48739495798327</v>
      </c>
      <c r="W143" s="11">
        <f t="shared" si="44"/>
        <v>4500</v>
      </c>
      <c r="X143" s="18">
        <v>5300</v>
      </c>
      <c r="Y143" s="19">
        <v>1007</v>
      </c>
      <c r="Z143" s="18">
        <v>6307</v>
      </c>
      <c r="AA143" s="18">
        <v>4232</v>
      </c>
      <c r="AB143" s="19">
        <f t="shared" si="33"/>
        <v>804.08</v>
      </c>
      <c r="AC143" s="18">
        <f t="shared" si="34"/>
        <v>5036.08</v>
      </c>
      <c r="AD143" s="18"/>
      <c r="AE143" s="19">
        <f t="shared" si="45"/>
        <v>0</v>
      </c>
      <c r="AF143" s="18">
        <f t="shared" si="46"/>
        <v>0</v>
      </c>
    </row>
    <row r="144" spans="3:32" x14ac:dyDescent="0.25">
      <c r="C144" s="3" t="s">
        <v>185</v>
      </c>
      <c r="D144" s="6" t="s">
        <v>7</v>
      </c>
      <c r="E144" s="6">
        <v>1</v>
      </c>
      <c r="F144" s="9">
        <v>8000</v>
      </c>
      <c r="G144" s="9">
        <v>0</v>
      </c>
      <c r="H144" s="9">
        <f t="shared" si="47"/>
        <v>8000</v>
      </c>
      <c r="I144" s="9">
        <v>8500</v>
      </c>
      <c r="J144" s="9">
        <v>0</v>
      </c>
      <c r="K144" s="9">
        <f t="shared" si="37"/>
        <v>8500</v>
      </c>
      <c r="L144" s="9">
        <v>8500</v>
      </c>
      <c r="M144" s="9">
        <v>0</v>
      </c>
      <c r="N144" s="9">
        <f t="shared" si="38"/>
        <v>8500</v>
      </c>
      <c r="O144" s="11">
        <f>13450/1.19</f>
        <v>11302.521008403362</v>
      </c>
      <c r="P144" s="12">
        <f t="shared" si="39"/>
        <v>2147.4789915966389</v>
      </c>
      <c r="Q144" s="12">
        <f t="shared" si="40"/>
        <v>13450.000000000002</v>
      </c>
      <c r="R144" s="11">
        <v>16400</v>
      </c>
      <c r="S144" s="12">
        <f t="shared" si="41"/>
        <v>3116</v>
      </c>
      <c r="T144" s="12">
        <f t="shared" si="42"/>
        <v>19516</v>
      </c>
      <c r="U144" s="11">
        <f>12800/1.19</f>
        <v>10756.302521008403</v>
      </c>
      <c r="V144" s="11">
        <f t="shared" si="43"/>
        <v>2043.6974789915967</v>
      </c>
      <c r="W144" s="11">
        <f t="shared" si="44"/>
        <v>12800</v>
      </c>
      <c r="X144" s="18">
        <v>16400</v>
      </c>
      <c r="Y144" s="19">
        <v>3116</v>
      </c>
      <c r="Z144" s="18">
        <v>19516</v>
      </c>
      <c r="AA144" s="18">
        <v>13245</v>
      </c>
      <c r="AB144" s="19">
        <f t="shared" si="33"/>
        <v>2516.5500000000002</v>
      </c>
      <c r="AC144" s="18">
        <f t="shared" si="34"/>
        <v>15761.55</v>
      </c>
      <c r="AD144" s="18"/>
      <c r="AE144" s="19">
        <f t="shared" si="45"/>
        <v>0</v>
      </c>
      <c r="AF144" s="18">
        <f t="shared" si="46"/>
        <v>0</v>
      </c>
    </row>
    <row r="145" spans="3:32" x14ac:dyDescent="0.25">
      <c r="C145" s="3" t="s">
        <v>102</v>
      </c>
      <c r="D145" s="6" t="s">
        <v>7</v>
      </c>
      <c r="E145" s="6">
        <v>1</v>
      </c>
      <c r="F145" s="9">
        <v>10000</v>
      </c>
      <c r="G145" s="9">
        <v>0</v>
      </c>
      <c r="H145" s="9">
        <f t="shared" si="47"/>
        <v>10000</v>
      </c>
      <c r="I145" s="9">
        <v>9500</v>
      </c>
      <c r="J145" s="9">
        <v>0</v>
      </c>
      <c r="K145" s="9">
        <f t="shared" si="37"/>
        <v>9500</v>
      </c>
      <c r="L145" s="9">
        <v>15800</v>
      </c>
      <c r="M145" s="9">
        <v>0</v>
      </c>
      <c r="N145" s="9">
        <f t="shared" si="38"/>
        <v>15800</v>
      </c>
      <c r="O145" s="11">
        <f>12650/1.19</f>
        <v>10630.252100840336</v>
      </c>
      <c r="P145" s="12">
        <f t="shared" si="39"/>
        <v>2019.747899159664</v>
      </c>
      <c r="Q145" s="12">
        <f t="shared" si="40"/>
        <v>12650</v>
      </c>
      <c r="R145" s="11">
        <v>17500</v>
      </c>
      <c r="S145" s="12">
        <f t="shared" si="41"/>
        <v>3325</v>
      </c>
      <c r="T145" s="12">
        <f t="shared" si="42"/>
        <v>20825</v>
      </c>
      <c r="U145" s="11">
        <v>0</v>
      </c>
      <c r="V145" s="11">
        <f t="shared" si="43"/>
        <v>0</v>
      </c>
      <c r="W145" s="11">
        <f t="shared" si="44"/>
        <v>0</v>
      </c>
      <c r="X145" s="18">
        <v>17500</v>
      </c>
      <c r="Y145" s="19">
        <v>3325</v>
      </c>
      <c r="Z145" s="18">
        <v>20825</v>
      </c>
      <c r="AA145" s="18"/>
      <c r="AB145" s="19">
        <f t="shared" si="33"/>
        <v>0</v>
      </c>
      <c r="AC145" s="18">
        <f t="shared" si="34"/>
        <v>0</v>
      </c>
      <c r="AD145" s="18"/>
      <c r="AE145" s="19">
        <f t="shared" si="45"/>
        <v>0</v>
      </c>
      <c r="AF145" s="18">
        <f t="shared" si="46"/>
        <v>0</v>
      </c>
    </row>
    <row r="146" spans="3:32" x14ac:dyDescent="0.25">
      <c r="C146" s="3" t="s">
        <v>137</v>
      </c>
      <c r="D146" s="6" t="s">
        <v>7</v>
      </c>
      <c r="E146" s="6">
        <v>1</v>
      </c>
      <c r="F146" s="9">
        <v>0</v>
      </c>
      <c r="G146" s="9">
        <v>0</v>
      </c>
      <c r="H146" s="9">
        <f t="shared" si="47"/>
        <v>0</v>
      </c>
      <c r="I146" s="9">
        <v>0</v>
      </c>
      <c r="J146" s="9">
        <v>0</v>
      </c>
      <c r="K146" s="9">
        <f t="shared" si="37"/>
        <v>0</v>
      </c>
      <c r="L146" s="9">
        <v>0</v>
      </c>
      <c r="M146" s="9">
        <v>0</v>
      </c>
      <c r="N146" s="9">
        <f t="shared" si="38"/>
        <v>0</v>
      </c>
      <c r="O146" s="11">
        <f>13350/1.19</f>
        <v>11218.487394957983</v>
      </c>
      <c r="P146" s="12">
        <f t="shared" si="39"/>
        <v>2131.5126050420167</v>
      </c>
      <c r="Q146" s="12">
        <f t="shared" si="40"/>
        <v>13350</v>
      </c>
      <c r="R146" s="11"/>
      <c r="S146" s="12">
        <f t="shared" si="41"/>
        <v>0</v>
      </c>
      <c r="T146" s="12">
        <f t="shared" si="42"/>
        <v>0</v>
      </c>
      <c r="U146" s="11">
        <f>13300/1.19</f>
        <v>11176.470588235296</v>
      </c>
      <c r="V146" s="11">
        <f t="shared" si="43"/>
        <v>2123.5294117647063</v>
      </c>
      <c r="W146" s="11">
        <f t="shared" si="44"/>
        <v>13300.000000000002</v>
      </c>
      <c r="X146" s="18"/>
      <c r="Y146" s="19">
        <v>0</v>
      </c>
      <c r="Z146" s="18">
        <v>0</v>
      </c>
      <c r="AA146" s="18">
        <v>18879</v>
      </c>
      <c r="AB146" s="19">
        <f t="shared" si="33"/>
        <v>3587.01</v>
      </c>
      <c r="AC146" s="18">
        <f t="shared" si="34"/>
        <v>22466.010000000002</v>
      </c>
      <c r="AD146" s="18"/>
      <c r="AE146" s="19">
        <f t="shared" si="45"/>
        <v>0</v>
      </c>
      <c r="AF146" s="18">
        <f t="shared" si="46"/>
        <v>0</v>
      </c>
    </row>
    <row r="147" spans="3:32" x14ac:dyDescent="0.25">
      <c r="C147" s="3" t="s">
        <v>55</v>
      </c>
      <c r="D147" s="6" t="s">
        <v>34</v>
      </c>
      <c r="E147" s="6">
        <v>1</v>
      </c>
      <c r="F147" s="9">
        <v>0</v>
      </c>
      <c r="G147" s="9">
        <v>0</v>
      </c>
      <c r="H147" s="9">
        <f t="shared" si="47"/>
        <v>0</v>
      </c>
      <c r="I147" s="9">
        <v>0</v>
      </c>
      <c r="J147" s="9">
        <v>0</v>
      </c>
      <c r="K147" s="9">
        <f t="shared" si="37"/>
        <v>0</v>
      </c>
      <c r="L147" s="9">
        <v>0</v>
      </c>
      <c r="M147" s="9">
        <v>0</v>
      </c>
      <c r="N147" s="9">
        <f t="shared" si="38"/>
        <v>0</v>
      </c>
      <c r="O147" s="11">
        <f>138768/1.19</f>
        <v>116611.76470588236</v>
      </c>
      <c r="P147" s="12">
        <f t="shared" si="39"/>
        <v>22156.23529411765</v>
      </c>
      <c r="Q147" s="12">
        <f t="shared" si="40"/>
        <v>138768</v>
      </c>
      <c r="R147" s="10">
        <v>70950</v>
      </c>
      <c r="S147" s="10">
        <f t="shared" si="41"/>
        <v>13480.5</v>
      </c>
      <c r="T147" s="10">
        <f t="shared" si="42"/>
        <v>84430.5</v>
      </c>
      <c r="U147" s="11">
        <v>0</v>
      </c>
      <c r="V147" s="11">
        <f t="shared" si="43"/>
        <v>0</v>
      </c>
      <c r="W147" s="11">
        <f t="shared" si="44"/>
        <v>0</v>
      </c>
      <c r="X147" s="18">
        <v>70950</v>
      </c>
      <c r="Y147" s="19">
        <v>13480.5</v>
      </c>
      <c r="Z147" s="18">
        <v>84430.5</v>
      </c>
      <c r="AA147" s="18"/>
      <c r="AB147" s="19">
        <f t="shared" si="33"/>
        <v>0</v>
      </c>
      <c r="AC147" s="18">
        <f t="shared" si="34"/>
        <v>0</v>
      </c>
      <c r="AD147" s="18"/>
      <c r="AE147" s="19">
        <f t="shared" si="45"/>
        <v>0</v>
      </c>
      <c r="AF147" s="18">
        <f t="shared" si="46"/>
        <v>0</v>
      </c>
    </row>
    <row r="148" spans="3:32" x14ac:dyDescent="0.25">
      <c r="C148" s="3" t="s">
        <v>103</v>
      </c>
      <c r="D148" s="6" t="s">
        <v>7</v>
      </c>
      <c r="E148" s="6">
        <v>1</v>
      </c>
      <c r="F148" s="9">
        <v>0</v>
      </c>
      <c r="G148" s="9">
        <v>0</v>
      </c>
      <c r="H148" s="9">
        <f t="shared" si="47"/>
        <v>0</v>
      </c>
      <c r="I148" s="9">
        <v>0</v>
      </c>
      <c r="J148" s="9">
        <v>0</v>
      </c>
      <c r="K148" s="9">
        <f t="shared" si="37"/>
        <v>0</v>
      </c>
      <c r="L148" s="9">
        <v>198400</v>
      </c>
      <c r="M148" s="9">
        <v>0</v>
      </c>
      <c r="N148" s="9">
        <f t="shared" si="38"/>
        <v>198400</v>
      </c>
      <c r="O148" s="11">
        <f>177919/1.19</f>
        <v>149511.76470588235</v>
      </c>
      <c r="P148" s="12">
        <f t="shared" si="39"/>
        <v>28407.235294117647</v>
      </c>
      <c r="Q148" s="12">
        <f t="shared" si="40"/>
        <v>177919</v>
      </c>
      <c r="R148" s="11">
        <v>169150</v>
      </c>
      <c r="S148" s="12">
        <f t="shared" si="41"/>
        <v>32138.5</v>
      </c>
      <c r="T148" s="12">
        <f t="shared" si="42"/>
        <v>201288.5</v>
      </c>
      <c r="U148" s="11">
        <f>174900/1.19</f>
        <v>146974.78991596639</v>
      </c>
      <c r="V148" s="11">
        <f t="shared" si="43"/>
        <v>27925.210084033613</v>
      </c>
      <c r="W148" s="11">
        <f t="shared" si="44"/>
        <v>174900</v>
      </c>
      <c r="X148" s="18">
        <v>169150</v>
      </c>
      <c r="Y148" s="19">
        <v>32138.5</v>
      </c>
      <c r="Z148" s="18">
        <v>201288.5</v>
      </c>
      <c r="AA148" s="18"/>
      <c r="AB148" s="19">
        <f t="shared" si="33"/>
        <v>0</v>
      </c>
      <c r="AC148" s="18">
        <f t="shared" si="34"/>
        <v>0</v>
      </c>
      <c r="AD148" s="18"/>
      <c r="AE148" s="19">
        <f t="shared" si="45"/>
        <v>0</v>
      </c>
      <c r="AF148" s="18">
        <f t="shared" si="46"/>
        <v>0</v>
      </c>
    </row>
    <row r="149" spans="3:32" x14ac:dyDescent="0.25">
      <c r="C149" s="3" t="s">
        <v>186</v>
      </c>
      <c r="D149" s="6" t="s">
        <v>7</v>
      </c>
      <c r="E149" s="6">
        <v>1</v>
      </c>
      <c r="F149" s="9">
        <v>35000</v>
      </c>
      <c r="G149" s="9">
        <v>0</v>
      </c>
      <c r="H149" s="9">
        <f t="shared" si="47"/>
        <v>35000</v>
      </c>
      <c r="I149" s="9">
        <v>35000</v>
      </c>
      <c r="J149" s="9">
        <v>0</v>
      </c>
      <c r="K149" s="9">
        <f t="shared" si="37"/>
        <v>35000</v>
      </c>
      <c r="L149" s="9">
        <v>33000</v>
      </c>
      <c r="M149" s="9">
        <v>0</v>
      </c>
      <c r="N149" s="9">
        <f t="shared" si="38"/>
        <v>33000</v>
      </c>
      <c r="O149" s="11">
        <f>40631/1.19</f>
        <v>34143.697478991598</v>
      </c>
      <c r="P149" s="12">
        <f t="shared" si="39"/>
        <v>6487.3025210084033</v>
      </c>
      <c r="Q149" s="12">
        <f t="shared" si="40"/>
        <v>40631</v>
      </c>
      <c r="R149" s="11">
        <v>39300</v>
      </c>
      <c r="S149" s="12">
        <f t="shared" si="41"/>
        <v>7467</v>
      </c>
      <c r="T149" s="12">
        <f t="shared" si="42"/>
        <v>46767</v>
      </c>
      <c r="U149" s="11">
        <v>0</v>
      </c>
      <c r="V149" s="11">
        <f t="shared" si="43"/>
        <v>0</v>
      </c>
      <c r="W149" s="11">
        <f t="shared" si="44"/>
        <v>0</v>
      </c>
      <c r="X149" s="18">
        <v>39300</v>
      </c>
      <c r="Y149" s="19">
        <v>7467</v>
      </c>
      <c r="Z149" s="18">
        <v>46767</v>
      </c>
      <c r="AA149" s="18"/>
      <c r="AB149" s="19">
        <f t="shared" si="33"/>
        <v>0</v>
      </c>
      <c r="AC149" s="18">
        <f t="shared" si="34"/>
        <v>0</v>
      </c>
      <c r="AD149" s="18"/>
      <c r="AE149" s="19">
        <f t="shared" si="45"/>
        <v>0</v>
      </c>
      <c r="AF149" s="18">
        <f t="shared" si="46"/>
        <v>0</v>
      </c>
    </row>
    <row r="150" spans="3:32" x14ac:dyDescent="0.25">
      <c r="C150" s="3" t="s">
        <v>1</v>
      </c>
      <c r="D150" s="6" t="s">
        <v>7</v>
      </c>
      <c r="E150" s="6">
        <v>1</v>
      </c>
      <c r="F150" s="9">
        <v>0</v>
      </c>
      <c r="G150" s="9">
        <v>0</v>
      </c>
      <c r="H150" s="9">
        <f t="shared" si="47"/>
        <v>0</v>
      </c>
      <c r="I150" s="9">
        <v>0</v>
      </c>
      <c r="J150" s="9">
        <v>0</v>
      </c>
      <c r="K150" s="9">
        <f t="shared" si="37"/>
        <v>0</v>
      </c>
      <c r="L150" s="9">
        <v>33000</v>
      </c>
      <c r="M150" s="9">
        <v>0</v>
      </c>
      <c r="N150" s="9">
        <f t="shared" si="38"/>
        <v>33000</v>
      </c>
      <c r="O150" s="11">
        <f>27881/1.19</f>
        <v>23429.411764705885</v>
      </c>
      <c r="P150" s="12">
        <f t="shared" si="39"/>
        <v>4451.588235294118</v>
      </c>
      <c r="Q150" s="12">
        <f t="shared" si="40"/>
        <v>27881.000000000004</v>
      </c>
      <c r="R150" s="11">
        <v>25850</v>
      </c>
      <c r="S150" s="12">
        <f t="shared" si="41"/>
        <v>4911.5</v>
      </c>
      <c r="T150" s="12">
        <f t="shared" si="42"/>
        <v>30761.5</v>
      </c>
      <c r="U150" s="11">
        <f>28650/1.19</f>
        <v>24075.63025210084</v>
      </c>
      <c r="V150" s="11">
        <f t="shared" si="43"/>
        <v>4574.3697478991598</v>
      </c>
      <c r="W150" s="11">
        <f t="shared" si="44"/>
        <v>28650</v>
      </c>
      <c r="X150" s="18">
        <v>25850</v>
      </c>
      <c r="Y150" s="19">
        <v>4911.5</v>
      </c>
      <c r="Z150" s="18">
        <v>30761.5</v>
      </c>
      <c r="AA150" s="18"/>
      <c r="AB150" s="19">
        <f t="shared" si="33"/>
        <v>0</v>
      </c>
      <c r="AC150" s="18">
        <f t="shared" si="34"/>
        <v>0</v>
      </c>
      <c r="AD150" s="18"/>
      <c r="AE150" s="19">
        <f t="shared" si="45"/>
        <v>0</v>
      </c>
      <c r="AF150" s="18">
        <f t="shared" si="46"/>
        <v>0</v>
      </c>
    </row>
    <row r="151" spans="3:32" x14ac:dyDescent="0.25">
      <c r="C151" s="3" t="s">
        <v>104</v>
      </c>
      <c r="D151" s="6" t="s">
        <v>7</v>
      </c>
      <c r="E151" s="6">
        <v>1</v>
      </c>
      <c r="F151" s="9">
        <v>10400</v>
      </c>
      <c r="G151" s="9">
        <v>0</v>
      </c>
      <c r="H151" s="9">
        <f t="shared" si="47"/>
        <v>10400</v>
      </c>
      <c r="I151" s="9">
        <v>10500</v>
      </c>
      <c r="J151" s="9">
        <v>0</v>
      </c>
      <c r="K151" s="9">
        <f t="shared" si="37"/>
        <v>10500</v>
      </c>
      <c r="L151" s="9">
        <v>14000</v>
      </c>
      <c r="M151" s="9">
        <v>0</v>
      </c>
      <c r="N151" s="9">
        <f t="shared" si="38"/>
        <v>14000</v>
      </c>
      <c r="O151" s="11">
        <f>15513/1.19</f>
        <v>13036.134453781513</v>
      </c>
      <c r="P151" s="12">
        <f t="shared" si="39"/>
        <v>2476.8655462184875</v>
      </c>
      <c r="Q151" s="12">
        <f t="shared" si="40"/>
        <v>15513</v>
      </c>
      <c r="R151" s="11">
        <v>19400</v>
      </c>
      <c r="S151" s="12">
        <f t="shared" si="41"/>
        <v>3686</v>
      </c>
      <c r="T151" s="12">
        <f t="shared" si="42"/>
        <v>23086</v>
      </c>
      <c r="U151" s="11">
        <v>0</v>
      </c>
      <c r="V151" s="11">
        <f t="shared" si="43"/>
        <v>0</v>
      </c>
      <c r="W151" s="11">
        <f t="shared" si="44"/>
        <v>0</v>
      </c>
      <c r="X151" s="18">
        <v>19400</v>
      </c>
      <c r="Y151" s="19">
        <v>3686</v>
      </c>
      <c r="Z151" s="18">
        <v>23086</v>
      </c>
      <c r="AA151" s="18"/>
      <c r="AB151" s="19">
        <f t="shared" si="33"/>
        <v>0</v>
      </c>
      <c r="AC151" s="18">
        <f t="shared" si="34"/>
        <v>0</v>
      </c>
      <c r="AD151" s="18"/>
      <c r="AE151" s="19">
        <f t="shared" si="45"/>
        <v>0</v>
      </c>
      <c r="AF151" s="18">
        <f t="shared" si="46"/>
        <v>0</v>
      </c>
    </row>
    <row r="152" spans="3:32" x14ac:dyDescent="0.25">
      <c r="C152" s="3" t="s">
        <v>0</v>
      </c>
      <c r="D152" s="6" t="s">
        <v>53</v>
      </c>
      <c r="E152" s="6">
        <v>1</v>
      </c>
      <c r="F152" s="9">
        <v>66000</v>
      </c>
      <c r="G152" s="9">
        <v>0</v>
      </c>
      <c r="H152" s="9">
        <f t="shared" si="47"/>
        <v>66000</v>
      </c>
      <c r="I152" s="9">
        <v>68000</v>
      </c>
      <c r="J152" s="9">
        <v>0</v>
      </c>
      <c r="K152" s="9">
        <f t="shared" si="37"/>
        <v>68000</v>
      </c>
      <c r="L152" s="9">
        <v>75000</v>
      </c>
      <c r="M152" s="9">
        <v>0</v>
      </c>
      <c r="N152" s="9">
        <f t="shared" si="38"/>
        <v>75000</v>
      </c>
      <c r="O152" s="11">
        <f>75482/1.19</f>
        <v>63430.252100840342</v>
      </c>
      <c r="P152" s="12">
        <f t="shared" si="39"/>
        <v>12051.747899159665</v>
      </c>
      <c r="Q152" s="12">
        <f t="shared" si="40"/>
        <v>75482</v>
      </c>
      <c r="R152" s="11"/>
      <c r="S152" s="12">
        <f t="shared" si="41"/>
        <v>0</v>
      </c>
      <c r="T152" s="12">
        <f t="shared" si="42"/>
        <v>0</v>
      </c>
      <c r="U152" s="11">
        <f>65050/1.19</f>
        <v>54663.865546218491</v>
      </c>
      <c r="V152" s="11">
        <f t="shared" si="43"/>
        <v>10386.134453781513</v>
      </c>
      <c r="W152" s="11">
        <f t="shared" si="44"/>
        <v>65050</v>
      </c>
      <c r="X152" s="18"/>
      <c r="Y152" s="19">
        <v>0</v>
      </c>
      <c r="Z152" s="18">
        <v>0</v>
      </c>
      <c r="AA152" s="18"/>
      <c r="AB152" s="19">
        <f t="shared" si="33"/>
        <v>0</v>
      </c>
      <c r="AC152" s="18">
        <f t="shared" si="34"/>
        <v>0</v>
      </c>
      <c r="AD152" s="18"/>
      <c r="AE152" s="19">
        <f t="shared" si="45"/>
        <v>0</v>
      </c>
      <c r="AF152" s="18">
        <f t="shared" si="46"/>
        <v>0</v>
      </c>
    </row>
    <row r="153" spans="3:32" x14ac:dyDescent="0.25">
      <c r="C153" s="3" t="s">
        <v>105</v>
      </c>
      <c r="D153" s="6" t="s">
        <v>7</v>
      </c>
      <c r="E153" s="6">
        <v>1</v>
      </c>
      <c r="F153" s="9">
        <v>26000</v>
      </c>
      <c r="G153" s="9">
        <v>0</v>
      </c>
      <c r="H153" s="9">
        <f t="shared" si="47"/>
        <v>26000</v>
      </c>
      <c r="I153" s="9">
        <v>26000</v>
      </c>
      <c r="J153" s="9">
        <v>0</v>
      </c>
      <c r="K153" s="9">
        <f t="shared" si="37"/>
        <v>26000</v>
      </c>
      <c r="L153" s="9">
        <v>28500</v>
      </c>
      <c r="M153" s="9">
        <v>0</v>
      </c>
      <c r="N153" s="9">
        <f t="shared" si="38"/>
        <v>28500</v>
      </c>
      <c r="O153" s="11">
        <f>56982/1.19</f>
        <v>47884.033613445383</v>
      </c>
      <c r="P153" s="12">
        <f t="shared" si="39"/>
        <v>9097.9663865546227</v>
      </c>
      <c r="Q153" s="12">
        <f t="shared" si="40"/>
        <v>56982.000000000007</v>
      </c>
      <c r="R153" s="11"/>
      <c r="S153" s="12">
        <f t="shared" si="41"/>
        <v>0</v>
      </c>
      <c r="T153" s="12">
        <f t="shared" si="42"/>
        <v>0</v>
      </c>
      <c r="U153" s="11">
        <v>0</v>
      </c>
      <c r="V153" s="11">
        <f t="shared" si="43"/>
        <v>0</v>
      </c>
      <c r="W153" s="11">
        <f t="shared" si="44"/>
        <v>0</v>
      </c>
      <c r="X153" s="18"/>
      <c r="Y153" s="19">
        <v>0</v>
      </c>
      <c r="Z153" s="18">
        <v>0</v>
      </c>
      <c r="AA153" s="18"/>
      <c r="AB153" s="19">
        <f t="shared" si="33"/>
        <v>0</v>
      </c>
      <c r="AC153" s="18">
        <f t="shared" si="34"/>
        <v>0</v>
      </c>
      <c r="AD153" s="18"/>
      <c r="AE153" s="19">
        <f t="shared" si="45"/>
        <v>0</v>
      </c>
      <c r="AF153" s="18">
        <f t="shared" si="46"/>
        <v>0</v>
      </c>
    </row>
    <row r="154" spans="3:32" x14ac:dyDescent="0.25">
      <c r="C154" s="3" t="s">
        <v>133</v>
      </c>
      <c r="D154" s="6" t="s">
        <v>7</v>
      </c>
      <c r="E154" s="6">
        <v>1</v>
      </c>
      <c r="F154" s="9">
        <v>0</v>
      </c>
      <c r="G154" s="9">
        <v>0</v>
      </c>
      <c r="H154" s="9">
        <f t="shared" si="47"/>
        <v>0</v>
      </c>
      <c r="I154" s="9">
        <v>0</v>
      </c>
      <c r="J154" s="9">
        <v>0</v>
      </c>
      <c r="K154" s="9">
        <f t="shared" si="37"/>
        <v>0</v>
      </c>
      <c r="L154" s="9">
        <v>42000</v>
      </c>
      <c r="M154" s="9">
        <v>0</v>
      </c>
      <c r="N154" s="9">
        <f t="shared" si="38"/>
        <v>42000</v>
      </c>
      <c r="O154" s="11">
        <f>102949/1.19</f>
        <v>86511.764705882364</v>
      </c>
      <c r="P154" s="12">
        <f t="shared" si="39"/>
        <v>16437.23529411765</v>
      </c>
      <c r="Q154" s="12">
        <f t="shared" si="40"/>
        <v>102949.00000000001</v>
      </c>
      <c r="R154" s="10">
        <v>42600</v>
      </c>
      <c r="S154" s="10">
        <f t="shared" si="41"/>
        <v>8094</v>
      </c>
      <c r="T154" s="10">
        <f t="shared" si="42"/>
        <v>50694</v>
      </c>
      <c r="U154" s="11">
        <v>0</v>
      </c>
      <c r="V154" s="11">
        <f t="shared" si="43"/>
        <v>0</v>
      </c>
      <c r="W154" s="11">
        <f t="shared" si="44"/>
        <v>0</v>
      </c>
      <c r="X154" s="18">
        <v>42600</v>
      </c>
      <c r="Y154" s="19">
        <v>8094</v>
      </c>
      <c r="Z154" s="18">
        <v>50694</v>
      </c>
      <c r="AA154" s="18"/>
      <c r="AB154" s="19">
        <f t="shared" si="33"/>
        <v>0</v>
      </c>
      <c r="AC154" s="18">
        <f t="shared" si="34"/>
        <v>0</v>
      </c>
      <c r="AD154" s="18"/>
      <c r="AE154" s="19">
        <f t="shared" si="45"/>
        <v>0</v>
      </c>
      <c r="AF154" s="18">
        <f t="shared" si="46"/>
        <v>0</v>
      </c>
    </row>
    <row r="155" spans="3:32" x14ac:dyDescent="0.25">
      <c r="C155" s="3" t="s">
        <v>107</v>
      </c>
      <c r="D155" s="6" t="s">
        <v>7</v>
      </c>
      <c r="E155" s="6">
        <v>1</v>
      </c>
      <c r="F155" s="9">
        <v>1400</v>
      </c>
      <c r="G155" s="9">
        <v>0</v>
      </c>
      <c r="H155" s="9">
        <f t="shared" si="47"/>
        <v>1400</v>
      </c>
      <c r="I155" s="9">
        <v>1500</v>
      </c>
      <c r="J155" s="9">
        <v>0</v>
      </c>
      <c r="K155" s="9">
        <f t="shared" si="37"/>
        <v>1500</v>
      </c>
      <c r="L155" s="9">
        <v>1500</v>
      </c>
      <c r="M155" s="9">
        <v>0</v>
      </c>
      <c r="N155" s="9">
        <f t="shared" si="38"/>
        <v>1500</v>
      </c>
      <c r="O155" s="11">
        <f>1045/1.19</f>
        <v>878.15126050420167</v>
      </c>
      <c r="P155" s="12">
        <f t="shared" si="39"/>
        <v>166.84873949579833</v>
      </c>
      <c r="Q155" s="12">
        <f t="shared" si="40"/>
        <v>1045</v>
      </c>
      <c r="R155" s="11">
        <v>1065</v>
      </c>
      <c r="S155" s="12">
        <f t="shared" si="41"/>
        <v>202.35</v>
      </c>
      <c r="T155" s="12">
        <f t="shared" si="42"/>
        <v>1267.3499999999999</v>
      </c>
      <c r="U155" s="11">
        <v>0</v>
      </c>
      <c r="V155" s="11">
        <f t="shared" si="43"/>
        <v>0</v>
      </c>
      <c r="W155" s="11">
        <f t="shared" si="44"/>
        <v>0</v>
      </c>
      <c r="X155" s="18">
        <v>1065</v>
      </c>
      <c r="Y155" s="19">
        <v>202.35</v>
      </c>
      <c r="Z155" s="18">
        <v>1267.3499999999999</v>
      </c>
      <c r="AA155" s="18"/>
      <c r="AB155" s="19">
        <f t="shared" si="33"/>
        <v>0</v>
      </c>
      <c r="AC155" s="18">
        <f t="shared" si="34"/>
        <v>0</v>
      </c>
      <c r="AD155" s="18"/>
      <c r="AE155" s="19">
        <f t="shared" si="45"/>
        <v>0</v>
      </c>
      <c r="AF155" s="18">
        <f t="shared" si="46"/>
        <v>0</v>
      </c>
    </row>
    <row r="156" spans="3:32" x14ac:dyDescent="0.25">
      <c r="C156" s="3" t="s">
        <v>108</v>
      </c>
      <c r="D156" s="6" t="s">
        <v>7</v>
      </c>
      <c r="E156" s="6">
        <v>1</v>
      </c>
      <c r="F156" s="9">
        <v>6300</v>
      </c>
      <c r="G156" s="9">
        <v>0</v>
      </c>
      <c r="H156" s="9">
        <f t="shared" si="47"/>
        <v>6300</v>
      </c>
      <c r="I156" s="9">
        <v>6000</v>
      </c>
      <c r="J156" s="9">
        <v>0</v>
      </c>
      <c r="K156" s="9">
        <f t="shared" si="37"/>
        <v>6000</v>
      </c>
      <c r="L156" s="9">
        <v>5700</v>
      </c>
      <c r="M156" s="9">
        <v>0</v>
      </c>
      <c r="N156" s="9">
        <f t="shared" si="38"/>
        <v>5700</v>
      </c>
      <c r="O156" s="11">
        <f>4433/1.19</f>
        <v>3725.2100840336138</v>
      </c>
      <c r="P156" s="12">
        <f t="shared" si="39"/>
        <v>707.78991596638662</v>
      </c>
      <c r="Q156" s="12">
        <f t="shared" si="40"/>
        <v>4433</v>
      </c>
      <c r="R156" s="11">
        <v>4986</v>
      </c>
      <c r="S156" s="12">
        <f t="shared" si="41"/>
        <v>947.34</v>
      </c>
      <c r="T156" s="12">
        <f t="shared" si="42"/>
        <v>5933.34</v>
      </c>
      <c r="U156" s="11">
        <v>0</v>
      </c>
      <c r="V156" s="11">
        <f t="shared" si="43"/>
        <v>0</v>
      </c>
      <c r="W156" s="11">
        <f t="shared" si="44"/>
        <v>0</v>
      </c>
      <c r="X156" s="18">
        <v>4986</v>
      </c>
      <c r="Y156" s="19">
        <v>947.34</v>
      </c>
      <c r="Z156" s="18">
        <v>5933.34</v>
      </c>
      <c r="AA156" s="18"/>
      <c r="AB156" s="19">
        <f t="shared" si="33"/>
        <v>0</v>
      </c>
      <c r="AC156" s="18">
        <f t="shared" si="34"/>
        <v>0</v>
      </c>
      <c r="AD156" s="18"/>
      <c r="AE156" s="19">
        <f t="shared" si="45"/>
        <v>0</v>
      </c>
      <c r="AF156" s="18">
        <f t="shared" si="46"/>
        <v>0</v>
      </c>
    </row>
    <row r="157" spans="3:32" x14ac:dyDescent="0.25">
      <c r="C157" s="3" t="s">
        <v>106</v>
      </c>
      <c r="D157" s="6" t="s">
        <v>7</v>
      </c>
      <c r="E157" s="6">
        <v>1</v>
      </c>
      <c r="F157" s="9">
        <v>1500</v>
      </c>
      <c r="G157" s="9">
        <v>0</v>
      </c>
      <c r="H157" s="9">
        <f t="shared" si="47"/>
        <v>1500</v>
      </c>
      <c r="I157" s="9">
        <v>1500</v>
      </c>
      <c r="J157" s="9">
        <v>0</v>
      </c>
      <c r="K157" s="9">
        <f t="shared" si="37"/>
        <v>1500</v>
      </c>
      <c r="L157" s="9">
        <v>2000</v>
      </c>
      <c r="M157" s="9">
        <v>0</v>
      </c>
      <c r="N157" s="9">
        <f t="shared" si="38"/>
        <v>2000</v>
      </c>
      <c r="O157" s="11">
        <f>777/1.19</f>
        <v>652.94117647058829</v>
      </c>
      <c r="P157" s="12">
        <f t="shared" si="39"/>
        <v>124.05882352941178</v>
      </c>
      <c r="Q157" s="12">
        <f t="shared" si="40"/>
        <v>777.00000000000011</v>
      </c>
      <c r="R157" s="11">
        <v>910</v>
      </c>
      <c r="S157" s="12">
        <f t="shared" si="41"/>
        <v>172.9</v>
      </c>
      <c r="T157" s="12">
        <f t="shared" si="42"/>
        <v>1082.9000000000001</v>
      </c>
      <c r="U157" s="11">
        <f>800/1.19</f>
        <v>672.26890756302521</v>
      </c>
      <c r="V157" s="11">
        <f t="shared" si="43"/>
        <v>127.73109243697479</v>
      </c>
      <c r="W157" s="11">
        <f t="shared" si="44"/>
        <v>800</v>
      </c>
      <c r="X157" s="18">
        <v>910</v>
      </c>
      <c r="Y157" s="19">
        <v>172.9</v>
      </c>
      <c r="Z157" s="18">
        <v>1082.9000000000001</v>
      </c>
      <c r="AA157" s="18"/>
      <c r="AB157" s="19">
        <f t="shared" si="33"/>
        <v>0</v>
      </c>
      <c r="AC157" s="18">
        <f t="shared" si="34"/>
        <v>0</v>
      </c>
      <c r="AD157" s="18"/>
      <c r="AE157" s="19">
        <f t="shared" si="45"/>
        <v>0</v>
      </c>
      <c r="AF157" s="18">
        <f t="shared" si="46"/>
        <v>0</v>
      </c>
    </row>
    <row r="158" spans="3:32" x14ac:dyDescent="0.25">
      <c r="C158" s="3" t="s">
        <v>207</v>
      </c>
      <c r="D158" s="6" t="s">
        <v>7</v>
      </c>
      <c r="E158" s="6">
        <v>1</v>
      </c>
      <c r="F158" s="9">
        <v>3500</v>
      </c>
      <c r="G158" s="9">
        <v>0</v>
      </c>
      <c r="H158" s="9">
        <f t="shared" si="47"/>
        <v>3500</v>
      </c>
      <c r="I158" s="9">
        <v>3600</v>
      </c>
      <c r="J158" s="9">
        <v>0</v>
      </c>
      <c r="K158" s="9">
        <f t="shared" si="37"/>
        <v>3600</v>
      </c>
      <c r="L158" s="9">
        <v>3000</v>
      </c>
      <c r="M158" s="9">
        <v>0</v>
      </c>
      <c r="N158" s="9">
        <f t="shared" si="38"/>
        <v>3000</v>
      </c>
      <c r="O158" s="11">
        <f>1965/1.19</f>
        <v>1651.2605042016808</v>
      </c>
      <c r="P158" s="12">
        <f t="shared" si="39"/>
        <v>313.73949579831935</v>
      </c>
      <c r="Q158" s="12">
        <f t="shared" si="40"/>
        <v>1965</v>
      </c>
      <c r="R158" s="11">
        <v>2300</v>
      </c>
      <c r="S158" s="12">
        <f t="shared" si="41"/>
        <v>437</v>
      </c>
      <c r="T158" s="12">
        <f t="shared" si="42"/>
        <v>2737</v>
      </c>
      <c r="U158" s="11">
        <f>2000/1.19</f>
        <v>1680.6722689075632</v>
      </c>
      <c r="V158" s="11">
        <f t="shared" si="43"/>
        <v>319.32773109243703</v>
      </c>
      <c r="W158" s="11">
        <f t="shared" si="44"/>
        <v>2000.0000000000002</v>
      </c>
      <c r="X158" s="18">
        <v>2300</v>
      </c>
      <c r="Y158" s="19">
        <v>437</v>
      </c>
      <c r="Z158" s="18">
        <v>2737</v>
      </c>
      <c r="AA158" s="18"/>
      <c r="AB158" s="19">
        <f t="shared" si="33"/>
        <v>0</v>
      </c>
      <c r="AC158" s="18">
        <f t="shared" si="34"/>
        <v>0</v>
      </c>
      <c r="AD158" s="18"/>
      <c r="AE158" s="19">
        <f t="shared" si="45"/>
        <v>0</v>
      </c>
      <c r="AF158" s="18">
        <f t="shared" si="46"/>
        <v>0</v>
      </c>
    </row>
    <row r="159" spans="3:32" x14ac:dyDescent="0.25">
      <c r="C159" s="3" t="s">
        <v>109</v>
      </c>
      <c r="D159" s="6" t="s">
        <v>7</v>
      </c>
      <c r="E159" s="6">
        <v>1</v>
      </c>
      <c r="F159" s="9">
        <v>3000</v>
      </c>
      <c r="G159" s="9">
        <v>0</v>
      </c>
      <c r="H159" s="9">
        <f t="shared" si="47"/>
        <v>3000</v>
      </c>
      <c r="I159" s="9">
        <v>3500</v>
      </c>
      <c r="J159" s="9">
        <v>0</v>
      </c>
      <c r="K159" s="9">
        <f t="shared" si="37"/>
        <v>3500</v>
      </c>
      <c r="L159" s="9">
        <v>20100</v>
      </c>
      <c r="M159" s="9">
        <v>0</v>
      </c>
      <c r="N159" s="9">
        <f t="shared" si="38"/>
        <v>20100</v>
      </c>
      <c r="O159" s="11">
        <f>11227/1.19</f>
        <v>9434.4537815126059</v>
      </c>
      <c r="P159" s="12">
        <f t="shared" si="39"/>
        <v>1792.5462184873952</v>
      </c>
      <c r="Q159" s="12">
        <f t="shared" si="40"/>
        <v>11227.000000000002</v>
      </c>
      <c r="R159" s="11">
        <v>11255</v>
      </c>
      <c r="S159" s="12">
        <f t="shared" si="41"/>
        <v>2138.4499999999998</v>
      </c>
      <c r="T159" s="12">
        <f t="shared" si="42"/>
        <v>13393.45</v>
      </c>
      <c r="U159" s="11">
        <f>9800/1.19</f>
        <v>8235.2941176470595</v>
      </c>
      <c r="V159" s="11">
        <f t="shared" si="43"/>
        <v>1564.7058823529412</v>
      </c>
      <c r="W159" s="11">
        <f t="shared" si="44"/>
        <v>9800</v>
      </c>
      <c r="X159" s="18">
        <v>11255</v>
      </c>
      <c r="Y159" s="19">
        <v>2138.4499999999998</v>
      </c>
      <c r="Z159" s="18">
        <v>13393.45</v>
      </c>
      <c r="AA159" s="18"/>
      <c r="AB159" s="19">
        <f t="shared" si="33"/>
        <v>0</v>
      </c>
      <c r="AC159" s="18">
        <f t="shared" si="34"/>
        <v>0</v>
      </c>
      <c r="AD159" s="18"/>
      <c r="AE159" s="19">
        <f t="shared" si="45"/>
        <v>0</v>
      </c>
      <c r="AF159" s="18">
        <f t="shared" si="46"/>
        <v>0</v>
      </c>
    </row>
    <row r="160" spans="3:32" x14ac:dyDescent="0.25">
      <c r="C160" s="3" t="s">
        <v>139</v>
      </c>
      <c r="D160" s="6" t="s">
        <v>7</v>
      </c>
      <c r="E160" s="6">
        <v>1</v>
      </c>
      <c r="F160" s="9">
        <v>1000</v>
      </c>
      <c r="G160" s="9">
        <v>0</v>
      </c>
      <c r="H160" s="9">
        <f t="shared" si="47"/>
        <v>1000</v>
      </c>
      <c r="I160" s="9">
        <v>1000</v>
      </c>
      <c r="J160" s="9">
        <v>0</v>
      </c>
      <c r="K160" s="9">
        <f t="shared" si="37"/>
        <v>1000</v>
      </c>
      <c r="L160" s="9">
        <v>1000</v>
      </c>
      <c r="M160" s="9">
        <v>0</v>
      </c>
      <c r="N160" s="9">
        <f t="shared" ref="N160" si="48">+L160</f>
        <v>1000</v>
      </c>
      <c r="O160" s="11">
        <f>590/1.19</f>
        <v>495.79831932773112</v>
      </c>
      <c r="P160" s="12">
        <f t="shared" si="39"/>
        <v>94.201680672268921</v>
      </c>
      <c r="Q160" s="12">
        <f t="shared" si="40"/>
        <v>590</v>
      </c>
      <c r="R160" s="11">
        <v>632</v>
      </c>
      <c r="S160" s="12">
        <f t="shared" si="41"/>
        <v>120.08</v>
      </c>
      <c r="T160" s="12">
        <f t="shared" si="42"/>
        <v>752.08</v>
      </c>
      <c r="U160" s="11">
        <f>600/1.19</f>
        <v>504.20168067226894</v>
      </c>
      <c r="V160" s="11">
        <f t="shared" si="43"/>
        <v>95.798319327731093</v>
      </c>
      <c r="W160" s="11">
        <f t="shared" si="44"/>
        <v>600</v>
      </c>
      <c r="X160" s="18">
        <v>632</v>
      </c>
      <c r="Y160" s="19">
        <v>120.08</v>
      </c>
      <c r="Z160" s="18">
        <v>752.08</v>
      </c>
      <c r="AA160" s="18"/>
      <c r="AB160" s="19">
        <f t="shared" si="33"/>
        <v>0</v>
      </c>
      <c r="AC160" s="18">
        <f t="shared" si="34"/>
        <v>0</v>
      </c>
      <c r="AD160" s="18"/>
      <c r="AE160" s="19">
        <f t="shared" si="45"/>
        <v>0</v>
      </c>
      <c r="AF160" s="18">
        <f t="shared" si="46"/>
        <v>0</v>
      </c>
    </row>
    <row r="161" spans="3:32" x14ac:dyDescent="0.25">
      <c r="C161" s="3" t="s">
        <v>110</v>
      </c>
      <c r="D161" s="6" t="s">
        <v>7</v>
      </c>
      <c r="E161" s="6">
        <v>1</v>
      </c>
      <c r="F161" s="9">
        <v>0</v>
      </c>
      <c r="G161" s="9">
        <v>0</v>
      </c>
      <c r="H161" s="9">
        <f t="shared" si="47"/>
        <v>0</v>
      </c>
      <c r="I161" s="9">
        <v>0</v>
      </c>
      <c r="J161" s="9">
        <v>0</v>
      </c>
      <c r="K161" s="9">
        <f t="shared" si="37"/>
        <v>0</v>
      </c>
      <c r="L161" s="9">
        <v>56100</v>
      </c>
      <c r="M161" s="9">
        <v>0</v>
      </c>
      <c r="N161" s="9">
        <f t="shared" si="38"/>
        <v>56100</v>
      </c>
      <c r="O161" s="11">
        <f>40227/1.19</f>
        <v>33804.201680672268</v>
      </c>
      <c r="P161" s="12">
        <f t="shared" si="39"/>
        <v>6422.7983193277305</v>
      </c>
      <c r="Q161" s="12">
        <f t="shared" si="40"/>
        <v>40227</v>
      </c>
      <c r="R161" s="10">
        <v>42500</v>
      </c>
      <c r="S161" s="10">
        <f t="shared" si="41"/>
        <v>8075</v>
      </c>
      <c r="T161" s="10">
        <f t="shared" si="42"/>
        <v>50575</v>
      </c>
      <c r="U161" s="11">
        <f>35950/1.19</f>
        <v>30210.084033613446</v>
      </c>
      <c r="V161" s="11">
        <f t="shared" si="43"/>
        <v>5739.9159663865548</v>
      </c>
      <c r="W161" s="11">
        <f t="shared" si="44"/>
        <v>35950</v>
      </c>
      <c r="X161" s="18">
        <v>42500</v>
      </c>
      <c r="Y161" s="19">
        <v>8075</v>
      </c>
      <c r="Z161" s="18">
        <v>50575</v>
      </c>
      <c r="AA161" s="18"/>
      <c r="AB161" s="19">
        <f t="shared" si="33"/>
        <v>0</v>
      </c>
      <c r="AC161" s="18">
        <f t="shared" si="34"/>
        <v>0</v>
      </c>
      <c r="AD161" s="18"/>
      <c r="AE161" s="19">
        <f t="shared" si="45"/>
        <v>0</v>
      </c>
      <c r="AF161" s="18">
        <f t="shared" si="46"/>
        <v>0</v>
      </c>
    </row>
    <row r="162" spans="3:32" x14ac:dyDescent="0.25">
      <c r="C162" s="3" t="s">
        <v>146</v>
      </c>
      <c r="D162" s="6" t="s">
        <v>7</v>
      </c>
      <c r="E162" s="6">
        <v>1</v>
      </c>
      <c r="F162" s="9">
        <v>0</v>
      </c>
      <c r="G162" s="9">
        <v>0</v>
      </c>
      <c r="H162" s="9">
        <f t="shared" si="47"/>
        <v>0</v>
      </c>
      <c r="I162" s="9">
        <v>0</v>
      </c>
      <c r="J162" s="9">
        <v>0</v>
      </c>
      <c r="K162" s="9">
        <f t="shared" si="37"/>
        <v>0</v>
      </c>
      <c r="L162" s="9">
        <v>0</v>
      </c>
      <c r="M162" s="9">
        <v>0</v>
      </c>
      <c r="N162" s="9">
        <f t="shared" si="38"/>
        <v>0</v>
      </c>
      <c r="O162" s="11">
        <f>1045/1.19</f>
        <v>878.15126050420167</v>
      </c>
      <c r="P162" s="12">
        <f t="shared" si="39"/>
        <v>166.84873949579833</v>
      </c>
      <c r="Q162" s="12">
        <f t="shared" si="40"/>
        <v>1045</v>
      </c>
      <c r="R162" s="11">
        <v>1065</v>
      </c>
      <c r="S162" s="12">
        <f t="shared" si="41"/>
        <v>202.35</v>
      </c>
      <c r="T162" s="12">
        <f t="shared" si="42"/>
        <v>1267.3499999999999</v>
      </c>
      <c r="U162" s="11">
        <f>950/1.19</f>
        <v>798.31932773109247</v>
      </c>
      <c r="V162" s="11">
        <f t="shared" si="43"/>
        <v>151.68067226890759</v>
      </c>
      <c r="W162" s="11">
        <f t="shared" si="44"/>
        <v>950</v>
      </c>
      <c r="X162" s="18">
        <v>1065</v>
      </c>
      <c r="Y162" s="19">
        <v>202.35</v>
      </c>
      <c r="Z162" s="18">
        <v>1267.3499999999999</v>
      </c>
      <c r="AA162" s="18"/>
      <c r="AB162" s="19">
        <f t="shared" si="33"/>
        <v>0</v>
      </c>
      <c r="AC162" s="18">
        <f t="shared" si="34"/>
        <v>0</v>
      </c>
      <c r="AD162" s="18"/>
      <c r="AE162" s="19">
        <f t="shared" si="45"/>
        <v>0</v>
      </c>
      <c r="AF162" s="18">
        <f t="shared" si="46"/>
        <v>0</v>
      </c>
    </row>
    <row r="163" spans="3:32" x14ac:dyDescent="0.25">
      <c r="C163" s="3" t="s">
        <v>147</v>
      </c>
      <c r="D163" s="6" t="s">
        <v>7</v>
      </c>
      <c r="E163" s="6">
        <v>1</v>
      </c>
      <c r="F163" s="9">
        <v>0</v>
      </c>
      <c r="G163" s="9">
        <v>0</v>
      </c>
      <c r="H163" s="9">
        <f t="shared" si="47"/>
        <v>0</v>
      </c>
      <c r="I163" s="9">
        <v>0</v>
      </c>
      <c r="J163" s="9">
        <v>0</v>
      </c>
      <c r="K163" s="9">
        <f t="shared" si="37"/>
        <v>0</v>
      </c>
      <c r="L163" s="9">
        <v>0</v>
      </c>
      <c r="M163" s="9">
        <v>0</v>
      </c>
      <c r="N163" s="9">
        <f t="shared" si="38"/>
        <v>0</v>
      </c>
      <c r="O163" s="11">
        <f>4433/1.19</f>
        <v>3725.2100840336138</v>
      </c>
      <c r="P163" s="12">
        <f t="shared" si="39"/>
        <v>707.78991596638662</v>
      </c>
      <c r="Q163" s="12">
        <f t="shared" si="40"/>
        <v>4433</v>
      </c>
      <c r="R163" s="11">
        <v>4986</v>
      </c>
      <c r="S163" s="12">
        <f t="shared" si="41"/>
        <v>947.34</v>
      </c>
      <c r="T163" s="12">
        <f t="shared" si="42"/>
        <v>5933.34</v>
      </c>
      <c r="U163" s="11">
        <f>4400/1.19</f>
        <v>3697.4789915966389</v>
      </c>
      <c r="V163" s="11">
        <f t="shared" si="43"/>
        <v>702.52100840336141</v>
      </c>
      <c r="W163" s="11">
        <f t="shared" si="44"/>
        <v>4400</v>
      </c>
      <c r="X163" s="18">
        <v>4986</v>
      </c>
      <c r="Y163" s="19">
        <v>947.34</v>
      </c>
      <c r="Z163" s="18">
        <v>5933.34</v>
      </c>
      <c r="AA163" s="18"/>
      <c r="AB163" s="19">
        <f t="shared" si="33"/>
        <v>0</v>
      </c>
      <c r="AC163" s="18">
        <f t="shared" si="34"/>
        <v>0</v>
      </c>
      <c r="AD163" s="18"/>
      <c r="AE163" s="19">
        <f t="shared" si="45"/>
        <v>0</v>
      </c>
      <c r="AF163" s="18">
        <f t="shared" si="46"/>
        <v>0</v>
      </c>
    </row>
    <row r="164" spans="3:32" x14ac:dyDescent="0.25">
      <c r="C164" s="3" t="s">
        <v>111</v>
      </c>
      <c r="D164" s="6" t="s">
        <v>7</v>
      </c>
      <c r="E164" s="6">
        <v>1</v>
      </c>
      <c r="F164" s="9">
        <v>34000</v>
      </c>
      <c r="G164" s="9">
        <v>0</v>
      </c>
      <c r="H164" s="9">
        <f t="shared" si="47"/>
        <v>34000</v>
      </c>
      <c r="I164" s="9">
        <v>34000</v>
      </c>
      <c r="J164" s="9">
        <v>0</v>
      </c>
      <c r="K164" s="9">
        <f t="shared" si="37"/>
        <v>34000</v>
      </c>
      <c r="L164" s="9">
        <v>30000</v>
      </c>
      <c r="M164" s="9">
        <v>0</v>
      </c>
      <c r="N164" s="9">
        <f t="shared" si="38"/>
        <v>30000</v>
      </c>
      <c r="O164" s="11">
        <f>32601/1.19</f>
        <v>27395.798319327732</v>
      </c>
      <c r="P164" s="12">
        <f t="shared" si="39"/>
        <v>5205.2016806722695</v>
      </c>
      <c r="Q164" s="12">
        <f t="shared" si="40"/>
        <v>32601</v>
      </c>
      <c r="R164" s="11">
        <v>25000</v>
      </c>
      <c r="S164" s="12">
        <f t="shared" si="41"/>
        <v>4750</v>
      </c>
      <c r="T164" s="12">
        <f t="shared" si="42"/>
        <v>29750</v>
      </c>
      <c r="U164" s="11">
        <f>22600/1.19</f>
        <v>18991.596638655465</v>
      </c>
      <c r="V164" s="11">
        <f t="shared" si="43"/>
        <v>3608.4033613445381</v>
      </c>
      <c r="W164" s="11">
        <f t="shared" si="44"/>
        <v>22600.000000000004</v>
      </c>
      <c r="X164" s="18">
        <v>25000</v>
      </c>
      <c r="Y164" s="19">
        <v>4750</v>
      </c>
      <c r="Z164" s="18">
        <v>29750</v>
      </c>
      <c r="AA164" s="18">
        <v>31000</v>
      </c>
      <c r="AB164" s="19">
        <f t="shared" si="33"/>
        <v>5890</v>
      </c>
      <c r="AC164" s="18">
        <f t="shared" si="34"/>
        <v>36890</v>
      </c>
      <c r="AD164" s="18"/>
      <c r="AE164" s="19">
        <f t="shared" si="45"/>
        <v>0</v>
      </c>
      <c r="AF164" s="18">
        <f t="shared" si="46"/>
        <v>0</v>
      </c>
    </row>
    <row r="165" spans="3:32" x14ac:dyDescent="0.25">
      <c r="C165" s="3" t="s">
        <v>190</v>
      </c>
      <c r="D165" s="6" t="s">
        <v>7</v>
      </c>
      <c r="E165" s="6">
        <v>1</v>
      </c>
      <c r="F165" s="9">
        <v>19500</v>
      </c>
      <c r="G165" s="9">
        <v>0</v>
      </c>
      <c r="H165" s="9">
        <f t="shared" si="47"/>
        <v>19500</v>
      </c>
      <c r="I165" s="9">
        <v>19000</v>
      </c>
      <c r="J165" s="9">
        <v>0</v>
      </c>
      <c r="K165" s="9">
        <f t="shared" si="37"/>
        <v>19000</v>
      </c>
      <c r="L165" s="9">
        <v>14000</v>
      </c>
      <c r="M165" s="9">
        <v>0</v>
      </c>
      <c r="N165" s="9">
        <f t="shared" si="38"/>
        <v>14000</v>
      </c>
      <c r="O165" s="11">
        <f>9808/1.19</f>
        <v>8242.0168067226896</v>
      </c>
      <c r="P165" s="12">
        <f t="shared" si="39"/>
        <v>1565.9831932773111</v>
      </c>
      <c r="Q165" s="12">
        <f t="shared" si="40"/>
        <v>9808</v>
      </c>
      <c r="R165" s="11">
        <v>12600</v>
      </c>
      <c r="S165" s="12">
        <f t="shared" si="41"/>
        <v>2394</v>
      </c>
      <c r="T165" s="12">
        <f t="shared" si="42"/>
        <v>14994</v>
      </c>
      <c r="U165" s="11">
        <f>11100/1.19</f>
        <v>9327.7310924369758</v>
      </c>
      <c r="V165" s="11">
        <f t="shared" si="43"/>
        <v>1772.2689075630253</v>
      </c>
      <c r="W165" s="11">
        <f t="shared" si="44"/>
        <v>11100.000000000002</v>
      </c>
      <c r="X165" s="18">
        <v>12600</v>
      </c>
      <c r="Y165" s="19">
        <v>2394</v>
      </c>
      <c r="Z165" s="18">
        <v>14994</v>
      </c>
      <c r="AA165" s="18"/>
      <c r="AB165" s="19">
        <f t="shared" si="33"/>
        <v>0</v>
      </c>
      <c r="AC165" s="18">
        <f t="shared" si="34"/>
        <v>0</v>
      </c>
      <c r="AD165" s="18"/>
      <c r="AE165" s="19">
        <f t="shared" si="45"/>
        <v>0</v>
      </c>
      <c r="AF165" s="18">
        <f t="shared" si="46"/>
        <v>0</v>
      </c>
    </row>
    <row r="166" spans="3:32" x14ac:dyDescent="0.25">
      <c r="C166" s="3" t="s">
        <v>191</v>
      </c>
      <c r="D166" s="6" t="s">
        <v>7</v>
      </c>
      <c r="E166" s="6">
        <v>1</v>
      </c>
      <c r="F166" s="9">
        <v>0</v>
      </c>
      <c r="G166" s="9">
        <v>0</v>
      </c>
      <c r="H166" s="9">
        <f t="shared" si="47"/>
        <v>0</v>
      </c>
      <c r="I166" s="9">
        <v>0</v>
      </c>
      <c r="J166" s="9">
        <v>0</v>
      </c>
      <c r="K166" s="9">
        <f t="shared" si="37"/>
        <v>0</v>
      </c>
      <c r="L166" s="9">
        <v>34500</v>
      </c>
      <c r="M166" s="9">
        <v>0</v>
      </c>
      <c r="N166" s="9">
        <f t="shared" si="38"/>
        <v>34500</v>
      </c>
      <c r="O166" s="11">
        <f>17389/1.19</f>
        <v>14612.605042016807</v>
      </c>
      <c r="P166" s="12">
        <f t="shared" si="39"/>
        <v>2776.3949579831933</v>
      </c>
      <c r="Q166" s="12">
        <f t="shared" si="40"/>
        <v>17389</v>
      </c>
      <c r="R166" s="11">
        <v>21600</v>
      </c>
      <c r="S166" s="12">
        <f t="shared" si="41"/>
        <v>4104</v>
      </c>
      <c r="T166" s="12">
        <f t="shared" si="42"/>
        <v>25704</v>
      </c>
      <c r="U166" s="11">
        <f>20400/1.19</f>
        <v>17142.857142857145</v>
      </c>
      <c r="V166" s="11">
        <f t="shared" si="43"/>
        <v>3257.1428571428578</v>
      </c>
      <c r="W166" s="11">
        <f t="shared" si="44"/>
        <v>20400.000000000004</v>
      </c>
      <c r="X166" s="18">
        <v>21600</v>
      </c>
      <c r="Y166" s="19">
        <v>4104</v>
      </c>
      <c r="Z166" s="18">
        <v>25704</v>
      </c>
      <c r="AA166" s="18"/>
      <c r="AB166" s="19">
        <f t="shared" si="33"/>
        <v>0</v>
      </c>
      <c r="AC166" s="18">
        <f t="shared" si="34"/>
        <v>0</v>
      </c>
      <c r="AD166" s="18"/>
      <c r="AE166" s="19">
        <f t="shared" si="45"/>
        <v>0</v>
      </c>
      <c r="AF166" s="18">
        <f t="shared" si="46"/>
        <v>0</v>
      </c>
    </row>
    <row r="167" spans="3:32" x14ac:dyDescent="0.25">
      <c r="C167" s="3" t="s">
        <v>192</v>
      </c>
      <c r="D167" s="6" t="s">
        <v>7</v>
      </c>
      <c r="E167" s="6">
        <v>1</v>
      </c>
      <c r="F167" s="9">
        <v>0</v>
      </c>
      <c r="G167" s="9">
        <v>0</v>
      </c>
      <c r="H167" s="9">
        <f t="shared" si="47"/>
        <v>0</v>
      </c>
      <c r="I167" s="9">
        <v>0</v>
      </c>
      <c r="J167" s="9">
        <v>0</v>
      </c>
      <c r="K167" s="9">
        <f t="shared" si="37"/>
        <v>0</v>
      </c>
      <c r="L167" s="9">
        <v>0</v>
      </c>
      <c r="M167" s="9">
        <v>0</v>
      </c>
      <c r="N167" s="9">
        <f t="shared" si="38"/>
        <v>0</v>
      </c>
      <c r="O167" s="11">
        <f>31993/1.19</f>
        <v>26884.873949579833</v>
      </c>
      <c r="P167" s="12">
        <f t="shared" si="39"/>
        <v>5108.1260504201682</v>
      </c>
      <c r="Q167" s="12">
        <f t="shared" si="40"/>
        <v>31993</v>
      </c>
      <c r="R167" s="11">
        <v>39000</v>
      </c>
      <c r="S167" s="12">
        <f t="shared" si="41"/>
        <v>7410</v>
      </c>
      <c r="T167" s="12">
        <f t="shared" si="42"/>
        <v>46410</v>
      </c>
      <c r="U167" s="11">
        <f>34800/1.19</f>
        <v>29243.697478991598</v>
      </c>
      <c r="V167" s="11">
        <f t="shared" si="43"/>
        <v>5556.3025210084033</v>
      </c>
      <c r="W167" s="11">
        <f t="shared" si="44"/>
        <v>34800</v>
      </c>
      <c r="X167" s="18">
        <v>39000</v>
      </c>
      <c r="Y167" s="19">
        <v>7410</v>
      </c>
      <c r="Z167" s="18">
        <v>46410</v>
      </c>
      <c r="AA167" s="18"/>
      <c r="AB167" s="19">
        <f t="shared" ref="AB167:AB199" si="49">AA167*19%</f>
        <v>0</v>
      </c>
      <c r="AC167" s="18">
        <f t="shared" ref="AC167:AC199" si="50">+AA167+AB167</f>
        <v>0</v>
      </c>
      <c r="AD167" s="18"/>
      <c r="AE167" s="19">
        <f t="shared" si="45"/>
        <v>0</v>
      </c>
      <c r="AF167" s="18">
        <f t="shared" si="46"/>
        <v>0</v>
      </c>
    </row>
    <row r="168" spans="3:32" x14ac:dyDescent="0.25">
      <c r="C168" s="3" t="s">
        <v>193</v>
      </c>
      <c r="D168" s="6" t="s">
        <v>7</v>
      </c>
      <c r="E168" s="6">
        <v>1</v>
      </c>
      <c r="F168" s="9">
        <v>0</v>
      </c>
      <c r="G168" s="9">
        <v>0</v>
      </c>
      <c r="H168" s="9">
        <f t="shared" si="47"/>
        <v>0</v>
      </c>
      <c r="I168" s="9">
        <v>0</v>
      </c>
      <c r="J168" s="9">
        <v>0</v>
      </c>
      <c r="K168" s="9">
        <f t="shared" si="37"/>
        <v>0</v>
      </c>
      <c r="L168" s="9">
        <v>0</v>
      </c>
      <c r="M168" s="9">
        <v>0</v>
      </c>
      <c r="N168" s="9">
        <f t="shared" si="38"/>
        <v>0</v>
      </c>
      <c r="O168" s="11">
        <f>64198/1.19</f>
        <v>53947.899159663866</v>
      </c>
      <c r="P168" s="12">
        <f t="shared" si="39"/>
        <v>10250.100840336134</v>
      </c>
      <c r="Q168" s="12">
        <f t="shared" si="40"/>
        <v>64198</v>
      </c>
      <c r="R168" s="10">
        <v>77400</v>
      </c>
      <c r="S168" s="10">
        <f t="shared" si="41"/>
        <v>14706</v>
      </c>
      <c r="T168" s="10">
        <f t="shared" si="42"/>
        <v>92106</v>
      </c>
      <c r="U168" s="11">
        <f>69300/1.19</f>
        <v>58235.294117647063</v>
      </c>
      <c r="V168" s="11">
        <f t="shared" si="43"/>
        <v>11064.705882352942</v>
      </c>
      <c r="W168" s="11">
        <f t="shared" si="44"/>
        <v>69300</v>
      </c>
      <c r="X168" s="18">
        <v>77400</v>
      </c>
      <c r="Y168" s="19">
        <v>14706</v>
      </c>
      <c r="Z168" s="18">
        <v>92106</v>
      </c>
      <c r="AA168" s="18"/>
      <c r="AB168" s="19">
        <f t="shared" si="49"/>
        <v>0</v>
      </c>
      <c r="AC168" s="18">
        <f t="shared" si="50"/>
        <v>0</v>
      </c>
      <c r="AD168" s="18"/>
      <c r="AE168" s="19">
        <f t="shared" si="45"/>
        <v>0</v>
      </c>
      <c r="AF168" s="18">
        <f t="shared" si="46"/>
        <v>0</v>
      </c>
    </row>
    <row r="169" spans="3:32" x14ac:dyDescent="0.25">
      <c r="C169" s="3" t="s">
        <v>194</v>
      </c>
      <c r="D169" s="6" t="s">
        <v>7</v>
      </c>
      <c r="E169" s="6">
        <v>1</v>
      </c>
      <c r="F169" s="9">
        <v>0</v>
      </c>
      <c r="G169" s="9">
        <v>0</v>
      </c>
      <c r="H169" s="9">
        <f t="shared" si="47"/>
        <v>0</v>
      </c>
      <c r="I169" s="9">
        <v>0</v>
      </c>
      <c r="J169" s="9">
        <v>0</v>
      </c>
      <c r="K169" s="9">
        <f t="shared" si="37"/>
        <v>0</v>
      </c>
      <c r="L169" s="9">
        <v>0</v>
      </c>
      <c r="M169" s="9">
        <v>0</v>
      </c>
      <c r="N169" s="9">
        <f t="shared" si="38"/>
        <v>0</v>
      </c>
      <c r="O169" s="11">
        <f>141353/1.19</f>
        <v>118784.03361344538</v>
      </c>
      <c r="P169" s="12">
        <f t="shared" si="39"/>
        <v>22568.966386554624</v>
      </c>
      <c r="Q169" s="12">
        <f t="shared" si="40"/>
        <v>141353</v>
      </c>
      <c r="R169" s="11">
        <v>174000</v>
      </c>
      <c r="S169" s="12">
        <f t="shared" si="41"/>
        <v>33060</v>
      </c>
      <c r="T169" s="12">
        <f t="shared" si="42"/>
        <v>207060</v>
      </c>
      <c r="U169" s="11">
        <f>155650/1.19</f>
        <v>130798.31932773109</v>
      </c>
      <c r="V169" s="11">
        <f t="shared" si="43"/>
        <v>24851.680672268907</v>
      </c>
      <c r="W169" s="11">
        <f t="shared" si="44"/>
        <v>155650</v>
      </c>
      <c r="X169" s="18">
        <v>174000</v>
      </c>
      <c r="Y169" s="19">
        <v>33060</v>
      </c>
      <c r="Z169" s="18">
        <v>207060</v>
      </c>
      <c r="AA169" s="18"/>
      <c r="AB169" s="19">
        <f t="shared" si="49"/>
        <v>0</v>
      </c>
      <c r="AC169" s="18">
        <f t="shared" si="50"/>
        <v>0</v>
      </c>
      <c r="AD169" s="18"/>
      <c r="AE169" s="19">
        <f t="shared" si="45"/>
        <v>0</v>
      </c>
      <c r="AF169" s="18">
        <f t="shared" si="46"/>
        <v>0</v>
      </c>
    </row>
    <row r="170" spans="3:32" x14ac:dyDescent="0.25">
      <c r="C170" s="3" t="s">
        <v>195</v>
      </c>
      <c r="D170" s="6" t="s">
        <v>7</v>
      </c>
      <c r="E170" s="6">
        <v>1</v>
      </c>
      <c r="F170" s="9">
        <v>0</v>
      </c>
      <c r="G170" s="9">
        <v>0</v>
      </c>
      <c r="H170" s="9">
        <f t="shared" si="47"/>
        <v>0</v>
      </c>
      <c r="I170" s="9">
        <v>0</v>
      </c>
      <c r="J170" s="9">
        <v>0</v>
      </c>
      <c r="K170" s="9">
        <f t="shared" si="37"/>
        <v>0</v>
      </c>
      <c r="L170" s="9">
        <v>0</v>
      </c>
      <c r="M170" s="9">
        <v>0</v>
      </c>
      <c r="N170" s="9">
        <f t="shared" si="38"/>
        <v>0</v>
      </c>
      <c r="O170" s="11">
        <f>12704/1.19</f>
        <v>10675.63025210084</v>
      </c>
      <c r="P170" s="12">
        <f t="shared" si="39"/>
        <v>2028.3697478991596</v>
      </c>
      <c r="Q170" s="12">
        <f t="shared" si="40"/>
        <v>12704</v>
      </c>
      <c r="R170" s="11">
        <v>15600</v>
      </c>
      <c r="S170" s="12">
        <f t="shared" si="41"/>
        <v>2964</v>
      </c>
      <c r="T170" s="12">
        <f t="shared" si="42"/>
        <v>18564</v>
      </c>
      <c r="U170" s="11">
        <f>13800/1.19</f>
        <v>11596.638655462186</v>
      </c>
      <c r="V170" s="11">
        <f t="shared" si="43"/>
        <v>2203.3613445378155</v>
      </c>
      <c r="W170" s="11">
        <f t="shared" si="44"/>
        <v>13800.000000000002</v>
      </c>
      <c r="X170" s="18">
        <v>15600</v>
      </c>
      <c r="Y170" s="19">
        <v>2964</v>
      </c>
      <c r="Z170" s="18">
        <v>18564</v>
      </c>
      <c r="AA170" s="18"/>
      <c r="AB170" s="19">
        <f t="shared" si="49"/>
        <v>0</v>
      </c>
      <c r="AC170" s="18">
        <f t="shared" si="50"/>
        <v>0</v>
      </c>
      <c r="AD170" s="18"/>
      <c r="AE170" s="19">
        <f t="shared" si="45"/>
        <v>0</v>
      </c>
      <c r="AF170" s="18">
        <f t="shared" si="46"/>
        <v>0</v>
      </c>
    </row>
    <row r="171" spans="3:32" x14ac:dyDescent="0.25">
      <c r="C171" s="3" t="s">
        <v>187</v>
      </c>
      <c r="D171" s="6" t="s">
        <v>7</v>
      </c>
      <c r="E171" s="6">
        <v>1</v>
      </c>
      <c r="F171" s="9">
        <v>0</v>
      </c>
      <c r="G171" s="9">
        <v>0</v>
      </c>
      <c r="H171" s="9">
        <f t="shared" si="47"/>
        <v>0</v>
      </c>
      <c r="I171" s="9">
        <v>0</v>
      </c>
      <c r="J171" s="9">
        <v>0</v>
      </c>
      <c r="K171" s="9">
        <f t="shared" si="37"/>
        <v>0</v>
      </c>
      <c r="L171" s="9">
        <v>70000</v>
      </c>
      <c r="M171" s="9">
        <v>0</v>
      </c>
      <c r="N171" s="9">
        <f t="shared" si="38"/>
        <v>70000</v>
      </c>
      <c r="O171" s="11">
        <f>42471/1.19</f>
        <v>35689.915966386558</v>
      </c>
      <c r="P171" s="12">
        <f t="shared" si="39"/>
        <v>6781.0840336134461</v>
      </c>
      <c r="Q171" s="12">
        <f t="shared" si="40"/>
        <v>42471</v>
      </c>
      <c r="R171" s="11">
        <v>55800</v>
      </c>
      <c r="S171" s="12">
        <f t="shared" si="41"/>
        <v>10602</v>
      </c>
      <c r="T171" s="12">
        <f t="shared" si="42"/>
        <v>66402</v>
      </c>
      <c r="U171" s="11">
        <f>48000/1.19</f>
        <v>40336.134453781517</v>
      </c>
      <c r="V171" s="11">
        <f t="shared" si="43"/>
        <v>7663.8655462184879</v>
      </c>
      <c r="W171" s="11">
        <f t="shared" si="44"/>
        <v>48000.000000000007</v>
      </c>
      <c r="X171" s="18">
        <v>55800</v>
      </c>
      <c r="Y171" s="19">
        <v>10602</v>
      </c>
      <c r="Z171" s="18">
        <v>66402</v>
      </c>
      <c r="AA171" s="18"/>
      <c r="AB171" s="19">
        <f t="shared" si="49"/>
        <v>0</v>
      </c>
      <c r="AC171" s="18">
        <f t="shared" si="50"/>
        <v>0</v>
      </c>
      <c r="AD171" s="18"/>
      <c r="AE171" s="19">
        <f t="shared" si="45"/>
        <v>0</v>
      </c>
      <c r="AF171" s="18">
        <f t="shared" si="46"/>
        <v>0</v>
      </c>
    </row>
    <row r="172" spans="3:32" x14ac:dyDescent="0.25">
      <c r="C172" s="3" t="s">
        <v>188</v>
      </c>
      <c r="D172" s="6" t="s">
        <v>7</v>
      </c>
      <c r="E172" s="6">
        <v>1</v>
      </c>
      <c r="F172" s="9">
        <v>84000</v>
      </c>
      <c r="G172" s="9">
        <v>0</v>
      </c>
      <c r="H172" s="9">
        <f t="shared" si="47"/>
        <v>84000</v>
      </c>
      <c r="I172" s="9">
        <v>85000</v>
      </c>
      <c r="J172" s="9">
        <v>0</v>
      </c>
      <c r="K172" s="9">
        <f t="shared" si="37"/>
        <v>85000</v>
      </c>
      <c r="L172" s="9">
        <v>91500</v>
      </c>
      <c r="M172" s="9">
        <v>0</v>
      </c>
      <c r="N172" s="9">
        <f t="shared" si="38"/>
        <v>91500</v>
      </c>
      <c r="O172" s="11">
        <f>66429/1.19</f>
        <v>55822.689075630253</v>
      </c>
      <c r="P172" s="12">
        <f t="shared" si="39"/>
        <v>10606.310924369749</v>
      </c>
      <c r="Q172" s="12">
        <f t="shared" si="40"/>
        <v>66429</v>
      </c>
      <c r="R172" s="11">
        <v>0</v>
      </c>
      <c r="S172" s="12">
        <f t="shared" si="41"/>
        <v>0</v>
      </c>
      <c r="T172" s="12">
        <f t="shared" si="42"/>
        <v>0</v>
      </c>
      <c r="U172" s="11">
        <f>72000/1.19</f>
        <v>60504.201680672275</v>
      </c>
      <c r="V172" s="11">
        <f t="shared" si="43"/>
        <v>11495.798319327732</v>
      </c>
      <c r="W172" s="11">
        <f t="shared" si="44"/>
        <v>72000</v>
      </c>
      <c r="X172" s="18">
        <v>0</v>
      </c>
      <c r="Y172" s="19">
        <v>0</v>
      </c>
      <c r="Z172" s="18">
        <v>0</v>
      </c>
      <c r="AA172" s="18"/>
      <c r="AB172" s="19">
        <f t="shared" si="49"/>
        <v>0</v>
      </c>
      <c r="AC172" s="18">
        <f t="shared" si="50"/>
        <v>0</v>
      </c>
      <c r="AD172" s="18"/>
      <c r="AE172" s="19">
        <f t="shared" si="45"/>
        <v>0</v>
      </c>
      <c r="AF172" s="18">
        <f t="shared" si="46"/>
        <v>0</v>
      </c>
    </row>
    <row r="173" spans="3:32" x14ac:dyDescent="0.25">
      <c r="C173" s="3" t="s">
        <v>189</v>
      </c>
      <c r="D173" s="6" t="s">
        <v>7</v>
      </c>
      <c r="E173" s="6">
        <v>1</v>
      </c>
      <c r="F173" s="9">
        <v>120000</v>
      </c>
      <c r="G173" s="9">
        <v>0</v>
      </c>
      <c r="H173" s="9">
        <f t="shared" si="47"/>
        <v>120000</v>
      </c>
      <c r="I173" s="9">
        <v>120000</v>
      </c>
      <c r="J173" s="9">
        <v>0</v>
      </c>
      <c r="K173" s="9">
        <f t="shared" si="37"/>
        <v>120000</v>
      </c>
      <c r="L173" s="9">
        <v>120000</v>
      </c>
      <c r="M173" s="9">
        <v>0</v>
      </c>
      <c r="N173" s="9">
        <f t="shared" si="38"/>
        <v>120000</v>
      </c>
      <c r="O173" s="11">
        <f>89622/1.19</f>
        <v>75312.605042016803</v>
      </c>
      <c r="P173" s="12">
        <f t="shared" si="39"/>
        <v>14309.394957983193</v>
      </c>
      <c r="Q173" s="12">
        <f t="shared" si="40"/>
        <v>89622</v>
      </c>
      <c r="R173" s="11">
        <v>117000</v>
      </c>
      <c r="S173" s="12">
        <f t="shared" si="41"/>
        <v>22230</v>
      </c>
      <c r="T173" s="12">
        <f t="shared" si="42"/>
        <v>139230</v>
      </c>
      <c r="U173" s="11">
        <f>106800/1.19</f>
        <v>89747.899159663866</v>
      </c>
      <c r="V173" s="11">
        <f t="shared" si="43"/>
        <v>17052.100840336134</v>
      </c>
      <c r="W173" s="11">
        <f t="shared" si="44"/>
        <v>106800</v>
      </c>
      <c r="X173" s="18">
        <v>117000</v>
      </c>
      <c r="Y173" s="19">
        <v>22230</v>
      </c>
      <c r="Z173" s="18">
        <v>139230</v>
      </c>
      <c r="AA173" s="18"/>
      <c r="AB173" s="19">
        <f t="shared" si="49"/>
        <v>0</v>
      </c>
      <c r="AC173" s="18">
        <f t="shared" si="50"/>
        <v>0</v>
      </c>
      <c r="AD173" s="18"/>
      <c r="AE173" s="19">
        <f t="shared" si="45"/>
        <v>0</v>
      </c>
      <c r="AF173" s="18">
        <f t="shared" si="46"/>
        <v>0</v>
      </c>
    </row>
    <row r="174" spans="3:32" x14ac:dyDescent="0.25">
      <c r="C174" s="3" t="s">
        <v>201</v>
      </c>
      <c r="D174" s="6" t="s">
        <v>7</v>
      </c>
      <c r="E174" s="6">
        <v>1</v>
      </c>
      <c r="F174" s="9">
        <v>1000</v>
      </c>
      <c r="G174" s="9">
        <v>0</v>
      </c>
      <c r="H174" s="9">
        <f t="shared" si="47"/>
        <v>1000</v>
      </c>
      <c r="I174" s="9">
        <v>1000</v>
      </c>
      <c r="J174" s="9">
        <v>0</v>
      </c>
      <c r="K174" s="9">
        <f t="shared" si="37"/>
        <v>1000</v>
      </c>
      <c r="L174" s="9">
        <v>0</v>
      </c>
      <c r="M174" s="9">
        <v>0</v>
      </c>
      <c r="N174" s="9">
        <f t="shared" si="38"/>
        <v>0</v>
      </c>
      <c r="O174" s="11">
        <f>772/1.19</f>
        <v>648.73949579831935</v>
      </c>
      <c r="P174" s="12">
        <f t="shared" si="39"/>
        <v>123.26050420168067</v>
      </c>
      <c r="Q174" s="12">
        <f t="shared" si="40"/>
        <v>772</v>
      </c>
      <c r="R174" s="11">
        <v>800</v>
      </c>
      <c r="S174" s="12">
        <f t="shared" si="41"/>
        <v>152</v>
      </c>
      <c r="T174" s="12">
        <f t="shared" si="42"/>
        <v>952</v>
      </c>
      <c r="U174" s="11">
        <f>750/1.19</f>
        <v>630.2521008403362</v>
      </c>
      <c r="V174" s="11">
        <f t="shared" si="43"/>
        <v>119.74789915966387</v>
      </c>
      <c r="W174" s="11">
        <f t="shared" si="44"/>
        <v>750.00000000000011</v>
      </c>
      <c r="X174" s="18">
        <v>800</v>
      </c>
      <c r="Y174" s="19">
        <v>152</v>
      </c>
      <c r="Z174" s="18">
        <v>952</v>
      </c>
      <c r="AA174" s="18"/>
      <c r="AB174" s="19">
        <f t="shared" si="49"/>
        <v>0</v>
      </c>
      <c r="AC174" s="18">
        <f t="shared" si="50"/>
        <v>0</v>
      </c>
      <c r="AD174" s="18"/>
      <c r="AE174" s="19">
        <f t="shared" si="45"/>
        <v>0</v>
      </c>
      <c r="AF174" s="18">
        <f t="shared" si="46"/>
        <v>0</v>
      </c>
    </row>
    <row r="175" spans="3:32" x14ac:dyDescent="0.25">
      <c r="C175" s="3" t="s">
        <v>206</v>
      </c>
      <c r="D175" s="6" t="s">
        <v>7</v>
      </c>
      <c r="E175" s="6">
        <v>1</v>
      </c>
      <c r="F175" s="9">
        <v>900</v>
      </c>
      <c r="G175" s="9">
        <v>0</v>
      </c>
      <c r="H175" s="9">
        <f t="shared" si="47"/>
        <v>900</v>
      </c>
      <c r="I175" s="9">
        <v>800</v>
      </c>
      <c r="J175" s="9">
        <v>0</v>
      </c>
      <c r="K175" s="9">
        <f t="shared" si="37"/>
        <v>800</v>
      </c>
      <c r="L175" s="9">
        <v>0</v>
      </c>
      <c r="M175" s="9">
        <v>0</v>
      </c>
      <c r="N175" s="9">
        <f t="shared" si="38"/>
        <v>0</v>
      </c>
      <c r="O175" s="11">
        <f>272/1.19</f>
        <v>228.57142857142858</v>
      </c>
      <c r="P175" s="12">
        <f t="shared" si="39"/>
        <v>43.428571428571431</v>
      </c>
      <c r="Q175" s="12">
        <f t="shared" si="40"/>
        <v>272</v>
      </c>
      <c r="R175" s="10">
        <v>315</v>
      </c>
      <c r="S175" s="10">
        <f t="shared" si="41"/>
        <v>59.85</v>
      </c>
      <c r="T175" s="10">
        <f t="shared" si="42"/>
        <v>374.85</v>
      </c>
      <c r="U175" s="11">
        <f>300/1.19</f>
        <v>252.10084033613447</v>
      </c>
      <c r="V175" s="11">
        <f t="shared" si="43"/>
        <v>47.899159663865547</v>
      </c>
      <c r="W175" s="11">
        <f t="shared" si="44"/>
        <v>300</v>
      </c>
      <c r="X175" s="18">
        <v>315</v>
      </c>
      <c r="Y175" s="19">
        <v>59.85</v>
      </c>
      <c r="Z175" s="18">
        <v>374.85</v>
      </c>
      <c r="AA175" s="18"/>
      <c r="AB175" s="19">
        <f t="shared" si="49"/>
        <v>0</v>
      </c>
      <c r="AC175" s="18">
        <f t="shared" si="50"/>
        <v>0</v>
      </c>
      <c r="AD175" s="18"/>
      <c r="AE175" s="19">
        <f t="shared" si="45"/>
        <v>0</v>
      </c>
      <c r="AF175" s="18">
        <f t="shared" si="46"/>
        <v>0</v>
      </c>
    </row>
    <row r="176" spans="3:32" x14ac:dyDescent="0.25">
      <c r="C176" s="3" t="s">
        <v>205</v>
      </c>
      <c r="D176" s="6" t="s">
        <v>7</v>
      </c>
      <c r="E176" s="6">
        <v>1</v>
      </c>
      <c r="F176" s="9">
        <v>2200</v>
      </c>
      <c r="G176" s="9">
        <v>0</v>
      </c>
      <c r="H176" s="9">
        <f t="shared" si="47"/>
        <v>2200</v>
      </c>
      <c r="I176" s="9">
        <v>2400</v>
      </c>
      <c r="J176" s="9">
        <v>0</v>
      </c>
      <c r="K176" s="9">
        <f t="shared" si="37"/>
        <v>2400</v>
      </c>
      <c r="L176" s="9">
        <v>0</v>
      </c>
      <c r="M176" s="9">
        <v>0</v>
      </c>
      <c r="N176" s="9">
        <f t="shared" si="38"/>
        <v>0</v>
      </c>
      <c r="O176" s="11">
        <f>3000/1.19</f>
        <v>2521.0084033613448</v>
      </c>
      <c r="P176" s="12">
        <f t="shared" si="39"/>
        <v>478.99159663865549</v>
      </c>
      <c r="Q176" s="12">
        <f t="shared" si="40"/>
        <v>3000.0000000000005</v>
      </c>
      <c r="R176" s="11">
        <v>3300</v>
      </c>
      <c r="S176" s="12">
        <f t="shared" si="41"/>
        <v>627</v>
      </c>
      <c r="T176" s="12">
        <f t="shared" si="42"/>
        <v>3927</v>
      </c>
      <c r="U176" s="11">
        <f>2800/1.19</f>
        <v>2352.9411764705883</v>
      </c>
      <c r="V176" s="11">
        <f t="shared" si="43"/>
        <v>447.05882352941177</v>
      </c>
      <c r="W176" s="11">
        <f t="shared" si="44"/>
        <v>2800</v>
      </c>
      <c r="X176" s="18">
        <v>3300</v>
      </c>
      <c r="Y176" s="19">
        <v>627</v>
      </c>
      <c r="Z176" s="18">
        <v>3927</v>
      </c>
      <c r="AA176" s="18"/>
      <c r="AB176" s="19">
        <f t="shared" si="49"/>
        <v>0</v>
      </c>
      <c r="AC176" s="18">
        <f t="shared" si="50"/>
        <v>0</v>
      </c>
      <c r="AD176" s="18"/>
      <c r="AE176" s="19">
        <f t="shared" si="45"/>
        <v>0</v>
      </c>
      <c r="AF176" s="18">
        <f t="shared" si="46"/>
        <v>0</v>
      </c>
    </row>
    <row r="177" spans="3:32" x14ac:dyDescent="0.25">
      <c r="C177" s="3" t="s">
        <v>204</v>
      </c>
      <c r="D177" s="6" t="s">
        <v>7</v>
      </c>
      <c r="E177" s="6">
        <v>1</v>
      </c>
      <c r="F177" s="9">
        <v>1100</v>
      </c>
      <c r="G177" s="9">
        <v>0</v>
      </c>
      <c r="H177" s="9">
        <f t="shared" si="47"/>
        <v>1100</v>
      </c>
      <c r="I177" s="9">
        <v>1000</v>
      </c>
      <c r="J177" s="9">
        <v>0</v>
      </c>
      <c r="K177" s="9">
        <f t="shared" si="37"/>
        <v>1000</v>
      </c>
      <c r="L177" s="9">
        <v>0</v>
      </c>
      <c r="M177" s="9">
        <v>0</v>
      </c>
      <c r="N177" s="9">
        <f t="shared" si="38"/>
        <v>0</v>
      </c>
      <c r="O177" s="11">
        <f>454/1.19</f>
        <v>381.51260504201684</v>
      </c>
      <c r="P177" s="12">
        <f t="shared" si="39"/>
        <v>72.487394957983199</v>
      </c>
      <c r="Q177" s="12">
        <f t="shared" si="40"/>
        <v>454.00000000000006</v>
      </c>
      <c r="R177" s="11">
        <v>490</v>
      </c>
      <c r="S177" s="12">
        <f t="shared" si="41"/>
        <v>93.1</v>
      </c>
      <c r="T177" s="12">
        <f t="shared" si="42"/>
        <v>583.1</v>
      </c>
      <c r="U177" s="11">
        <f>450/1.19</f>
        <v>378.15126050420167</v>
      </c>
      <c r="V177" s="11">
        <f t="shared" si="43"/>
        <v>71.848739495798313</v>
      </c>
      <c r="W177" s="11">
        <f t="shared" si="44"/>
        <v>450</v>
      </c>
      <c r="X177" s="18">
        <v>490</v>
      </c>
      <c r="Y177" s="19">
        <v>93.1</v>
      </c>
      <c r="Z177" s="18">
        <v>583.1</v>
      </c>
      <c r="AA177" s="18"/>
      <c r="AB177" s="19">
        <f t="shared" si="49"/>
        <v>0</v>
      </c>
      <c r="AC177" s="18">
        <f t="shared" si="50"/>
        <v>0</v>
      </c>
      <c r="AD177" s="18"/>
      <c r="AE177" s="19">
        <f t="shared" si="45"/>
        <v>0</v>
      </c>
      <c r="AF177" s="18">
        <f t="shared" si="46"/>
        <v>0</v>
      </c>
    </row>
    <row r="178" spans="3:32" x14ac:dyDescent="0.25">
      <c r="C178" s="3" t="s">
        <v>203</v>
      </c>
      <c r="D178" s="6" t="s">
        <v>7</v>
      </c>
      <c r="E178" s="6">
        <v>1</v>
      </c>
      <c r="F178" s="9">
        <v>0</v>
      </c>
      <c r="G178" s="9">
        <v>0</v>
      </c>
      <c r="H178" s="9">
        <f t="shared" si="47"/>
        <v>0</v>
      </c>
      <c r="I178" s="9">
        <v>0</v>
      </c>
      <c r="J178" s="9">
        <v>0</v>
      </c>
      <c r="K178" s="9">
        <f t="shared" si="37"/>
        <v>0</v>
      </c>
      <c r="L178" s="9">
        <v>0</v>
      </c>
      <c r="M178" s="9">
        <v>0</v>
      </c>
      <c r="N178" s="9">
        <f t="shared" si="38"/>
        <v>0</v>
      </c>
      <c r="O178" s="11">
        <f>34727/1.19</f>
        <v>29182.352941176472</v>
      </c>
      <c r="P178" s="12">
        <f t="shared" si="39"/>
        <v>5544.6470588235297</v>
      </c>
      <c r="Q178" s="12">
        <f t="shared" si="40"/>
        <v>34727</v>
      </c>
      <c r="R178" s="11">
        <v>34300</v>
      </c>
      <c r="S178" s="12">
        <f t="shared" si="41"/>
        <v>6517</v>
      </c>
      <c r="T178" s="12">
        <f t="shared" si="42"/>
        <v>40817</v>
      </c>
      <c r="U178" s="11">
        <f>29900/1.19</f>
        <v>25126.050420168067</v>
      </c>
      <c r="V178" s="11">
        <f t="shared" si="43"/>
        <v>4773.9495798319331</v>
      </c>
      <c r="W178" s="11">
        <f t="shared" si="44"/>
        <v>29900</v>
      </c>
      <c r="X178" s="18">
        <v>34300</v>
      </c>
      <c r="Y178" s="19">
        <v>6517</v>
      </c>
      <c r="Z178" s="18">
        <v>40817</v>
      </c>
      <c r="AA178" s="18"/>
      <c r="AB178" s="19">
        <f t="shared" si="49"/>
        <v>0</v>
      </c>
      <c r="AC178" s="18">
        <f t="shared" si="50"/>
        <v>0</v>
      </c>
      <c r="AD178" s="18"/>
      <c r="AE178" s="19">
        <f t="shared" si="45"/>
        <v>0</v>
      </c>
      <c r="AF178" s="18">
        <f t="shared" si="46"/>
        <v>0</v>
      </c>
    </row>
    <row r="179" spans="3:32" x14ac:dyDescent="0.25">
      <c r="C179" s="3" t="s">
        <v>202</v>
      </c>
      <c r="D179" s="6" t="s">
        <v>7</v>
      </c>
      <c r="E179" s="6">
        <v>1</v>
      </c>
      <c r="F179" s="9">
        <v>2500</v>
      </c>
      <c r="G179" s="9">
        <v>0</v>
      </c>
      <c r="H179" s="9">
        <f t="shared" si="47"/>
        <v>2500</v>
      </c>
      <c r="I179" s="9">
        <v>2300</v>
      </c>
      <c r="J179" s="9">
        <v>0</v>
      </c>
      <c r="K179" s="9">
        <f t="shared" si="37"/>
        <v>2300</v>
      </c>
      <c r="L179" s="9">
        <v>3500</v>
      </c>
      <c r="M179" s="9">
        <v>0</v>
      </c>
      <c r="N179" s="9">
        <f t="shared" si="38"/>
        <v>3500</v>
      </c>
      <c r="O179" s="11"/>
      <c r="P179" s="12">
        <f t="shared" si="39"/>
        <v>0</v>
      </c>
      <c r="Q179" s="12">
        <f t="shared" si="40"/>
        <v>0</v>
      </c>
      <c r="R179" s="11">
        <v>2200</v>
      </c>
      <c r="S179" s="12">
        <f t="shared" si="41"/>
        <v>418</v>
      </c>
      <c r="T179" s="12">
        <f t="shared" si="42"/>
        <v>2618</v>
      </c>
      <c r="U179" s="11">
        <f>1600/1.19</f>
        <v>1344.5378151260504</v>
      </c>
      <c r="V179" s="11">
        <f t="shared" si="43"/>
        <v>255.46218487394958</v>
      </c>
      <c r="W179" s="11">
        <f t="shared" si="44"/>
        <v>1600</v>
      </c>
      <c r="X179" s="18">
        <v>2200</v>
      </c>
      <c r="Y179" s="19">
        <v>418</v>
      </c>
      <c r="Z179" s="18">
        <v>2618</v>
      </c>
      <c r="AA179" s="18"/>
      <c r="AB179" s="19">
        <f t="shared" si="49"/>
        <v>0</v>
      </c>
      <c r="AC179" s="18">
        <f t="shared" si="50"/>
        <v>0</v>
      </c>
      <c r="AD179" s="18"/>
      <c r="AE179" s="19">
        <f t="shared" si="45"/>
        <v>0</v>
      </c>
      <c r="AF179" s="18">
        <f t="shared" si="46"/>
        <v>0</v>
      </c>
    </row>
    <row r="180" spans="3:32" x14ac:dyDescent="0.25">
      <c r="C180" s="3" t="s">
        <v>201</v>
      </c>
      <c r="D180" s="6" t="s">
        <v>7</v>
      </c>
      <c r="E180" s="6">
        <v>1</v>
      </c>
      <c r="F180" s="9">
        <v>0</v>
      </c>
      <c r="G180" s="9">
        <v>0</v>
      </c>
      <c r="H180" s="9">
        <f t="shared" si="47"/>
        <v>0</v>
      </c>
      <c r="I180" s="9">
        <v>0</v>
      </c>
      <c r="J180" s="9">
        <v>0</v>
      </c>
      <c r="K180" s="9">
        <f t="shared" si="37"/>
        <v>0</v>
      </c>
      <c r="L180" s="9">
        <v>0</v>
      </c>
      <c r="M180" s="9">
        <v>0</v>
      </c>
      <c r="N180" s="9">
        <f t="shared" si="38"/>
        <v>0</v>
      </c>
      <c r="O180" s="11">
        <f>772/1.19</f>
        <v>648.73949579831935</v>
      </c>
      <c r="P180" s="12">
        <f t="shared" si="39"/>
        <v>123.26050420168067</v>
      </c>
      <c r="Q180" s="12">
        <f t="shared" si="40"/>
        <v>772</v>
      </c>
      <c r="R180" s="11"/>
      <c r="S180" s="12">
        <f t="shared" si="41"/>
        <v>0</v>
      </c>
      <c r="T180" s="12">
        <f t="shared" si="42"/>
        <v>0</v>
      </c>
      <c r="U180" s="11">
        <f>750/1.19</f>
        <v>630.2521008403362</v>
      </c>
      <c r="V180" s="11">
        <f t="shared" si="43"/>
        <v>119.74789915966387</v>
      </c>
      <c r="W180" s="11">
        <f t="shared" si="44"/>
        <v>750.00000000000011</v>
      </c>
      <c r="X180" s="18"/>
      <c r="Y180" s="19">
        <v>0</v>
      </c>
      <c r="Z180" s="18">
        <v>0</v>
      </c>
      <c r="AA180" s="18"/>
      <c r="AB180" s="19">
        <f t="shared" si="49"/>
        <v>0</v>
      </c>
      <c r="AC180" s="18">
        <f t="shared" si="50"/>
        <v>0</v>
      </c>
      <c r="AD180" s="18"/>
      <c r="AE180" s="19">
        <f t="shared" si="45"/>
        <v>0</v>
      </c>
      <c r="AF180" s="18">
        <f t="shared" si="46"/>
        <v>0</v>
      </c>
    </row>
    <row r="181" spans="3:32" x14ac:dyDescent="0.25">
      <c r="C181" s="3" t="s">
        <v>200</v>
      </c>
      <c r="D181" s="6" t="s">
        <v>7</v>
      </c>
      <c r="E181" s="6">
        <v>1</v>
      </c>
      <c r="F181" s="9">
        <v>1500</v>
      </c>
      <c r="G181" s="9">
        <v>0</v>
      </c>
      <c r="H181" s="9">
        <f t="shared" si="47"/>
        <v>1500</v>
      </c>
      <c r="I181" s="9">
        <v>1400</v>
      </c>
      <c r="J181" s="9">
        <v>0</v>
      </c>
      <c r="K181" s="9">
        <f t="shared" si="37"/>
        <v>1400</v>
      </c>
      <c r="L181" s="9">
        <v>0</v>
      </c>
      <c r="M181" s="9">
        <v>0</v>
      </c>
      <c r="N181" s="9">
        <f t="shared" si="38"/>
        <v>0</v>
      </c>
      <c r="O181" s="11">
        <f>1409/1.19</f>
        <v>1184.0336134453783</v>
      </c>
      <c r="P181" s="12">
        <f t="shared" si="39"/>
        <v>224.96638655462186</v>
      </c>
      <c r="Q181" s="12">
        <f t="shared" si="40"/>
        <v>1409</v>
      </c>
      <c r="R181" s="11">
        <v>1450</v>
      </c>
      <c r="S181" s="12">
        <f t="shared" si="41"/>
        <v>275.5</v>
      </c>
      <c r="T181" s="12">
        <f t="shared" si="42"/>
        <v>1725.5</v>
      </c>
      <c r="U181" s="11">
        <f>1300/1.19</f>
        <v>1092.4369747899161</v>
      </c>
      <c r="V181" s="11">
        <f t="shared" si="43"/>
        <v>207.56302521008408</v>
      </c>
      <c r="W181" s="11">
        <f t="shared" si="44"/>
        <v>1300.0000000000002</v>
      </c>
      <c r="X181" s="18">
        <v>1450</v>
      </c>
      <c r="Y181" s="19">
        <v>275.5</v>
      </c>
      <c r="Z181" s="18">
        <v>1725.5</v>
      </c>
      <c r="AA181" s="18"/>
      <c r="AB181" s="19">
        <f t="shared" si="49"/>
        <v>0</v>
      </c>
      <c r="AC181" s="18">
        <f t="shared" si="50"/>
        <v>0</v>
      </c>
      <c r="AD181" s="18"/>
      <c r="AE181" s="19">
        <f t="shared" si="45"/>
        <v>0</v>
      </c>
      <c r="AF181" s="18">
        <f t="shared" si="46"/>
        <v>0</v>
      </c>
    </row>
    <row r="182" spans="3:32" x14ac:dyDescent="0.25">
      <c r="C182" s="3" t="s">
        <v>199</v>
      </c>
      <c r="D182" s="6" t="s">
        <v>7</v>
      </c>
      <c r="E182" s="6">
        <v>1</v>
      </c>
      <c r="F182" s="9">
        <v>0</v>
      </c>
      <c r="G182" s="9">
        <v>0</v>
      </c>
      <c r="H182" s="9">
        <f t="shared" si="47"/>
        <v>0</v>
      </c>
      <c r="I182" s="9">
        <v>0</v>
      </c>
      <c r="J182" s="9">
        <v>0</v>
      </c>
      <c r="K182" s="9">
        <f t="shared" si="37"/>
        <v>0</v>
      </c>
      <c r="L182" s="9">
        <v>0</v>
      </c>
      <c r="M182" s="9">
        <v>0</v>
      </c>
      <c r="N182" s="9">
        <f t="shared" si="38"/>
        <v>0</v>
      </c>
      <c r="O182" s="11">
        <f>15454/1.19</f>
        <v>12986.55462184874</v>
      </c>
      <c r="P182" s="12">
        <f t="shared" si="39"/>
        <v>2467.4453781512607</v>
      </c>
      <c r="Q182" s="12">
        <f t="shared" si="40"/>
        <v>15454</v>
      </c>
      <c r="R182" s="10">
        <v>15900</v>
      </c>
      <c r="S182" s="10">
        <f t="shared" si="41"/>
        <v>3021</v>
      </c>
      <c r="T182" s="10">
        <f t="shared" si="42"/>
        <v>18921</v>
      </c>
      <c r="U182" s="11">
        <f>13800/1.19</f>
        <v>11596.638655462186</v>
      </c>
      <c r="V182" s="11">
        <f t="shared" si="43"/>
        <v>2203.3613445378155</v>
      </c>
      <c r="W182" s="11">
        <f t="shared" si="44"/>
        <v>13800.000000000002</v>
      </c>
      <c r="X182" s="18">
        <v>15900</v>
      </c>
      <c r="Y182" s="19">
        <v>3021</v>
      </c>
      <c r="Z182" s="18">
        <v>18921</v>
      </c>
      <c r="AA182" s="18"/>
      <c r="AB182" s="19">
        <f t="shared" si="49"/>
        <v>0</v>
      </c>
      <c r="AC182" s="18">
        <f t="shared" si="50"/>
        <v>0</v>
      </c>
      <c r="AD182" s="18"/>
      <c r="AE182" s="19">
        <f t="shared" si="45"/>
        <v>0</v>
      </c>
      <c r="AF182" s="18">
        <f t="shared" si="46"/>
        <v>0</v>
      </c>
    </row>
    <row r="183" spans="3:32" x14ac:dyDescent="0.25">
      <c r="C183" s="3" t="s">
        <v>196</v>
      </c>
      <c r="D183" s="6" t="s">
        <v>7</v>
      </c>
      <c r="E183" s="6">
        <v>1</v>
      </c>
      <c r="F183" s="9">
        <v>6000</v>
      </c>
      <c r="G183" s="9">
        <v>0</v>
      </c>
      <c r="H183" s="9">
        <f t="shared" si="47"/>
        <v>6000</v>
      </c>
      <c r="I183" s="9">
        <v>6500</v>
      </c>
      <c r="J183" s="9">
        <v>0</v>
      </c>
      <c r="K183" s="9">
        <f t="shared" si="37"/>
        <v>6500</v>
      </c>
      <c r="L183" s="9">
        <v>0</v>
      </c>
      <c r="M183" s="9">
        <v>0</v>
      </c>
      <c r="N183" s="9">
        <f t="shared" si="38"/>
        <v>0</v>
      </c>
      <c r="O183" s="11">
        <f>4890/1.19</f>
        <v>4109.2436974789916</v>
      </c>
      <c r="P183" s="12">
        <f t="shared" si="39"/>
        <v>780.75630252100837</v>
      </c>
      <c r="Q183" s="12">
        <f t="shared" si="40"/>
        <v>4890</v>
      </c>
      <c r="R183" s="11">
        <v>5700</v>
      </c>
      <c r="S183" s="12">
        <f t="shared" si="41"/>
        <v>1083</v>
      </c>
      <c r="T183" s="12">
        <f t="shared" si="42"/>
        <v>6783</v>
      </c>
      <c r="U183" s="11">
        <f>5000/1.19</f>
        <v>4201.680672268908</v>
      </c>
      <c r="V183" s="11">
        <f t="shared" si="43"/>
        <v>798.31932773109247</v>
      </c>
      <c r="W183" s="11">
        <f t="shared" si="44"/>
        <v>5000</v>
      </c>
      <c r="X183" s="18">
        <v>5700</v>
      </c>
      <c r="Y183" s="19">
        <v>1083</v>
      </c>
      <c r="Z183" s="18">
        <v>6783</v>
      </c>
      <c r="AA183" s="18"/>
      <c r="AB183" s="19">
        <f t="shared" si="49"/>
        <v>0</v>
      </c>
      <c r="AC183" s="18">
        <f t="shared" si="50"/>
        <v>0</v>
      </c>
      <c r="AD183" s="18"/>
      <c r="AE183" s="19">
        <f t="shared" si="45"/>
        <v>0</v>
      </c>
      <c r="AF183" s="18">
        <f t="shared" si="46"/>
        <v>0</v>
      </c>
    </row>
    <row r="184" spans="3:32" x14ac:dyDescent="0.25">
      <c r="C184" s="3" t="s">
        <v>197</v>
      </c>
      <c r="D184" s="6" t="s">
        <v>7</v>
      </c>
      <c r="E184" s="6">
        <v>1</v>
      </c>
      <c r="F184" s="9">
        <v>0</v>
      </c>
      <c r="G184" s="9">
        <v>0</v>
      </c>
      <c r="H184" s="9">
        <f t="shared" si="47"/>
        <v>0</v>
      </c>
      <c r="I184" s="9">
        <v>0</v>
      </c>
      <c r="J184" s="9">
        <v>0</v>
      </c>
      <c r="K184" s="9">
        <f t="shared" si="37"/>
        <v>0</v>
      </c>
      <c r="L184" s="9">
        <v>0</v>
      </c>
      <c r="M184" s="9">
        <v>0</v>
      </c>
      <c r="N184" s="9">
        <f t="shared" si="38"/>
        <v>0</v>
      </c>
      <c r="O184" s="11">
        <f>21620/1.19</f>
        <v>18168.067226890758</v>
      </c>
      <c r="P184" s="12">
        <f t="shared" si="39"/>
        <v>3451.932773109244</v>
      </c>
      <c r="Q184" s="12">
        <f t="shared" si="40"/>
        <v>21620.000000000004</v>
      </c>
      <c r="R184" s="11">
        <v>25100</v>
      </c>
      <c r="S184" s="12">
        <f t="shared" si="41"/>
        <v>4769</v>
      </c>
      <c r="T184" s="12">
        <f t="shared" si="42"/>
        <v>29869</v>
      </c>
      <c r="U184" s="11">
        <f>21800/1.19</f>
        <v>18319.327731092439</v>
      </c>
      <c r="V184" s="11">
        <f t="shared" si="43"/>
        <v>3480.6722689075632</v>
      </c>
      <c r="W184" s="11">
        <f t="shared" si="44"/>
        <v>21800</v>
      </c>
      <c r="X184" s="18">
        <v>25100</v>
      </c>
      <c r="Y184" s="19">
        <v>4769</v>
      </c>
      <c r="Z184" s="18">
        <v>29869</v>
      </c>
      <c r="AA184" s="18"/>
      <c r="AB184" s="19">
        <f t="shared" si="49"/>
        <v>0</v>
      </c>
      <c r="AC184" s="18">
        <f t="shared" si="50"/>
        <v>0</v>
      </c>
      <c r="AD184" s="18"/>
      <c r="AE184" s="19">
        <f t="shared" si="45"/>
        <v>0</v>
      </c>
      <c r="AF184" s="18">
        <f t="shared" si="46"/>
        <v>0</v>
      </c>
    </row>
    <row r="185" spans="3:32" x14ac:dyDescent="0.25">
      <c r="C185" s="3" t="s">
        <v>198</v>
      </c>
      <c r="D185" s="6" t="s">
        <v>7</v>
      </c>
      <c r="E185" s="6">
        <v>1</v>
      </c>
      <c r="F185" s="9">
        <v>3500</v>
      </c>
      <c r="G185" s="9">
        <v>0</v>
      </c>
      <c r="H185" s="9">
        <f t="shared" si="47"/>
        <v>3500</v>
      </c>
      <c r="I185" s="9">
        <v>3600</v>
      </c>
      <c r="J185" s="9">
        <v>0</v>
      </c>
      <c r="K185" s="9">
        <f t="shared" si="37"/>
        <v>3600</v>
      </c>
      <c r="L185" s="9">
        <v>0</v>
      </c>
      <c r="M185" s="9">
        <v>0</v>
      </c>
      <c r="N185" s="9">
        <f t="shared" si="38"/>
        <v>0</v>
      </c>
      <c r="O185" s="11">
        <f>2559/1.19</f>
        <v>2150.4201680672268</v>
      </c>
      <c r="P185" s="12">
        <f t="shared" si="39"/>
        <v>408.57983193277312</v>
      </c>
      <c r="Q185" s="12">
        <f t="shared" si="40"/>
        <v>2559</v>
      </c>
      <c r="R185" s="11">
        <v>2850</v>
      </c>
      <c r="S185" s="12">
        <f t="shared" si="41"/>
        <v>541.5</v>
      </c>
      <c r="T185" s="12">
        <f t="shared" si="42"/>
        <v>3391.5</v>
      </c>
      <c r="U185" s="11">
        <f>2600/1.19</f>
        <v>2184.8739495798322</v>
      </c>
      <c r="V185" s="11">
        <f t="shared" si="43"/>
        <v>415.12605042016816</v>
      </c>
      <c r="W185" s="11">
        <f t="shared" si="44"/>
        <v>2600.0000000000005</v>
      </c>
      <c r="X185" s="18">
        <v>2850</v>
      </c>
      <c r="Y185" s="19">
        <v>541.5</v>
      </c>
      <c r="Z185" s="18">
        <v>3391.5</v>
      </c>
      <c r="AA185" s="18"/>
      <c r="AB185" s="19">
        <f t="shared" si="49"/>
        <v>0</v>
      </c>
      <c r="AC185" s="18">
        <f t="shared" si="50"/>
        <v>0</v>
      </c>
      <c r="AD185" s="18"/>
      <c r="AE185" s="19">
        <f t="shared" si="45"/>
        <v>0</v>
      </c>
      <c r="AF185" s="18">
        <f t="shared" si="46"/>
        <v>0</v>
      </c>
    </row>
    <row r="186" spans="3:32" x14ac:dyDescent="0.25">
      <c r="C186" s="3" t="s">
        <v>59</v>
      </c>
      <c r="D186" s="6" t="s">
        <v>7</v>
      </c>
      <c r="E186" s="6">
        <v>1</v>
      </c>
      <c r="F186" s="9">
        <v>29000</v>
      </c>
      <c r="G186" s="9">
        <v>0</v>
      </c>
      <c r="H186" s="9">
        <f t="shared" si="47"/>
        <v>29000</v>
      </c>
      <c r="I186" s="9">
        <v>29000</v>
      </c>
      <c r="J186" s="9">
        <v>0</v>
      </c>
      <c r="K186" s="9">
        <f t="shared" si="37"/>
        <v>29000</v>
      </c>
      <c r="L186" s="9">
        <v>0</v>
      </c>
      <c r="M186" s="9">
        <v>0</v>
      </c>
      <c r="N186" s="9">
        <f t="shared" si="38"/>
        <v>0</v>
      </c>
      <c r="O186" s="11">
        <f>25232/1.19</f>
        <v>21203.361344537818</v>
      </c>
      <c r="P186" s="12">
        <f t="shared" si="39"/>
        <v>4028.6386554621854</v>
      </c>
      <c r="Q186" s="12">
        <f t="shared" si="40"/>
        <v>25232.000000000004</v>
      </c>
      <c r="R186" s="11">
        <v>28500</v>
      </c>
      <c r="S186" s="12">
        <f t="shared" si="41"/>
        <v>5415</v>
      </c>
      <c r="T186" s="12">
        <f t="shared" si="42"/>
        <v>33915</v>
      </c>
      <c r="U186" s="11">
        <f>25200/1.19</f>
        <v>21176.470588235294</v>
      </c>
      <c r="V186" s="11">
        <f t="shared" si="43"/>
        <v>4023.5294117647059</v>
      </c>
      <c r="W186" s="11">
        <f t="shared" si="44"/>
        <v>25200</v>
      </c>
      <c r="X186" s="18">
        <v>28500</v>
      </c>
      <c r="Y186" s="19">
        <v>5415</v>
      </c>
      <c r="Z186" s="18">
        <v>33915</v>
      </c>
      <c r="AA186" s="18"/>
      <c r="AB186" s="19">
        <f t="shared" si="49"/>
        <v>0</v>
      </c>
      <c r="AC186" s="18">
        <f t="shared" si="50"/>
        <v>0</v>
      </c>
      <c r="AD186" s="18"/>
      <c r="AE186" s="19">
        <f t="shared" si="45"/>
        <v>0</v>
      </c>
      <c r="AF186" s="18">
        <f t="shared" si="46"/>
        <v>0</v>
      </c>
    </row>
    <row r="187" spans="3:32" x14ac:dyDescent="0.25">
      <c r="C187" s="3" t="s">
        <v>58</v>
      </c>
      <c r="D187" s="6" t="s">
        <v>7</v>
      </c>
      <c r="E187" s="6">
        <v>1</v>
      </c>
      <c r="F187" s="9">
        <v>17000</v>
      </c>
      <c r="G187" s="9">
        <v>0</v>
      </c>
      <c r="H187" s="9">
        <f t="shared" si="47"/>
        <v>17000</v>
      </c>
      <c r="I187" s="9">
        <v>18000</v>
      </c>
      <c r="J187" s="9">
        <v>0</v>
      </c>
      <c r="K187" s="9">
        <f t="shared" si="37"/>
        <v>18000</v>
      </c>
      <c r="L187" s="9">
        <v>0</v>
      </c>
      <c r="M187" s="9">
        <v>0</v>
      </c>
      <c r="N187" s="9">
        <f t="shared" si="38"/>
        <v>0</v>
      </c>
      <c r="O187" s="11">
        <f>14339/1.19</f>
        <v>12049.579831932773</v>
      </c>
      <c r="P187" s="12">
        <f t="shared" si="39"/>
        <v>2289.4201680672268</v>
      </c>
      <c r="Q187" s="12">
        <f t="shared" si="40"/>
        <v>14339</v>
      </c>
      <c r="R187" s="11">
        <v>16500</v>
      </c>
      <c r="S187" s="12">
        <f t="shared" si="41"/>
        <v>3135</v>
      </c>
      <c r="T187" s="12">
        <f t="shared" si="42"/>
        <v>19635</v>
      </c>
      <c r="U187" s="11">
        <f>14700/1.19</f>
        <v>12352.941176470589</v>
      </c>
      <c r="V187" s="11">
        <f t="shared" si="43"/>
        <v>2347.0588235294122</v>
      </c>
      <c r="W187" s="11">
        <f t="shared" si="44"/>
        <v>14700.000000000002</v>
      </c>
      <c r="X187" s="18">
        <v>16500</v>
      </c>
      <c r="Y187" s="19">
        <v>3135</v>
      </c>
      <c r="Z187" s="18">
        <v>19635</v>
      </c>
      <c r="AA187" s="18"/>
      <c r="AB187" s="19">
        <f t="shared" si="49"/>
        <v>0</v>
      </c>
      <c r="AC187" s="18">
        <f t="shared" si="50"/>
        <v>0</v>
      </c>
      <c r="AD187" s="18"/>
      <c r="AE187" s="19">
        <f t="shared" si="45"/>
        <v>0</v>
      </c>
      <c r="AF187" s="18">
        <f t="shared" si="46"/>
        <v>0</v>
      </c>
    </row>
    <row r="188" spans="3:32" x14ac:dyDescent="0.25">
      <c r="C188" s="3" t="s">
        <v>112</v>
      </c>
      <c r="D188" s="6" t="s">
        <v>7</v>
      </c>
      <c r="E188" s="6">
        <v>1</v>
      </c>
      <c r="F188" s="9">
        <v>6800</v>
      </c>
      <c r="G188" s="9">
        <v>0</v>
      </c>
      <c r="H188" s="9">
        <f t="shared" si="47"/>
        <v>6800</v>
      </c>
      <c r="I188" s="9">
        <v>7000</v>
      </c>
      <c r="J188" s="9">
        <v>0</v>
      </c>
      <c r="K188" s="9">
        <f t="shared" si="37"/>
        <v>7000</v>
      </c>
      <c r="L188" s="9">
        <v>0</v>
      </c>
      <c r="M188" s="9">
        <v>0</v>
      </c>
      <c r="N188" s="9">
        <f t="shared" si="38"/>
        <v>0</v>
      </c>
      <c r="O188" s="11">
        <f>7038/1.19</f>
        <v>5914.2857142857147</v>
      </c>
      <c r="P188" s="12">
        <f t="shared" si="39"/>
        <v>1123.7142857142858</v>
      </c>
      <c r="Q188" s="12">
        <f t="shared" si="40"/>
        <v>7038</v>
      </c>
      <c r="R188" s="11">
        <v>22700</v>
      </c>
      <c r="S188" s="12">
        <f t="shared" si="41"/>
        <v>4313</v>
      </c>
      <c r="T188" s="12">
        <f t="shared" si="42"/>
        <v>27013</v>
      </c>
      <c r="U188" s="11">
        <f>5750/1.19</f>
        <v>4831.9327731092435</v>
      </c>
      <c r="V188" s="11">
        <f t="shared" si="43"/>
        <v>918.06722689075627</v>
      </c>
      <c r="W188" s="11">
        <f t="shared" si="44"/>
        <v>5750</v>
      </c>
      <c r="X188" s="18">
        <v>22700</v>
      </c>
      <c r="Y188" s="19">
        <v>4313</v>
      </c>
      <c r="Z188" s="18">
        <v>27013</v>
      </c>
      <c r="AA188" s="18"/>
      <c r="AB188" s="19">
        <f t="shared" si="49"/>
        <v>0</v>
      </c>
      <c r="AC188" s="18">
        <f t="shared" si="50"/>
        <v>0</v>
      </c>
      <c r="AD188" s="18"/>
      <c r="AE188" s="19">
        <f t="shared" si="45"/>
        <v>0</v>
      </c>
      <c r="AF188" s="18">
        <f t="shared" si="46"/>
        <v>0</v>
      </c>
    </row>
    <row r="189" spans="3:32" x14ac:dyDescent="0.25">
      <c r="C189" s="3" t="s">
        <v>113</v>
      </c>
      <c r="D189" s="6" t="s">
        <v>7</v>
      </c>
      <c r="E189" s="6">
        <v>1</v>
      </c>
      <c r="F189" s="9">
        <v>3000</v>
      </c>
      <c r="G189" s="9">
        <v>0</v>
      </c>
      <c r="H189" s="9">
        <f t="shared" si="47"/>
        <v>3000</v>
      </c>
      <c r="I189" s="9">
        <v>2900</v>
      </c>
      <c r="J189" s="9">
        <v>0</v>
      </c>
      <c r="K189" s="9">
        <f t="shared" si="37"/>
        <v>2900</v>
      </c>
      <c r="L189" s="9">
        <v>0</v>
      </c>
      <c r="M189" s="9">
        <v>0</v>
      </c>
      <c r="N189" s="9">
        <f t="shared" si="38"/>
        <v>0</v>
      </c>
      <c r="O189" s="11"/>
      <c r="P189" s="12">
        <f t="shared" si="39"/>
        <v>0</v>
      </c>
      <c r="Q189" s="12">
        <f t="shared" si="40"/>
        <v>0</v>
      </c>
      <c r="R189" s="10">
        <v>6800</v>
      </c>
      <c r="S189" s="10">
        <f t="shared" si="41"/>
        <v>1292</v>
      </c>
      <c r="T189" s="10">
        <f t="shared" si="42"/>
        <v>8092</v>
      </c>
      <c r="U189" s="11">
        <f>1350/1.19</f>
        <v>1134.453781512605</v>
      </c>
      <c r="V189" s="11">
        <f t="shared" si="43"/>
        <v>215.54621848739495</v>
      </c>
      <c r="W189" s="11">
        <f t="shared" si="44"/>
        <v>1350</v>
      </c>
      <c r="X189" s="18">
        <v>6800</v>
      </c>
      <c r="Y189" s="19">
        <v>1292</v>
      </c>
      <c r="Z189" s="18">
        <v>8092</v>
      </c>
      <c r="AA189" s="18"/>
      <c r="AB189" s="19">
        <f t="shared" si="49"/>
        <v>0</v>
      </c>
      <c r="AC189" s="18">
        <f t="shared" si="50"/>
        <v>0</v>
      </c>
      <c r="AD189" s="18"/>
      <c r="AE189" s="19">
        <f t="shared" si="45"/>
        <v>0</v>
      </c>
      <c r="AF189" s="18">
        <f t="shared" si="46"/>
        <v>0</v>
      </c>
    </row>
    <row r="190" spans="3:32" x14ac:dyDescent="0.25">
      <c r="C190" s="3" t="s">
        <v>114</v>
      </c>
      <c r="D190" s="6" t="s">
        <v>132</v>
      </c>
      <c r="E190" s="6">
        <v>1</v>
      </c>
      <c r="F190" s="9">
        <v>8500</v>
      </c>
      <c r="G190" s="9">
        <v>0</v>
      </c>
      <c r="H190" s="9">
        <f t="shared" si="47"/>
        <v>8500</v>
      </c>
      <c r="I190" s="9">
        <v>8500</v>
      </c>
      <c r="J190" s="9">
        <v>0</v>
      </c>
      <c r="K190" s="9">
        <f t="shared" si="37"/>
        <v>8500</v>
      </c>
      <c r="L190" s="9">
        <v>8000</v>
      </c>
      <c r="M190" s="9">
        <v>0</v>
      </c>
      <c r="N190" s="9">
        <f t="shared" si="38"/>
        <v>8000</v>
      </c>
      <c r="O190" s="11">
        <f>23550/1.19</f>
        <v>19789.915966386554</v>
      </c>
      <c r="P190" s="12">
        <f t="shared" si="39"/>
        <v>3760.0840336134452</v>
      </c>
      <c r="Q190" s="12">
        <f t="shared" si="40"/>
        <v>23550</v>
      </c>
      <c r="R190" s="11">
        <v>37000</v>
      </c>
      <c r="S190" s="12">
        <f t="shared" si="41"/>
        <v>7030</v>
      </c>
      <c r="T190" s="12">
        <f t="shared" si="42"/>
        <v>44030</v>
      </c>
      <c r="U190" s="11">
        <f>23250/1.19</f>
        <v>19537.81512605042</v>
      </c>
      <c r="V190" s="11">
        <f t="shared" si="43"/>
        <v>3712.1848739495799</v>
      </c>
      <c r="W190" s="11">
        <f t="shared" si="44"/>
        <v>23250</v>
      </c>
      <c r="X190" s="18">
        <v>37000</v>
      </c>
      <c r="Y190" s="19">
        <v>7030</v>
      </c>
      <c r="Z190" s="18">
        <v>44030</v>
      </c>
      <c r="AA190" s="18">
        <v>41933</v>
      </c>
      <c r="AB190" s="19">
        <f t="shared" si="49"/>
        <v>7967.27</v>
      </c>
      <c r="AC190" s="18">
        <f t="shared" si="50"/>
        <v>49900.270000000004</v>
      </c>
      <c r="AD190" s="18"/>
      <c r="AE190" s="19">
        <f t="shared" si="45"/>
        <v>0</v>
      </c>
      <c r="AF190" s="18">
        <f t="shared" si="46"/>
        <v>0</v>
      </c>
    </row>
    <row r="191" spans="3:32" x14ac:dyDescent="0.25">
      <c r="C191" s="3" t="s">
        <v>130</v>
      </c>
      <c r="D191" s="6" t="s">
        <v>7</v>
      </c>
      <c r="E191" s="6">
        <v>1</v>
      </c>
      <c r="F191" s="9">
        <v>0</v>
      </c>
      <c r="G191" s="9">
        <v>0</v>
      </c>
      <c r="H191" s="9">
        <f t="shared" si="47"/>
        <v>0</v>
      </c>
      <c r="I191" s="9">
        <v>0</v>
      </c>
      <c r="J191" s="9">
        <v>0</v>
      </c>
      <c r="K191" s="9">
        <f t="shared" si="37"/>
        <v>0</v>
      </c>
      <c r="L191" s="9">
        <v>0</v>
      </c>
      <c r="M191" s="9">
        <v>0</v>
      </c>
      <c r="N191" s="9">
        <f t="shared" si="38"/>
        <v>0</v>
      </c>
      <c r="O191" s="11"/>
      <c r="P191" s="12">
        <f t="shared" si="39"/>
        <v>0</v>
      </c>
      <c r="Q191" s="12">
        <f t="shared" si="40"/>
        <v>0</v>
      </c>
      <c r="R191" s="11">
        <v>98700</v>
      </c>
      <c r="S191" s="12">
        <f t="shared" si="41"/>
        <v>18753</v>
      </c>
      <c r="T191" s="12">
        <f t="shared" si="42"/>
        <v>117453</v>
      </c>
      <c r="U191" s="11">
        <v>0</v>
      </c>
      <c r="V191" s="11">
        <f t="shared" si="43"/>
        <v>0</v>
      </c>
      <c r="W191" s="11">
        <f t="shared" si="44"/>
        <v>0</v>
      </c>
      <c r="X191" s="18">
        <v>98700</v>
      </c>
      <c r="Y191" s="19">
        <v>18753</v>
      </c>
      <c r="Z191" s="18">
        <v>117453</v>
      </c>
      <c r="AA191" s="18"/>
      <c r="AB191" s="19">
        <f t="shared" si="49"/>
        <v>0</v>
      </c>
      <c r="AC191" s="18">
        <f t="shared" si="50"/>
        <v>0</v>
      </c>
      <c r="AD191" s="18"/>
      <c r="AE191" s="19">
        <f t="shared" si="45"/>
        <v>0</v>
      </c>
      <c r="AF191" s="18">
        <f t="shared" si="46"/>
        <v>0</v>
      </c>
    </row>
    <row r="192" spans="3:32" x14ac:dyDescent="0.25">
      <c r="C192" s="3" t="s">
        <v>61</v>
      </c>
      <c r="D192" s="6" t="s">
        <v>21</v>
      </c>
      <c r="E192" s="6">
        <v>1</v>
      </c>
      <c r="F192" s="9">
        <v>0</v>
      </c>
      <c r="G192" s="9">
        <v>0</v>
      </c>
      <c r="H192" s="9">
        <f t="shared" si="47"/>
        <v>0</v>
      </c>
      <c r="I192" s="9">
        <v>0</v>
      </c>
      <c r="J192" s="9">
        <v>0</v>
      </c>
      <c r="K192" s="9">
        <f t="shared" si="37"/>
        <v>0</v>
      </c>
      <c r="L192" s="9">
        <v>98900</v>
      </c>
      <c r="M192" s="9">
        <v>0</v>
      </c>
      <c r="N192" s="9">
        <f t="shared" si="38"/>
        <v>98900</v>
      </c>
      <c r="O192" s="11">
        <f>92900/1.19</f>
        <v>78067.226890756312</v>
      </c>
      <c r="P192" s="12">
        <f t="shared" si="39"/>
        <v>14832.773109243699</v>
      </c>
      <c r="Q192" s="12">
        <f t="shared" si="40"/>
        <v>92900.000000000015</v>
      </c>
      <c r="R192" s="11"/>
      <c r="S192" s="12">
        <f t="shared" si="41"/>
        <v>0</v>
      </c>
      <c r="T192" s="12">
        <f t="shared" si="42"/>
        <v>0</v>
      </c>
      <c r="U192" s="11">
        <f>97500/1.19</f>
        <v>81932.773109243702</v>
      </c>
      <c r="V192" s="11">
        <f>U192*19%</f>
        <v>15567.226890756303</v>
      </c>
      <c r="W192" s="11">
        <f>U192+V192</f>
        <v>97500</v>
      </c>
      <c r="X192" s="18"/>
      <c r="Y192" s="19">
        <v>0</v>
      </c>
      <c r="Z192" s="18">
        <v>0</v>
      </c>
      <c r="AA192" s="18">
        <v>73967</v>
      </c>
      <c r="AB192" s="19">
        <f t="shared" si="49"/>
        <v>14053.73</v>
      </c>
      <c r="AC192" s="18">
        <f t="shared" si="50"/>
        <v>88020.73</v>
      </c>
      <c r="AD192" s="18"/>
      <c r="AE192" s="19">
        <f t="shared" si="45"/>
        <v>0</v>
      </c>
      <c r="AF192" s="18">
        <f t="shared" si="46"/>
        <v>0</v>
      </c>
    </row>
    <row r="193" spans="3:32" x14ac:dyDescent="0.25">
      <c r="C193" s="3" t="s">
        <v>9</v>
      </c>
      <c r="D193" s="6" t="s">
        <v>21</v>
      </c>
      <c r="E193" s="6">
        <v>1</v>
      </c>
      <c r="F193" s="9">
        <v>0</v>
      </c>
      <c r="G193" s="9">
        <v>0</v>
      </c>
      <c r="H193" s="9">
        <f t="shared" si="47"/>
        <v>0</v>
      </c>
      <c r="I193" s="9">
        <v>0</v>
      </c>
      <c r="J193" s="9">
        <v>0</v>
      </c>
      <c r="K193" s="9">
        <f t="shared" si="37"/>
        <v>0</v>
      </c>
      <c r="L193" s="9">
        <v>107900</v>
      </c>
      <c r="M193" s="9">
        <v>0</v>
      </c>
      <c r="N193" s="9">
        <f t="shared" si="38"/>
        <v>107900</v>
      </c>
      <c r="O193" s="11">
        <f>106281/1.19</f>
        <v>89311.764705882364</v>
      </c>
      <c r="P193" s="12">
        <f t="shared" si="39"/>
        <v>16969.23529411765</v>
      </c>
      <c r="Q193" s="12">
        <f t="shared" si="40"/>
        <v>106281.00000000001</v>
      </c>
      <c r="R193" s="11"/>
      <c r="S193" s="12">
        <f t="shared" si="41"/>
        <v>0</v>
      </c>
      <c r="T193" s="12">
        <f t="shared" si="42"/>
        <v>0</v>
      </c>
      <c r="U193" s="11">
        <v>0</v>
      </c>
      <c r="V193" s="11"/>
      <c r="W193" s="11"/>
      <c r="X193" s="18"/>
      <c r="Y193" s="19">
        <v>0</v>
      </c>
      <c r="Z193" s="18">
        <v>0</v>
      </c>
      <c r="AA193" s="18"/>
      <c r="AB193" s="19">
        <f t="shared" si="49"/>
        <v>0</v>
      </c>
      <c r="AC193" s="18">
        <f t="shared" si="50"/>
        <v>0</v>
      </c>
      <c r="AD193" s="18"/>
      <c r="AE193" s="19">
        <f t="shared" si="45"/>
        <v>0</v>
      </c>
      <c r="AF193" s="18">
        <f t="shared" si="46"/>
        <v>0</v>
      </c>
    </row>
    <row r="194" spans="3:32" x14ac:dyDescent="0.25">
      <c r="C194" s="3" t="s">
        <v>215</v>
      </c>
      <c r="D194" s="6" t="s">
        <v>7</v>
      </c>
      <c r="E194" s="6">
        <v>1</v>
      </c>
      <c r="F194" s="9">
        <v>3500</v>
      </c>
      <c r="G194" s="9">
        <v>0</v>
      </c>
      <c r="H194" s="9">
        <f t="shared" si="47"/>
        <v>3500</v>
      </c>
      <c r="I194" s="9">
        <v>3500</v>
      </c>
      <c r="J194" s="9">
        <v>0</v>
      </c>
      <c r="K194" s="9">
        <f t="shared" si="37"/>
        <v>3500</v>
      </c>
      <c r="L194" s="9">
        <v>0</v>
      </c>
      <c r="M194" s="9">
        <v>0</v>
      </c>
      <c r="N194" s="9">
        <f t="shared" si="38"/>
        <v>0</v>
      </c>
      <c r="O194" s="11"/>
      <c r="P194" s="12">
        <f t="shared" si="39"/>
        <v>0</v>
      </c>
      <c r="Q194" s="12">
        <f t="shared" si="40"/>
        <v>0</v>
      </c>
      <c r="R194" s="11"/>
      <c r="S194" s="12">
        <f t="shared" si="41"/>
        <v>0</v>
      </c>
      <c r="T194" s="12">
        <f t="shared" si="42"/>
        <v>0</v>
      </c>
      <c r="U194" s="11"/>
      <c r="V194" s="11"/>
      <c r="W194" s="11"/>
      <c r="X194" s="18"/>
      <c r="Y194" s="19">
        <v>0</v>
      </c>
      <c r="Z194" s="18">
        <v>0</v>
      </c>
      <c r="AA194" s="18"/>
      <c r="AB194" s="19">
        <f t="shared" si="49"/>
        <v>0</v>
      </c>
      <c r="AC194" s="18">
        <f t="shared" si="50"/>
        <v>0</v>
      </c>
      <c r="AD194" s="18"/>
      <c r="AE194" s="19">
        <f t="shared" si="45"/>
        <v>0</v>
      </c>
      <c r="AF194" s="18">
        <f t="shared" si="46"/>
        <v>0</v>
      </c>
    </row>
    <row r="195" spans="3:32" x14ac:dyDescent="0.25">
      <c r="C195" s="3" t="s">
        <v>216</v>
      </c>
      <c r="D195" s="6" t="s">
        <v>7</v>
      </c>
      <c r="E195" s="6">
        <v>1</v>
      </c>
      <c r="F195" s="9">
        <v>5500</v>
      </c>
      <c r="G195" s="9">
        <v>0</v>
      </c>
      <c r="H195" s="9">
        <f t="shared" si="47"/>
        <v>5500</v>
      </c>
      <c r="I195" s="9">
        <v>6000</v>
      </c>
      <c r="J195" s="9">
        <v>0</v>
      </c>
      <c r="K195" s="9">
        <f t="shared" si="37"/>
        <v>6000</v>
      </c>
      <c r="L195" s="9">
        <v>0</v>
      </c>
      <c r="M195" s="9">
        <v>0</v>
      </c>
      <c r="N195" s="9">
        <f t="shared" si="38"/>
        <v>0</v>
      </c>
      <c r="O195" s="11"/>
      <c r="P195" s="12">
        <f t="shared" si="39"/>
        <v>0</v>
      </c>
      <c r="Q195" s="12">
        <f t="shared" si="40"/>
        <v>0</v>
      </c>
      <c r="R195" s="11"/>
      <c r="S195" s="12">
        <f t="shared" si="41"/>
        <v>0</v>
      </c>
      <c r="T195" s="12">
        <f t="shared" si="42"/>
        <v>0</v>
      </c>
      <c r="U195" s="11"/>
      <c r="V195" s="11"/>
      <c r="W195" s="11"/>
      <c r="X195" s="18"/>
      <c r="Y195" s="19">
        <v>0</v>
      </c>
      <c r="Z195" s="18">
        <v>0</v>
      </c>
      <c r="AA195" s="18"/>
      <c r="AB195" s="19">
        <f t="shared" si="49"/>
        <v>0</v>
      </c>
      <c r="AC195" s="18">
        <f t="shared" si="50"/>
        <v>0</v>
      </c>
      <c r="AD195" s="18"/>
      <c r="AE195" s="19">
        <f t="shared" si="45"/>
        <v>0</v>
      </c>
      <c r="AF195" s="18">
        <f t="shared" si="46"/>
        <v>0</v>
      </c>
    </row>
    <row r="196" spans="3:32" x14ac:dyDescent="0.25">
      <c r="C196" s="3" t="s">
        <v>217</v>
      </c>
      <c r="D196" s="6" t="s">
        <v>7</v>
      </c>
      <c r="E196" s="6">
        <v>1</v>
      </c>
      <c r="F196" s="9">
        <v>10000</v>
      </c>
      <c r="G196" s="9">
        <v>0</v>
      </c>
      <c r="H196" s="9">
        <f t="shared" si="47"/>
        <v>10000</v>
      </c>
      <c r="I196" s="9">
        <v>9500</v>
      </c>
      <c r="J196" s="9">
        <v>0</v>
      </c>
      <c r="K196" s="9">
        <f t="shared" si="37"/>
        <v>9500</v>
      </c>
      <c r="L196" s="9">
        <v>0</v>
      </c>
      <c r="M196" s="9">
        <v>0</v>
      </c>
      <c r="N196" s="9">
        <f t="shared" si="38"/>
        <v>0</v>
      </c>
      <c r="O196" s="11"/>
      <c r="P196" s="12">
        <f t="shared" si="39"/>
        <v>0</v>
      </c>
      <c r="Q196" s="12">
        <f t="shared" si="40"/>
        <v>0</v>
      </c>
      <c r="R196" s="10"/>
      <c r="S196" s="10">
        <f t="shared" si="41"/>
        <v>0</v>
      </c>
      <c r="T196" s="10">
        <f t="shared" si="42"/>
        <v>0</v>
      </c>
      <c r="U196" s="11"/>
      <c r="V196" s="11"/>
      <c r="W196" s="11"/>
      <c r="X196" s="18"/>
      <c r="Y196" s="19">
        <v>0</v>
      </c>
      <c r="Z196" s="18">
        <v>0</v>
      </c>
      <c r="AA196" s="18"/>
      <c r="AB196" s="19">
        <f t="shared" si="49"/>
        <v>0</v>
      </c>
      <c r="AC196" s="18">
        <f t="shared" si="50"/>
        <v>0</v>
      </c>
      <c r="AD196" s="18"/>
      <c r="AE196" s="19">
        <f t="shared" si="45"/>
        <v>0</v>
      </c>
      <c r="AF196" s="18">
        <f t="shared" si="46"/>
        <v>0</v>
      </c>
    </row>
    <row r="197" spans="3:32" x14ac:dyDescent="0.25">
      <c r="C197" s="3" t="s">
        <v>219</v>
      </c>
      <c r="D197" s="6" t="s">
        <v>7</v>
      </c>
      <c r="E197" s="6">
        <v>1</v>
      </c>
      <c r="F197" s="9"/>
      <c r="G197" s="9"/>
      <c r="H197" s="9"/>
      <c r="I197" s="9"/>
      <c r="J197" s="9">
        <v>0</v>
      </c>
      <c r="K197" s="9"/>
      <c r="L197" s="9">
        <v>23000</v>
      </c>
      <c r="M197" s="9">
        <v>0</v>
      </c>
      <c r="N197" s="9">
        <f t="shared" si="38"/>
        <v>23000</v>
      </c>
      <c r="O197" s="11"/>
      <c r="P197" s="12">
        <f t="shared" si="39"/>
        <v>0</v>
      </c>
      <c r="Q197" s="12">
        <f t="shared" si="40"/>
        <v>0</v>
      </c>
      <c r="R197" s="11"/>
      <c r="S197" s="12">
        <f t="shared" si="41"/>
        <v>0</v>
      </c>
      <c r="T197" s="12">
        <f t="shared" si="42"/>
        <v>0</v>
      </c>
      <c r="U197" s="11"/>
      <c r="V197" s="11"/>
      <c r="W197" s="11"/>
      <c r="X197" s="18"/>
      <c r="Y197" s="19">
        <v>0</v>
      </c>
      <c r="Z197" s="18">
        <v>0</v>
      </c>
      <c r="AA197" s="18"/>
      <c r="AB197" s="19">
        <f t="shared" si="49"/>
        <v>0</v>
      </c>
      <c r="AC197" s="18">
        <f t="shared" si="50"/>
        <v>0</v>
      </c>
      <c r="AD197" s="18"/>
      <c r="AE197" s="19">
        <f t="shared" si="45"/>
        <v>0</v>
      </c>
      <c r="AF197" s="18">
        <f t="shared" si="46"/>
        <v>0</v>
      </c>
    </row>
    <row r="198" spans="3:32" x14ac:dyDescent="0.25">
      <c r="C198" s="3" t="s">
        <v>220</v>
      </c>
      <c r="D198" s="6" t="s">
        <v>7</v>
      </c>
      <c r="E198" s="6">
        <v>1</v>
      </c>
      <c r="F198" s="9"/>
      <c r="G198" s="9"/>
      <c r="H198" s="9"/>
      <c r="I198" s="9"/>
      <c r="J198" s="9"/>
      <c r="K198" s="9"/>
      <c r="L198" s="9">
        <v>258398</v>
      </c>
      <c r="M198" s="9">
        <v>0</v>
      </c>
      <c r="N198" s="9">
        <f t="shared" ref="N198" si="51">+L198</f>
        <v>258398</v>
      </c>
      <c r="O198" s="11"/>
      <c r="P198" s="12">
        <f t="shared" si="39"/>
        <v>0</v>
      </c>
      <c r="Q198" s="12">
        <f t="shared" si="40"/>
        <v>0</v>
      </c>
      <c r="R198" s="11"/>
      <c r="S198" s="12">
        <f t="shared" si="41"/>
        <v>0</v>
      </c>
      <c r="T198" s="12">
        <f t="shared" si="42"/>
        <v>0</v>
      </c>
      <c r="U198" s="11"/>
      <c r="V198" s="11"/>
      <c r="W198" s="11"/>
      <c r="X198" s="18"/>
      <c r="Y198" s="19">
        <v>0</v>
      </c>
      <c r="Z198" s="18">
        <v>0</v>
      </c>
      <c r="AA198" s="18"/>
      <c r="AB198" s="19">
        <f t="shared" si="49"/>
        <v>0</v>
      </c>
      <c r="AC198" s="18">
        <f t="shared" si="50"/>
        <v>0</v>
      </c>
      <c r="AD198" s="18"/>
      <c r="AE198" s="19">
        <f t="shared" si="45"/>
        <v>0</v>
      </c>
      <c r="AF198" s="18">
        <f t="shared" si="46"/>
        <v>0</v>
      </c>
    </row>
    <row r="199" spans="3:32" x14ac:dyDescent="0.25">
      <c r="C199" s="3" t="s">
        <v>221</v>
      </c>
      <c r="D199" s="6" t="s">
        <v>7</v>
      </c>
      <c r="E199" s="6">
        <v>1</v>
      </c>
      <c r="F199" s="9"/>
      <c r="G199" s="9"/>
      <c r="H199" s="9"/>
      <c r="I199" s="9"/>
      <c r="J199" s="9"/>
      <c r="K199" s="9"/>
      <c r="L199" s="9">
        <v>8500</v>
      </c>
      <c r="M199" s="9">
        <v>0</v>
      </c>
      <c r="N199" s="9">
        <f t="shared" ref="N199" si="52">+L199</f>
        <v>8500</v>
      </c>
      <c r="O199" s="11"/>
      <c r="P199" s="12">
        <f t="shared" ref="P199:P208" si="53">O199*19%</f>
        <v>0</v>
      </c>
      <c r="Q199" s="12">
        <f t="shared" ref="Q199:Q203" si="54">O199+P199</f>
        <v>0</v>
      </c>
      <c r="R199" s="11"/>
      <c r="S199" s="12">
        <f t="shared" si="41"/>
        <v>0</v>
      </c>
      <c r="T199" s="12">
        <f t="shared" si="42"/>
        <v>0</v>
      </c>
      <c r="U199" s="11"/>
      <c r="V199" s="11"/>
      <c r="W199" s="11"/>
      <c r="X199" s="18"/>
      <c r="Y199" s="19">
        <v>0</v>
      </c>
      <c r="Z199" s="18">
        <v>0</v>
      </c>
      <c r="AA199" s="18"/>
      <c r="AB199" s="19">
        <f t="shared" si="49"/>
        <v>0</v>
      </c>
      <c r="AC199" s="18">
        <f t="shared" si="50"/>
        <v>0</v>
      </c>
      <c r="AD199" s="18"/>
      <c r="AE199" s="19">
        <f t="shared" si="45"/>
        <v>0</v>
      </c>
      <c r="AF199" s="18">
        <f t="shared" si="46"/>
        <v>0</v>
      </c>
    </row>
    <row r="200" spans="3:32" x14ac:dyDescent="0.25">
      <c r="C200" s="3" t="s">
        <v>223</v>
      </c>
      <c r="D200" s="6" t="s">
        <v>21</v>
      </c>
      <c r="E200" s="6">
        <v>1</v>
      </c>
      <c r="F200" s="9"/>
      <c r="G200" s="9"/>
      <c r="H200" s="9"/>
      <c r="I200" s="9"/>
      <c r="J200" s="9"/>
      <c r="K200" s="9"/>
      <c r="L200" s="9"/>
      <c r="M200" s="9"/>
      <c r="N200" s="9"/>
      <c r="O200" s="11"/>
      <c r="P200" s="12">
        <f t="shared" si="53"/>
        <v>0</v>
      </c>
      <c r="Q200" s="12">
        <f t="shared" si="54"/>
        <v>0</v>
      </c>
      <c r="R200" s="11"/>
      <c r="S200" s="12">
        <f t="shared" si="41"/>
        <v>0</v>
      </c>
      <c r="T200" s="12">
        <f t="shared" si="42"/>
        <v>0</v>
      </c>
      <c r="U200" s="11"/>
      <c r="V200" s="11"/>
      <c r="W200" s="11"/>
      <c r="X200" s="18"/>
      <c r="Y200" s="19">
        <v>0</v>
      </c>
      <c r="Z200" s="18">
        <v>0</v>
      </c>
      <c r="AA200" s="18">
        <v>64774</v>
      </c>
      <c r="AB200" s="19">
        <f>AA200*19%</f>
        <v>12307.06</v>
      </c>
      <c r="AC200" s="18">
        <f>+AA200+AB200</f>
        <v>77081.06</v>
      </c>
      <c r="AD200" s="18"/>
      <c r="AE200" s="19">
        <f t="shared" si="45"/>
        <v>0</v>
      </c>
      <c r="AF200" s="18">
        <f t="shared" si="46"/>
        <v>0</v>
      </c>
    </row>
    <row r="201" spans="3:32" x14ac:dyDescent="0.25">
      <c r="C201" s="3" t="s">
        <v>224</v>
      </c>
      <c r="D201" s="6" t="s">
        <v>7</v>
      </c>
      <c r="E201" s="6">
        <v>1</v>
      </c>
      <c r="F201" s="9"/>
      <c r="G201" s="9"/>
      <c r="H201" s="9"/>
      <c r="I201" s="9"/>
      <c r="J201" s="9"/>
      <c r="K201" s="9"/>
      <c r="L201" s="9"/>
      <c r="M201" s="9"/>
      <c r="N201" s="9"/>
      <c r="O201" s="11"/>
      <c r="P201" s="12">
        <f t="shared" si="53"/>
        <v>0</v>
      </c>
      <c r="Q201" s="12">
        <f t="shared" si="54"/>
        <v>0</v>
      </c>
      <c r="R201" s="11"/>
      <c r="S201" s="12">
        <f t="shared" ref="S201:S211" si="55">R201*19%</f>
        <v>0</v>
      </c>
      <c r="T201" s="12">
        <f t="shared" ref="T201:T211" si="56">R201+S201</f>
        <v>0</v>
      </c>
      <c r="U201" s="11"/>
      <c r="V201" s="11"/>
      <c r="W201" s="11"/>
      <c r="X201" s="18"/>
      <c r="Y201" s="19">
        <v>0</v>
      </c>
      <c r="Z201" s="18">
        <v>0</v>
      </c>
      <c r="AA201" s="18">
        <v>47202</v>
      </c>
      <c r="AB201" s="19">
        <f t="shared" ref="AB201:AB203" si="57">AA201*19%</f>
        <v>8968.3799999999992</v>
      </c>
      <c r="AC201" s="18">
        <f t="shared" ref="AC201:AC203" si="58">+AA201+AB201</f>
        <v>56170.38</v>
      </c>
      <c r="AD201" s="18"/>
      <c r="AE201" s="19">
        <f t="shared" ref="AE201:AE211" si="59">AD201*19%</f>
        <v>0</v>
      </c>
      <c r="AF201" s="18">
        <f t="shared" ref="AF201:AF211" si="60">AD201+AE201</f>
        <v>0</v>
      </c>
    </row>
    <row r="202" spans="3:32" x14ac:dyDescent="0.25">
      <c r="C202" s="3" t="s">
        <v>225</v>
      </c>
      <c r="D202" s="6" t="s">
        <v>227</v>
      </c>
      <c r="E202" s="6">
        <v>1</v>
      </c>
      <c r="F202" s="9"/>
      <c r="G202" s="9"/>
      <c r="H202" s="9"/>
      <c r="I202" s="9"/>
      <c r="J202" s="9"/>
      <c r="K202" s="9"/>
      <c r="L202" s="9"/>
      <c r="M202" s="9"/>
      <c r="N202" s="9"/>
      <c r="O202" s="11"/>
      <c r="P202" s="12">
        <f t="shared" si="53"/>
        <v>0</v>
      </c>
      <c r="Q202" s="12">
        <f t="shared" si="54"/>
        <v>0</v>
      </c>
      <c r="R202" s="11"/>
      <c r="S202" s="12">
        <f t="shared" si="55"/>
        <v>0</v>
      </c>
      <c r="T202" s="12">
        <f t="shared" si="56"/>
        <v>0</v>
      </c>
      <c r="U202" s="11"/>
      <c r="V202" s="11"/>
      <c r="W202" s="11"/>
      <c r="X202" s="18"/>
      <c r="Y202" s="19">
        <v>0</v>
      </c>
      <c r="Z202" s="18">
        <v>0</v>
      </c>
      <c r="AA202" s="18">
        <v>308059</v>
      </c>
      <c r="AB202" s="19">
        <f t="shared" si="57"/>
        <v>58531.21</v>
      </c>
      <c r="AC202" s="18">
        <f t="shared" si="58"/>
        <v>366590.21</v>
      </c>
      <c r="AD202" s="18"/>
      <c r="AE202" s="19">
        <f t="shared" si="59"/>
        <v>0</v>
      </c>
      <c r="AF202" s="18">
        <f t="shared" si="60"/>
        <v>0</v>
      </c>
    </row>
    <row r="203" spans="3:32" x14ac:dyDescent="0.25">
      <c r="C203" s="3" t="s">
        <v>226</v>
      </c>
      <c r="D203" s="6" t="s">
        <v>53</v>
      </c>
      <c r="E203" s="6">
        <v>1</v>
      </c>
      <c r="F203" s="9"/>
      <c r="G203" s="9"/>
      <c r="H203" s="9"/>
      <c r="I203" s="9"/>
      <c r="J203" s="9"/>
      <c r="K203" s="9"/>
      <c r="L203" s="9"/>
      <c r="M203" s="9"/>
      <c r="N203" s="9"/>
      <c r="O203" s="11"/>
      <c r="P203" s="12">
        <f t="shared" si="53"/>
        <v>0</v>
      </c>
      <c r="Q203" s="12">
        <f t="shared" si="54"/>
        <v>0</v>
      </c>
      <c r="R203" s="10"/>
      <c r="S203" s="10">
        <f t="shared" si="55"/>
        <v>0</v>
      </c>
      <c r="T203" s="10">
        <f t="shared" si="56"/>
        <v>0</v>
      </c>
      <c r="U203" s="11"/>
      <c r="V203" s="11"/>
      <c r="W203" s="11"/>
      <c r="X203" s="18"/>
      <c r="Y203" s="19">
        <v>0</v>
      </c>
      <c r="Z203" s="18">
        <v>0</v>
      </c>
      <c r="AA203" s="18">
        <v>27597</v>
      </c>
      <c r="AB203" s="19">
        <f t="shared" si="57"/>
        <v>5243.43</v>
      </c>
      <c r="AC203" s="18">
        <f t="shared" si="58"/>
        <v>32840.43</v>
      </c>
      <c r="AD203" s="18"/>
      <c r="AE203" s="19">
        <f t="shared" si="59"/>
        <v>0</v>
      </c>
      <c r="AF203" s="18">
        <f t="shared" si="60"/>
        <v>0</v>
      </c>
    </row>
    <row r="204" spans="3:32" x14ac:dyDescent="0.25">
      <c r="C204" s="3" t="s">
        <v>214</v>
      </c>
      <c r="D204" s="6" t="s">
        <v>18</v>
      </c>
      <c r="E204" s="6">
        <v>1</v>
      </c>
      <c r="F204" s="9"/>
      <c r="G204" s="9"/>
      <c r="H204" s="9"/>
      <c r="I204" s="9"/>
      <c r="J204" s="9"/>
      <c r="K204" s="9"/>
      <c r="L204" s="9"/>
      <c r="M204" s="9"/>
      <c r="N204" s="9"/>
      <c r="O204" s="11">
        <f>82200/1.19</f>
        <v>69075.630252100847</v>
      </c>
      <c r="P204" s="12">
        <f t="shared" si="53"/>
        <v>13124.369747899162</v>
      </c>
      <c r="Q204" s="12">
        <f t="shared" ref="Q204" si="61">O204+P204</f>
        <v>82200.000000000015</v>
      </c>
      <c r="R204" s="11"/>
      <c r="S204" s="12">
        <f t="shared" si="55"/>
        <v>0</v>
      </c>
      <c r="T204" s="12">
        <f t="shared" si="56"/>
        <v>0</v>
      </c>
      <c r="U204" s="11"/>
      <c r="V204" s="11"/>
      <c r="W204" s="11"/>
      <c r="X204" s="18"/>
      <c r="Y204" s="19">
        <v>0</v>
      </c>
      <c r="Z204" s="18">
        <v>0</v>
      </c>
      <c r="AA204" s="18"/>
      <c r="AB204" s="19"/>
      <c r="AC204" s="18"/>
      <c r="AD204" s="18"/>
      <c r="AE204" s="19">
        <f t="shared" si="59"/>
        <v>0</v>
      </c>
      <c r="AF204" s="18">
        <f t="shared" si="60"/>
        <v>0</v>
      </c>
    </row>
    <row r="205" spans="3:32" x14ac:dyDescent="0.25">
      <c r="C205" s="3" t="s">
        <v>229</v>
      </c>
      <c r="D205" s="6" t="s">
        <v>7</v>
      </c>
      <c r="E205" s="6">
        <v>1</v>
      </c>
      <c r="F205" s="9"/>
      <c r="G205" s="9"/>
      <c r="H205" s="9"/>
      <c r="I205" s="9"/>
      <c r="J205" s="9"/>
      <c r="K205" s="9"/>
      <c r="L205" s="9"/>
      <c r="M205" s="9"/>
      <c r="N205" s="9"/>
      <c r="O205" s="11">
        <f>33250/1.19</f>
        <v>27941.176470588238</v>
      </c>
      <c r="P205" s="12">
        <f t="shared" si="53"/>
        <v>5308.8235294117649</v>
      </c>
      <c r="Q205" s="12">
        <f t="shared" ref="Q205" si="62">O205+P205</f>
        <v>33250</v>
      </c>
      <c r="R205" s="11"/>
      <c r="S205" s="12">
        <f t="shared" si="55"/>
        <v>0</v>
      </c>
      <c r="T205" s="12">
        <f t="shared" si="56"/>
        <v>0</v>
      </c>
      <c r="U205" s="11"/>
      <c r="V205" s="11"/>
      <c r="W205" s="11"/>
      <c r="X205" s="18"/>
      <c r="Y205" s="19">
        <v>0</v>
      </c>
      <c r="Z205" s="18">
        <v>0</v>
      </c>
      <c r="AA205" s="18"/>
      <c r="AB205" s="19"/>
      <c r="AC205" s="18"/>
      <c r="AD205" s="18"/>
      <c r="AE205" s="19">
        <f t="shared" si="59"/>
        <v>0</v>
      </c>
      <c r="AF205" s="18">
        <f t="shared" si="60"/>
        <v>0</v>
      </c>
    </row>
    <row r="206" spans="3:32" x14ac:dyDescent="0.25">
      <c r="C206" s="3" t="s">
        <v>230</v>
      </c>
      <c r="D206" s="6" t="s">
        <v>7</v>
      </c>
      <c r="E206" s="6">
        <v>1</v>
      </c>
      <c r="F206" s="9"/>
      <c r="G206" s="9"/>
      <c r="H206" s="9"/>
      <c r="I206" s="9"/>
      <c r="J206" s="9"/>
      <c r="K206" s="9"/>
      <c r="L206" s="9"/>
      <c r="M206" s="9"/>
      <c r="N206" s="9"/>
      <c r="O206" s="11">
        <f>33155/1.19</f>
        <v>27861.344537815126</v>
      </c>
      <c r="P206" s="12">
        <f t="shared" si="53"/>
        <v>5293.6554621848745</v>
      </c>
      <c r="Q206" s="12">
        <f t="shared" ref="Q206" si="63">O206+P206</f>
        <v>33155</v>
      </c>
      <c r="R206" s="11"/>
      <c r="S206" s="12">
        <f t="shared" si="55"/>
        <v>0</v>
      </c>
      <c r="T206" s="12">
        <f t="shared" si="56"/>
        <v>0</v>
      </c>
      <c r="U206" s="11"/>
      <c r="V206" s="11"/>
      <c r="W206" s="11"/>
      <c r="X206" s="18"/>
      <c r="Y206" s="19">
        <v>0</v>
      </c>
      <c r="Z206" s="18">
        <v>0</v>
      </c>
      <c r="AA206" s="18"/>
      <c r="AB206" s="19"/>
      <c r="AC206" s="18"/>
      <c r="AD206" s="18"/>
      <c r="AE206" s="19">
        <f t="shared" si="59"/>
        <v>0</v>
      </c>
      <c r="AF206" s="18">
        <f t="shared" si="60"/>
        <v>0</v>
      </c>
    </row>
    <row r="207" spans="3:32" x14ac:dyDescent="0.25">
      <c r="C207" s="3" t="s">
        <v>232</v>
      </c>
      <c r="D207" s="6" t="s">
        <v>231</v>
      </c>
      <c r="E207" s="6">
        <v>1</v>
      </c>
      <c r="F207" s="9"/>
      <c r="G207" s="9"/>
      <c r="H207" s="9"/>
      <c r="I207" s="9"/>
      <c r="J207" s="9"/>
      <c r="K207" s="9"/>
      <c r="L207" s="9"/>
      <c r="M207" s="9"/>
      <c r="N207" s="9"/>
      <c r="O207" s="11">
        <f>66404/1.19</f>
        <v>55801.680672268907</v>
      </c>
      <c r="P207" s="12">
        <f t="shared" si="53"/>
        <v>10602.319327731093</v>
      </c>
      <c r="Q207" s="12">
        <f t="shared" ref="Q207" si="64">O207+P207</f>
        <v>66404</v>
      </c>
      <c r="R207" s="11"/>
      <c r="S207" s="12">
        <f t="shared" si="55"/>
        <v>0</v>
      </c>
      <c r="T207" s="12">
        <f t="shared" si="56"/>
        <v>0</v>
      </c>
      <c r="U207" s="11"/>
      <c r="V207" s="11"/>
      <c r="W207" s="11"/>
      <c r="X207" s="18"/>
      <c r="Y207" s="19">
        <v>0</v>
      </c>
      <c r="Z207" s="18">
        <v>0</v>
      </c>
      <c r="AA207" s="18"/>
      <c r="AB207" s="19"/>
      <c r="AC207" s="18"/>
      <c r="AD207" s="18"/>
      <c r="AE207" s="19">
        <f t="shared" si="59"/>
        <v>0</v>
      </c>
      <c r="AF207" s="18">
        <f t="shared" si="60"/>
        <v>0</v>
      </c>
    </row>
    <row r="208" spans="3:32" x14ac:dyDescent="0.25">
      <c r="C208" s="3" t="s">
        <v>233</v>
      </c>
      <c r="D208" s="6" t="s">
        <v>20</v>
      </c>
      <c r="E208" s="6">
        <v>1</v>
      </c>
      <c r="F208" s="9"/>
      <c r="G208" s="9"/>
      <c r="H208" s="9"/>
      <c r="I208" s="9"/>
      <c r="J208" s="9"/>
      <c r="K208" s="9"/>
      <c r="L208" s="9"/>
      <c r="M208" s="9"/>
      <c r="N208" s="9"/>
      <c r="O208" s="11">
        <f>386900/1.19</f>
        <v>325126.05042016809</v>
      </c>
      <c r="P208" s="12">
        <f t="shared" si="53"/>
        <v>61773.94957983194</v>
      </c>
      <c r="Q208" s="12">
        <f t="shared" ref="Q208" si="65">O208+P208</f>
        <v>386900</v>
      </c>
      <c r="R208" s="11"/>
      <c r="S208" s="12">
        <f t="shared" si="55"/>
        <v>0</v>
      </c>
      <c r="T208" s="12">
        <f t="shared" si="56"/>
        <v>0</v>
      </c>
      <c r="U208" s="11"/>
      <c r="V208" s="11"/>
      <c r="W208" s="11"/>
      <c r="X208" s="18"/>
      <c r="Y208" s="19">
        <v>0</v>
      </c>
      <c r="Z208" s="18">
        <v>0</v>
      </c>
      <c r="AA208" s="18"/>
      <c r="AB208" s="19"/>
      <c r="AC208" s="18"/>
      <c r="AD208" s="18"/>
      <c r="AE208" s="19">
        <f t="shared" si="59"/>
        <v>0</v>
      </c>
      <c r="AF208" s="18">
        <f t="shared" si="60"/>
        <v>0</v>
      </c>
    </row>
    <row r="209" spans="3:32" x14ac:dyDescent="0.25">
      <c r="C209" s="3" t="s">
        <v>42</v>
      </c>
      <c r="D209" s="6" t="s">
        <v>234</v>
      </c>
      <c r="E209" s="6">
        <v>1</v>
      </c>
      <c r="F209" s="9"/>
      <c r="G209" s="9"/>
      <c r="H209" s="9"/>
      <c r="I209" s="9"/>
      <c r="J209" s="9"/>
      <c r="K209" s="9"/>
      <c r="L209" s="9"/>
      <c r="M209" s="9"/>
      <c r="N209" s="9"/>
      <c r="O209" s="11"/>
      <c r="P209" s="12"/>
      <c r="Q209" s="12"/>
      <c r="R209" s="11">
        <v>170000</v>
      </c>
      <c r="S209" s="12">
        <f t="shared" si="55"/>
        <v>32300</v>
      </c>
      <c r="T209" s="12">
        <f t="shared" si="56"/>
        <v>202300</v>
      </c>
      <c r="U209" s="11"/>
      <c r="V209" s="11"/>
      <c r="W209" s="11"/>
      <c r="X209" s="18">
        <v>170000</v>
      </c>
      <c r="Y209" s="19">
        <v>32300</v>
      </c>
      <c r="Z209" s="18">
        <v>202300</v>
      </c>
      <c r="AA209" s="18"/>
      <c r="AB209" s="19"/>
      <c r="AC209" s="18"/>
      <c r="AD209" s="18"/>
      <c r="AE209" s="19">
        <f t="shared" si="59"/>
        <v>0</v>
      </c>
      <c r="AF209" s="18">
        <f t="shared" si="60"/>
        <v>0</v>
      </c>
    </row>
    <row r="210" spans="3:32" x14ac:dyDescent="0.25">
      <c r="C210" s="3" t="s">
        <v>235</v>
      </c>
      <c r="D210" s="6" t="s">
        <v>7</v>
      </c>
      <c r="E210" s="6">
        <v>1</v>
      </c>
      <c r="F210" s="9"/>
      <c r="G210" s="9"/>
      <c r="H210" s="9"/>
      <c r="I210" s="9"/>
      <c r="J210" s="9"/>
      <c r="K210" s="9"/>
      <c r="L210" s="9"/>
      <c r="M210" s="9"/>
      <c r="N210" s="9"/>
      <c r="O210" s="11"/>
      <c r="P210" s="12"/>
      <c r="Q210" s="12"/>
      <c r="R210" s="11"/>
      <c r="S210" s="12">
        <f t="shared" si="55"/>
        <v>0</v>
      </c>
      <c r="T210" s="12">
        <f t="shared" si="56"/>
        <v>0</v>
      </c>
      <c r="U210" s="11"/>
      <c r="V210" s="11"/>
      <c r="W210" s="11"/>
      <c r="X210" s="18"/>
      <c r="Y210" s="19">
        <v>0</v>
      </c>
      <c r="Z210" s="18">
        <v>0</v>
      </c>
      <c r="AA210" s="18"/>
      <c r="AB210" s="19"/>
      <c r="AC210" s="18"/>
      <c r="AD210" s="18">
        <v>3590</v>
      </c>
      <c r="AE210" s="19">
        <f t="shared" si="59"/>
        <v>682.1</v>
      </c>
      <c r="AF210" s="18">
        <f t="shared" si="60"/>
        <v>4272.1000000000004</v>
      </c>
    </row>
    <row r="211" spans="3:32" x14ac:dyDescent="0.25">
      <c r="C211" s="3" t="s">
        <v>237</v>
      </c>
      <c r="D211" s="6" t="s">
        <v>7</v>
      </c>
      <c r="E211" s="6">
        <v>1</v>
      </c>
      <c r="F211" s="9"/>
      <c r="G211" s="9"/>
      <c r="H211" s="9"/>
      <c r="I211" s="9"/>
      <c r="J211" s="9"/>
      <c r="K211" s="9"/>
      <c r="L211" s="9"/>
      <c r="M211" s="9"/>
      <c r="N211" s="9"/>
      <c r="O211" s="11"/>
      <c r="P211" s="12"/>
      <c r="Q211" s="12"/>
      <c r="R211" s="11">
        <v>0</v>
      </c>
      <c r="S211" s="12">
        <f t="shared" si="55"/>
        <v>0</v>
      </c>
      <c r="T211" s="12">
        <f t="shared" si="56"/>
        <v>0</v>
      </c>
      <c r="U211" s="11"/>
      <c r="V211" s="11"/>
      <c r="W211" s="11"/>
      <c r="X211" s="18">
        <v>0</v>
      </c>
      <c r="Y211" s="19">
        <v>0</v>
      </c>
      <c r="Z211" s="18">
        <v>0</v>
      </c>
      <c r="AA211" s="18"/>
      <c r="AB211" s="19"/>
      <c r="AC211" s="18"/>
      <c r="AD211" s="18">
        <v>23850</v>
      </c>
      <c r="AE211" s="19">
        <f t="shared" si="59"/>
        <v>4531.5</v>
      </c>
      <c r="AF211" s="18">
        <f t="shared" si="60"/>
        <v>28381.5</v>
      </c>
    </row>
    <row r="212" spans="3:32" x14ac:dyDescent="0.25">
      <c r="R212" s="5"/>
      <c r="S212" s="5"/>
      <c r="T212" s="5"/>
    </row>
    <row r="213" spans="3:32" x14ac:dyDescent="0.25">
      <c r="R213" s="5"/>
      <c r="S213" s="5"/>
      <c r="T213" s="5"/>
    </row>
    <row r="214" spans="3:32" x14ac:dyDescent="0.25">
      <c r="R214" s="5"/>
      <c r="S214" s="5"/>
      <c r="T214" s="5"/>
    </row>
    <row r="215" spans="3:32" x14ac:dyDescent="0.25">
      <c r="R215" s="5"/>
      <c r="S215" s="5"/>
      <c r="T215" s="5"/>
    </row>
    <row r="216" spans="3:32" x14ac:dyDescent="0.25">
      <c r="R216" s="5"/>
      <c r="S216" s="5"/>
      <c r="T216" s="5"/>
    </row>
    <row r="217" spans="3:32" x14ac:dyDescent="0.25">
      <c r="R217" s="5"/>
      <c r="S217" s="5"/>
      <c r="T217" s="5"/>
    </row>
    <row r="218" spans="3:32" x14ac:dyDescent="0.25">
      <c r="R218" s="5"/>
      <c r="S218" s="5"/>
      <c r="T218" s="5"/>
    </row>
    <row r="219" spans="3:32" x14ac:dyDescent="0.25">
      <c r="R219" s="5"/>
      <c r="S219" s="5"/>
      <c r="T219" s="5"/>
    </row>
    <row r="220" spans="3:32" x14ac:dyDescent="0.25">
      <c r="R220" s="5"/>
      <c r="S220" s="5"/>
      <c r="T220" s="5"/>
    </row>
    <row r="221" spans="3:32" x14ac:dyDescent="0.25">
      <c r="R221" s="5"/>
      <c r="S221" s="5"/>
      <c r="T221" s="5"/>
    </row>
    <row r="222" spans="3:32" x14ac:dyDescent="0.25">
      <c r="R222" s="5"/>
      <c r="S222" s="5"/>
      <c r="T222" s="5"/>
    </row>
    <row r="223" spans="3:32" x14ac:dyDescent="0.25">
      <c r="R223" s="5"/>
      <c r="S223" s="5"/>
      <c r="T223" s="5"/>
    </row>
    <row r="224" spans="3:32" x14ac:dyDescent="0.25">
      <c r="R224" s="5"/>
      <c r="S224" s="5"/>
      <c r="T224" s="5"/>
    </row>
    <row r="225" spans="18:20" x14ac:dyDescent="0.25">
      <c r="R225" s="5"/>
      <c r="S225" s="5"/>
      <c r="T225" s="5"/>
    </row>
    <row r="226" spans="18:20" x14ac:dyDescent="0.25">
      <c r="R226" s="5"/>
      <c r="S226" s="5"/>
      <c r="T226" s="5"/>
    </row>
    <row r="227" spans="18:20" x14ac:dyDescent="0.25">
      <c r="R227" s="5"/>
      <c r="S227" s="5"/>
      <c r="T227" s="5"/>
    </row>
    <row r="228" spans="18:20" x14ac:dyDescent="0.25">
      <c r="R228" s="5"/>
      <c r="S228" s="5"/>
      <c r="T228" s="5"/>
    </row>
    <row r="229" spans="18:20" x14ac:dyDescent="0.25">
      <c r="R229" s="5"/>
      <c r="S229" s="5"/>
      <c r="T229" s="5"/>
    </row>
    <row r="230" spans="18:20" x14ac:dyDescent="0.25">
      <c r="R230" s="5"/>
      <c r="S230" s="5"/>
      <c r="T230" s="5"/>
    </row>
    <row r="231" spans="18:20" x14ac:dyDescent="0.25">
      <c r="R231" s="5"/>
      <c r="S231" s="5"/>
      <c r="T231" s="5"/>
    </row>
    <row r="232" spans="18:20" x14ac:dyDescent="0.25">
      <c r="R232" s="5"/>
      <c r="S232" s="5"/>
      <c r="T232" s="5"/>
    </row>
    <row r="233" spans="18:20" x14ac:dyDescent="0.25">
      <c r="R233" s="5"/>
      <c r="S233" s="5"/>
      <c r="T233" s="5"/>
    </row>
    <row r="234" spans="18:20" x14ac:dyDescent="0.25">
      <c r="R234" s="5"/>
      <c r="S234" s="5"/>
      <c r="T234" s="5"/>
    </row>
    <row r="235" spans="18:20" x14ac:dyDescent="0.25">
      <c r="R235" s="5"/>
      <c r="S235" s="5"/>
      <c r="T235" s="5"/>
    </row>
    <row r="236" spans="18:20" x14ac:dyDescent="0.25">
      <c r="R236" s="5"/>
      <c r="S236" s="5"/>
      <c r="T236" s="5"/>
    </row>
    <row r="237" spans="18:20" x14ac:dyDescent="0.25">
      <c r="R237" s="5"/>
      <c r="S237" s="5"/>
      <c r="T237" s="5"/>
    </row>
    <row r="238" spans="18:20" x14ac:dyDescent="0.25">
      <c r="R238" s="5"/>
      <c r="S238" s="5"/>
      <c r="T238" s="5"/>
    </row>
    <row r="239" spans="18:20" x14ac:dyDescent="0.25">
      <c r="R239" s="5"/>
      <c r="S239" s="5"/>
      <c r="T239" s="5"/>
    </row>
    <row r="240" spans="18:20" x14ac:dyDescent="0.25">
      <c r="R240" s="5"/>
      <c r="S240" s="5"/>
      <c r="T240" s="5"/>
    </row>
    <row r="241" spans="18:20" x14ac:dyDescent="0.25">
      <c r="R241" s="5"/>
      <c r="S241" s="5"/>
      <c r="T241" s="5"/>
    </row>
    <row r="242" spans="18:20" x14ac:dyDescent="0.25">
      <c r="R242" s="5"/>
      <c r="S242" s="5"/>
      <c r="T242" s="5"/>
    </row>
    <row r="243" spans="18:20" x14ac:dyDescent="0.25">
      <c r="R243" s="5"/>
      <c r="S243" s="5"/>
      <c r="T243" s="5"/>
    </row>
    <row r="244" spans="18:20" x14ac:dyDescent="0.25">
      <c r="R244" s="5"/>
      <c r="S244" s="5"/>
      <c r="T244" s="5"/>
    </row>
    <row r="245" spans="18:20" x14ac:dyDescent="0.25">
      <c r="R245" s="5"/>
      <c r="S245" s="5"/>
      <c r="T245" s="5"/>
    </row>
    <row r="246" spans="18:20" x14ac:dyDescent="0.25">
      <c r="R246" s="5"/>
      <c r="S246" s="5"/>
      <c r="T246" s="5"/>
    </row>
    <row r="247" spans="18:20" x14ac:dyDescent="0.25">
      <c r="R247" s="5"/>
      <c r="S247" s="5"/>
      <c r="T247" s="5"/>
    </row>
    <row r="248" spans="18:20" x14ac:dyDescent="0.25">
      <c r="R248" s="5"/>
      <c r="S248" s="5"/>
      <c r="T248" s="5"/>
    </row>
    <row r="249" spans="18:20" x14ac:dyDescent="0.25">
      <c r="R249" s="5"/>
      <c r="S249" s="5"/>
      <c r="T249" s="5"/>
    </row>
    <row r="250" spans="18:20" x14ac:dyDescent="0.25">
      <c r="R250" s="5"/>
      <c r="S250" s="5"/>
      <c r="T250" s="5"/>
    </row>
    <row r="251" spans="18:20" x14ac:dyDescent="0.25">
      <c r="R251" s="5"/>
      <c r="S251" s="5"/>
      <c r="T251" s="5"/>
    </row>
    <row r="252" spans="18:20" x14ac:dyDescent="0.25">
      <c r="R252" s="5"/>
      <c r="S252" s="5"/>
      <c r="T252" s="5"/>
    </row>
    <row r="253" spans="18:20" x14ac:dyDescent="0.25">
      <c r="R253" s="5"/>
      <c r="S253" s="5"/>
      <c r="T253" s="5"/>
    </row>
    <row r="254" spans="18:20" x14ac:dyDescent="0.25">
      <c r="R254" s="5"/>
      <c r="S254" s="5"/>
      <c r="T254" s="5"/>
    </row>
    <row r="255" spans="18:20" x14ac:dyDescent="0.25">
      <c r="R255" s="5"/>
      <c r="S255" s="5"/>
      <c r="T255" s="5"/>
    </row>
    <row r="256" spans="18:20" x14ac:dyDescent="0.25">
      <c r="R256" s="5"/>
      <c r="S256" s="5"/>
      <c r="T256" s="5"/>
    </row>
    <row r="257" spans="18:20" x14ac:dyDescent="0.25">
      <c r="R257" s="5"/>
      <c r="S257" s="5"/>
      <c r="T257" s="5"/>
    </row>
    <row r="258" spans="18:20" x14ac:dyDescent="0.25">
      <c r="R258" s="5"/>
      <c r="S258" s="5"/>
      <c r="T258" s="5"/>
    </row>
    <row r="259" spans="18:20" x14ac:dyDescent="0.25">
      <c r="R259" s="5"/>
      <c r="S259" s="5"/>
      <c r="T259" s="5"/>
    </row>
    <row r="260" spans="18:20" x14ac:dyDescent="0.25">
      <c r="R260" s="5"/>
      <c r="S260" s="5"/>
      <c r="T260" s="5"/>
    </row>
    <row r="261" spans="18:20" x14ac:dyDescent="0.25">
      <c r="R261" s="5"/>
      <c r="S261" s="5"/>
      <c r="T261" s="5"/>
    </row>
    <row r="262" spans="18:20" x14ac:dyDescent="0.25">
      <c r="R262" s="5"/>
      <c r="S262" s="5"/>
      <c r="T262" s="5"/>
    </row>
    <row r="263" spans="18:20" x14ac:dyDescent="0.25">
      <c r="R263" s="5"/>
      <c r="S263" s="5"/>
      <c r="T263" s="5"/>
    </row>
    <row r="264" spans="18:20" x14ac:dyDescent="0.25">
      <c r="R264" s="5"/>
      <c r="S264" s="5"/>
      <c r="T264" s="5"/>
    </row>
    <row r="265" spans="18:20" x14ac:dyDescent="0.25">
      <c r="R265" s="5"/>
      <c r="S265" s="5"/>
      <c r="T265" s="5"/>
    </row>
    <row r="266" spans="18:20" x14ac:dyDescent="0.25">
      <c r="R266" s="5"/>
      <c r="S266" s="5"/>
      <c r="T266" s="5"/>
    </row>
    <row r="267" spans="18:20" x14ac:dyDescent="0.25">
      <c r="R267" s="5"/>
      <c r="S267" s="5"/>
      <c r="T267" s="5"/>
    </row>
    <row r="268" spans="18:20" x14ac:dyDescent="0.25">
      <c r="R268" s="5"/>
      <c r="S268" s="5"/>
      <c r="T268" s="5"/>
    </row>
    <row r="269" spans="18:20" x14ac:dyDescent="0.25">
      <c r="R269" s="5"/>
      <c r="S269" s="5"/>
      <c r="T269" s="5"/>
    </row>
    <row r="270" spans="18:20" x14ac:dyDescent="0.25">
      <c r="R270" s="5"/>
      <c r="S270" s="5"/>
      <c r="T270" s="5"/>
    </row>
    <row r="271" spans="18:20" x14ac:dyDescent="0.25">
      <c r="R271" s="5"/>
      <c r="S271" s="5"/>
      <c r="T271" s="5"/>
    </row>
    <row r="272" spans="18:20" x14ac:dyDescent="0.25">
      <c r="R272" s="5"/>
      <c r="S272" s="5"/>
      <c r="T272" s="5"/>
    </row>
    <row r="273" spans="18:20" x14ac:dyDescent="0.25">
      <c r="R273" s="5"/>
      <c r="S273" s="5"/>
      <c r="T273" s="5"/>
    </row>
    <row r="274" spans="18:20" x14ac:dyDescent="0.25">
      <c r="R274" s="5"/>
      <c r="S274" s="5"/>
      <c r="T274" s="5"/>
    </row>
    <row r="275" spans="18:20" x14ac:dyDescent="0.25">
      <c r="R275" s="5"/>
      <c r="S275" s="5"/>
      <c r="T275" s="5"/>
    </row>
    <row r="276" spans="18:20" x14ac:dyDescent="0.25">
      <c r="R276" s="5"/>
      <c r="S276" s="5"/>
      <c r="T276" s="5"/>
    </row>
    <row r="277" spans="18:20" x14ac:dyDescent="0.25">
      <c r="R277" s="5"/>
      <c r="S277" s="5"/>
      <c r="T277" s="5"/>
    </row>
    <row r="278" spans="18:20" x14ac:dyDescent="0.25">
      <c r="R278" s="5"/>
      <c r="S278" s="5"/>
      <c r="T278" s="5"/>
    </row>
    <row r="279" spans="18:20" x14ac:dyDescent="0.25">
      <c r="R279" s="5"/>
      <c r="S279" s="5"/>
      <c r="T279" s="5"/>
    </row>
    <row r="280" spans="18:20" x14ac:dyDescent="0.25">
      <c r="R280" s="5"/>
      <c r="S280" s="5"/>
      <c r="T280" s="5"/>
    </row>
    <row r="281" spans="18:20" x14ac:dyDescent="0.25">
      <c r="R281" s="5"/>
      <c r="S281" s="5"/>
      <c r="T281" s="5"/>
    </row>
    <row r="282" spans="18:20" x14ac:dyDescent="0.25">
      <c r="R282" s="5"/>
      <c r="S282" s="5"/>
      <c r="T282" s="5"/>
    </row>
    <row r="283" spans="18:20" x14ac:dyDescent="0.25">
      <c r="R283" s="5"/>
      <c r="S283" s="5"/>
      <c r="T283" s="5"/>
    </row>
    <row r="284" spans="18:20" x14ac:dyDescent="0.25">
      <c r="R284" s="5"/>
      <c r="S284" s="5"/>
      <c r="T284" s="5"/>
    </row>
    <row r="285" spans="18:20" x14ac:dyDescent="0.25">
      <c r="R285" s="5"/>
      <c r="S285" s="5"/>
      <c r="T285" s="5"/>
    </row>
    <row r="286" spans="18:20" x14ac:dyDescent="0.25">
      <c r="R286" s="5"/>
      <c r="S286" s="5"/>
      <c r="T286" s="5"/>
    </row>
    <row r="287" spans="18:20" x14ac:dyDescent="0.25">
      <c r="R287" s="5"/>
      <c r="S287" s="5"/>
      <c r="T287" s="5"/>
    </row>
    <row r="288" spans="18:20" x14ac:dyDescent="0.25">
      <c r="R288" s="5"/>
      <c r="S288" s="5"/>
      <c r="T288" s="5"/>
    </row>
    <row r="289" spans="18:20" x14ac:dyDescent="0.25">
      <c r="R289" s="5"/>
      <c r="S289" s="5"/>
      <c r="T289" s="5"/>
    </row>
    <row r="290" spans="18:20" x14ac:dyDescent="0.25">
      <c r="R290" s="5"/>
      <c r="S290" s="5"/>
      <c r="T290" s="5"/>
    </row>
    <row r="291" spans="18:20" x14ac:dyDescent="0.25">
      <c r="R291" s="5"/>
      <c r="S291" s="5"/>
      <c r="T291" s="5"/>
    </row>
    <row r="292" spans="18:20" x14ac:dyDescent="0.25">
      <c r="R292" s="5"/>
      <c r="S292" s="5"/>
      <c r="T292" s="5"/>
    </row>
    <row r="293" spans="18:20" x14ac:dyDescent="0.25">
      <c r="R293" s="5"/>
      <c r="S293" s="5"/>
      <c r="T293" s="5"/>
    </row>
    <row r="294" spans="18:20" x14ac:dyDescent="0.25">
      <c r="R294" s="5"/>
      <c r="S294" s="5"/>
      <c r="T294" s="5"/>
    </row>
    <row r="295" spans="18:20" x14ac:dyDescent="0.25">
      <c r="R295" s="5"/>
      <c r="S295" s="5"/>
      <c r="T295" s="5"/>
    </row>
    <row r="296" spans="18:20" x14ac:dyDescent="0.25">
      <c r="R296" s="5"/>
      <c r="S296" s="5"/>
      <c r="T296" s="5"/>
    </row>
    <row r="297" spans="18:20" x14ac:dyDescent="0.25">
      <c r="R297" s="5"/>
      <c r="S297" s="5"/>
      <c r="T297" s="5"/>
    </row>
    <row r="298" spans="18:20" x14ac:dyDescent="0.25">
      <c r="R298" s="5"/>
      <c r="S298" s="5"/>
      <c r="T298" s="5"/>
    </row>
    <row r="299" spans="18:20" x14ac:dyDescent="0.25">
      <c r="R299" s="5"/>
      <c r="S299" s="5"/>
      <c r="T299" s="5"/>
    </row>
    <row r="300" spans="18:20" x14ac:dyDescent="0.25">
      <c r="R300" s="5"/>
      <c r="S300" s="5"/>
      <c r="T300" s="5"/>
    </row>
    <row r="301" spans="18:20" x14ac:dyDescent="0.25">
      <c r="R301" s="5"/>
      <c r="S301" s="5"/>
      <c r="T301" s="5"/>
    </row>
    <row r="302" spans="18:20" x14ac:dyDescent="0.25">
      <c r="R302" s="5"/>
      <c r="S302" s="5"/>
      <c r="T302" s="5"/>
    </row>
    <row r="303" spans="18:20" x14ac:dyDescent="0.25">
      <c r="R303" s="5"/>
      <c r="S303" s="5"/>
      <c r="T303" s="5"/>
    </row>
    <row r="304" spans="18:20" x14ac:dyDescent="0.25">
      <c r="R304" s="5"/>
      <c r="S304" s="5"/>
      <c r="T304" s="5"/>
    </row>
    <row r="305" spans="18:20" x14ac:dyDescent="0.25">
      <c r="R305" s="5"/>
      <c r="S305" s="5"/>
      <c r="T305" s="5"/>
    </row>
    <row r="306" spans="18:20" x14ac:dyDescent="0.25">
      <c r="R306" s="5"/>
      <c r="S306" s="5"/>
      <c r="T306" s="5"/>
    </row>
    <row r="307" spans="18:20" x14ac:dyDescent="0.25">
      <c r="R307" s="5"/>
      <c r="S307" s="5"/>
      <c r="T307" s="5"/>
    </row>
    <row r="308" spans="18:20" x14ac:dyDescent="0.25">
      <c r="R308" s="5"/>
      <c r="S308" s="5"/>
      <c r="T308" s="5"/>
    </row>
    <row r="309" spans="18:20" x14ac:dyDescent="0.25">
      <c r="R309" s="5"/>
      <c r="S309" s="5"/>
      <c r="T309" s="5"/>
    </row>
    <row r="310" spans="18:20" x14ac:dyDescent="0.25">
      <c r="R310" s="5"/>
      <c r="S310" s="5"/>
      <c r="T310" s="5"/>
    </row>
    <row r="311" spans="18:20" x14ac:dyDescent="0.25">
      <c r="R311" s="5"/>
      <c r="S311" s="5"/>
      <c r="T311" s="5"/>
    </row>
    <row r="312" spans="18:20" x14ac:dyDescent="0.25">
      <c r="R312" s="5"/>
      <c r="S312" s="5"/>
      <c r="T312" s="5"/>
    </row>
    <row r="313" spans="18:20" x14ac:dyDescent="0.25">
      <c r="R313" s="5"/>
      <c r="S313" s="5"/>
      <c r="T313" s="5"/>
    </row>
    <row r="314" spans="18:20" x14ac:dyDescent="0.25">
      <c r="R314" s="5"/>
      <c r="S314" s="5"/>
      <c r="T314" s="5"/>
    </row>
    <row r="315" spans="18:20" x14ac:dyDescent="0.25">
      <c r="R315" s="5"/>
      <c r="S315" s="5"/>
      <c r="T315" s="5"/>
    </row>
    <row r="316" spans="18:20" x14ac:dyDescent="0.25">
      <c r="R316" s="5"/>
      <c r="S316" s="5"/>
      <c r="T316" s="5"/>
    </row>
    <row r="317" spans="18:20" x14ac:dyDescent="0.25">
      <c r="R317" s="5"/>
      <c r="S317" s="5"/>
      <c r="T317" s="5"/>
    </row>
    <row r="318" spans="18:20" x14ac:dyDescent="0.25">
      <c r="R318" s="5"/>
      <c r="S318" s="5"/>
      <c r="T318" s="5"/>
    </row>
    <row r="319" spans="18:20" x14ac:dyDescent="0.25">
      <c r="R319" s="5"/>
      <c r="S319" s="5"/>
      <c r="T319" s="5"/>
    </row>
    <row r="320" spans="18:20" x14ac:dyDescent="0.25">
      <c r="R320" s="5"/>
      <c r="S320" s="5"/>
      <c r="T320" s="5"/>
    </row>
    <row r="321" spans="18:20" x14ac:dyDescent="0.25">
      <c r="R321" s="5"/>
      <c r="S321" s="5"/>
      <c r="T321" s="5"/>
    </row>
    <row r="322" spans="18:20" x14ac:dyDescent="0.25">
      <c r="R322" s="5"/>
      <c r="S322" s="5"/>
      <c r="T322" s="5"/>
    </row>
    <row r="323" spans="18:20" x14ac:dyDescent="0.25">
      <c r="R323" s="5"/>
      <c r="S323" s="5"/>
      <c r="T323" s="5"/>
    </row>
    <row r="324" spans="18:20" x14ac:dyDescent="0.25">
      <c r="R324" s="5"/>
      <c r="S324" s="5"/>
      <c r="T324" s="5"/>
    </row>
    <row r="325" spans="18:20" x14ac:dyDescent="0.25">
      <c r="R325" s="5"/>
      <c r="S325" s="5"/>
      <c r="T325" s="5"/>
    </row>
    <row r="326" spans="18:20" x14ac:dyDescent="0.25">
      <c r="R326" s="5"/>
      <c r="S326" s="5"/>
      <c r="T326" s="5"/>
    </row>
    <row r="327" spans="18:20" x14ac:dyDescent="0.25">
      <c r="R327" s="5"/>
      <c r="S327" s="5"/>
      <c r="T327" s="5"/>
    </row>
    <row r="328" spans="18:20" x14ac:dyDescent="0.25">
      <c r="R328" s="5"/>
      <c r="S328" s="5"/>
      <c r="T328" s="5"/>
    </row>
    <row r="329" spans="18:20" x14ac:dyDescent="0.25">
      <c r="R329" s="5"/>
      <c r="S329" s="5"/>
      <c r="T329" s="5"/>
    </row>
    <row r="330" spans="18:20" x14ac:dyDescent="0.25">
      <c r="R330" s="5"/>
      <c r="S330" s="5"/>
      <c r="T330" s="5"/>
    </row>
    <row r="331" spans="18:20" x14ac:dyDescent="0.25">
      <c r="R331" s="5"/>
      <c r="S331" s="5"/>
      <c r="T331" s="5"/>
    </row>
    <row r="332" spans="18:20" x14ac:dyDescent="0.25">
      <c r="R332" s="5"/>
      <c r="S332" s="5"/>
      <c r="T332" s="5"/>
    </row>
    <row r="333" spans="18:20" x14ac:dyDescent="0.25">
      <c r="R333" s="5"/>
      <c r="S333" s="5"/>
      <c r="T333" s="5"/>
    </row>
    <row r="334" spans="18:20" x14ac:dyDescent="0.25">
      <c r="R334" s="5"/>
      <c r="S334" s="5"/>
      <c r="T334" s="5"/>
    </row>
    <row r="335" spans="18:20" x14ac:dyDescent="0.25">
      <c r="R335" s="5"/>
      <c r="S335" s="5"/>
      <c r="T335" s="5"/>
    </row>
    <row r="336" spans="18:20" x14ac:dyDescent="0.25">
      <c r="R336" s="5"/>
      <c r="S336" s="5"/>
      <c r="T336" s="5"/>
    </row>
    <row r="337" spans="18:20" x14ac:dyDescent="0.25">
      <c r="R337" s="5"/>
      <c r="S337" s="5"/>
      <c r="T337" s="5"/>
    </row>
    <row r="338" spans="18:20" x14ac:dyDescent="0.25">
      <c r="R338" s="5"/>
      <c r="S338" s="5"/>
      <c r="T338" s="5"/>
    </row>
    <row r="339" spans="18:20" x14ac:dyDescent="0.25">
      <c r="R339" s="5"/>
      <c r="S339" s="5"/>
      <c r="T339" s="5"/>
    </row>
    <row r="340" spans="18:20" x14ac:dyDescent="0.25">
      <c r="R340" s="5"/>
      <c r="S340" s="5"/>
      <c r="T340" s="5"/>
    </row>
    <row r="341" spans="18:20" x14ac:dyDescent="0.25">
      <c r="R341" s="5"/>
      <c r="S341" s="5"/>
      <c r="T341" s="5"/>
    </row>
    <row r="342" spans="18:20" x14ac:dyDescent="0.25">
      <c r="R342" s="5"/>
      <c r="S342" s="5"/>
      <c r="T342" s="5"/>
    </row>
    <row r="343" spans="18:20" x14ac:dyDescent="0.25">
      <c r="R343" s="5"/>
      <c r="S343" s="5"/>
      <c r="T343" s="5"/>
    </row>
    <row r="344" spans="18:20" x14ac:dyDescent="0.25">
      <c r="R344" s="5"/>
      <c r="S344" s="5"/>
      <c r="T344" s="5"/>
    </row>
    <row r="345" spans="18:20" x14ac:dyDescent="0.25">
      <c r="R345" s="5"/>
      <c r="S345" s="5"/>
      <c r="T345" s="5"/>
    </row>
    <row r="346" spans="18:20" x14ac:dyDescent="0.25">
      <c r="R346" s="5"/>
      <c r="S346" s="5"/>
      <c r="T346" s="5"/>
    </row>
    <row r="347" spans="18:20" x14ac:dyDescent="0.25">
      <c r="R347" s="5"/>
      <c r="S347" s="5"/>
      <c r="T347" s="5"/>
    </row>
    <row r="348" spans="18:20" x14ac:dyDescent="0.25">
      <c r="R348" s="5"/>
      <c r="S348" s="5"/>
      <c r="T348" s="5"/>
    </row>
    <row r="349" spans="18:20" x14ac:dyDescent="0.25">
      <c r="R349" s="5"/>
      <c r="S349" s="5"/>
      <c r="T349" s="5"/>
    </row>
    <row r="350" spans="18:20" x14ac:dyDescent="0.25">
      <c r="R350" s="5"/>
      <c r="S350" s="5"/>
      <c r="T350" s="5"/>
    </row>
    <row r="351" spans="18:20" x14ac:dyDescent="0.25">
      <c r="R351" s="5"/>
      <c r="S351" s="5"/>
      <c r="T351" s="5"/>
    </row>
    <row r="352" spans="18:20" x14ac:dyDescent="0.25">
      <c r="R352" s="5"/>
      <c r="S352" s="5"/>
      <c r="T352" s="5"/>
    </row>
    <row r="353" spans="18:20" x14ac:dyDescent="0.25">
      <c r="R353" s="5"/>
      <c r="S353" s="5"/>
      <c r="T353" s="5"/>
    </row>
    <row r="354" spans="18:20" x14ac:dyDescent="0.25">
      <c r="R354" s="5"/>
      <c r="S354" s="5"/>
      <c r="T354" s="5"/>
    </row>
    <row r="355" spans="18:20" x14ac:dyDescent="0.25">
      <c r="R355" s="5"/>
      <c r="S355" s="5"/>
      <c r="T355" s="5"/>
    </row>
    <row r="356" spans="18:20" x14ac:dyDescent="0.25">
      <c r="R356" s="5"/>
      <c r="S356" s="5"/>
      <c r="T356" s="5"/>
    </row>
    <row r="357" spans="18:20" x14ac:dyDescent="0.25">
      <c r="R357" s="5"/>
      <c r="S357" s="5"/>
      <c r="T357" s="5"/>
    </row>
    <row r="358" spans="18:20" x14ac:dyDescent="0.25">
      <c r="R358" s="5"/>
      <c r="S358" s="5"/>
      <c r="T358" s="5"/>
    </row>
    <row r="359" spans="18:20" x14ac:dyDescent="0.25">
      <c r="R359" s="5"/>
      <c r="S359" s="5"/>
      <c r="T359" s="5"/>
    </row>
    <row r="360" spans="18:20" x14ac:dyDescent="0.25">
      <c r="R360" s="5"/>
      <c r="S360" s="5"/>
      <c r="T360" s="5"/>
    </row>
    <row r="361" spans="18:20" x14ac:dyDescent="0.25">
      <c r="R361" s="5"/>
      <c r="S361" s="5"/>
      <c r="T361" s="5"/>
    </row>
    <row r="362" spans="18:20" x14ac:dyDescent="0.25">
      <c r="R362" s="5"/>
      <c r="S362" s="5"/>
      <c r="T362" s="5"/>
    </row>
    <row r="363" spans="18:20" x14ac:dyDescent="0.25">
      <c r="R363" s="5"/>
      <c r="S363" s="5"/>
      <c r="T363" s="5"/>
    </row>
    <row r="364" spans="18:20" x14ac:dyDescent="0.25">
      <c r="R364" s="5"/>
      <c r="S364" s="5"/>
      <c r="T364" s="5"/>
    </row>
    <row r="365" spans="18:20" x14ac:dyDescent="0.25">
      <c r="R365" s="5"/>
      <c r="S365" s="5"/>
      <c r="T365" s="5"/>
    </row>
    <row r="366" spans="18:20" x14ac:dyDescent="0.25">
      <c r="R366" s="5"/>
      <c r="S366" s="5"/>
      <c r="T366" s="5"/>
    </row>
    <row r="367" spans="18:20" x14ac:dyDescent="0.25">
      <c r="R367" s="5"/>
      <c r="S367" s="5"/>
      <c r="T367" s="5"/>
    </row>
    <row r="368" spans="18:20" x14ac:dyDescent="0.25">
      <c r="R368" s="5"/>
      <c r="S368" s="5"/>
      <c r="T368" s="5"/>
    </row>
    <row r="369" spans="18:20" x14ac:dyDescent="0.25">
      <c r="R369" s="5"/>
      <c r="S369" s="5"/>
      <c r="T369" s="5"/>
    </row>
    <row r="370" spans="18:20" x14ac:dyDescent="0.25">
      <c r="R370" s="5"/>
      <c r="S370" s="5"/>
      <c r="T370" s="5"/>
    </row>
    <row r="371" spans="18:20" x14ac:dyDescent="0.25">
      <c r="R371" s="5"/>
      <c r="S371" s="5"/>
      <c r="T371" s="5"/>
    </row>
    <row r="372" spans="18:20" x14ac:dyDescent="0.25">
      <c r="R372" s="5"/>
      <c r="S372" s="5"/>
      <c r="T372" s="5"/>
    </row>
    <row r="373" spans="18:20" x14ac:dyDescent="0.25">
      <c r="R373" s="5"/>
      <c r="S373" s="5"/>
      <c r="T373" s="5"/>
    </row>
    <row r="374" spans="18:20" x14ac:dyDescent="0.25">
      <c r="R374" s="5"/>
      <c r="S374" s="5"/>
      <c r="T374" s="5"/>
    </row>
    <row r="375" spans="18:20" x14ac:dyDescent="0.25">
      <c r="R375" s="5"/>
      <c r="S375" s="5"/>
      <c r="T375" s="5"/>
    </row>
    <row r="376" spans="18:20" x14ac:dyDescent="0.25">
      <c r="R376" s="5"/>
      <c r="S376" s="5"/>
      <c r="T376" s="5"/>
    </row>
    <row r="377" spans="18:20" x14ac:dyDescent="0.25">
      <c r="R377" s="5"/>
      <c r="S377" s="5"/>
      <c r="T377" s="5"/>
    </row>
    <row r="378" spans="18:20" x14ac:dyDescent="0.25">
      <c r="R378" s="5"/>
      <c r="S378" s="5"/>
      <c r="T378" s="5"/>
    </row>
    <row r="379" spans="18:20" x14ac:dyDescent="0.25">
      <c r="R379" s="5"/>
      <c r="S379" s="5"/>
      <c r="T379" s="5"/>
    </row>
    <row r="380" spans="18:20" x14ac:dyDescent="0.25">
      <c r="R380" s="5"/>
      <c r="S380" s="5"/>
      <c r="T380" s="5"/>
    </row>
    <row r="381" spans="18:20" x14ac:dyDescent="0.25">
      <c r="R381" s="5"/>
      <c r="S381" s="5"/>
      <c r="T381" s="5"/>
    </row>
    <row r="382" spans="18:20" x14ac:dyDescent="0.25">
      <c r="R382" s="5"/>
      <c r="S382" s="5"/>
      <c r="T382" s="5"/>
    </row>
    <row r="383" spans="18:20" x14ac:dyDescent="0.25">
      <c r="R383" s="5"/>
      <c r="S383" s="5"/>
      <c r="T383" s="5"/>
    </row>
    <row r="384" spans="18:20" x14ac:dyDescent="0.25">
      <c r="R384" s="5"/>
      <c r="S384" s="5"/>
      <c r="T384" s="5"/>
    </row>
    <row r="385" spans="18:20" x14ac:dyDescent="0.25">
      <c r="R385" s="5"/>
      <c r="S385" s="5"/>
      <c r="T385" s="5"/>
    </row>
    <row r="386" spans="18:20" x14ac:dyDescent="0.25">
      <c r="R386" s="5"/>
      <c r="S386" s="5"/>
      <c r="T386" s="5"/>
    </row>
    <row r="387" spans="18:20" x14ac:dyDescent="0.25">
      <c r="R387" s="5"/>
      <c r="S387" s="5"/>
      <c r="T387" s="5"/>
    </row>
    <row r="388" spans="18:20" x14ac:dyDescent="0.25">
      <c r="R388" s="5"/>
      <c r="S388" s="5"/>
      <c r="T388" s="5"/>
    </row>
    <row r="389" spans="18:20" x14ac:dyDescent="0.25">
      <c r="R389" s="5"/>
      <c r="S389" s="5"/>
      <c r="T389" s="5"/>
    </row>
    <row r="390" spans="18:20" x14ac:dyDescent="0.25">
      <c r="R390" s="5"/>
      <c r="S390" s="5"/>
      <c r="T390" s="5"/>
    </row>
    <row r="391" spans="18:20" x14ac:dyDescent="0.25">
      <c r="R391" s="5"/>
      <c r="S391" s="5"/>
      <c r="T391" s="5"/>
    </row>
    <row r="392" spans="18:20" x14ac:dyDescent="0.25">
      <c r="R392" s="5"/>
      <c r="S392" s="5"/>
      <c r="T392" s="5"/>
    </row>
    <row r="393" spans="18:20" x14ac:dyDescent="0.25">
      <c r="R393" s="5"/>
      <c r="S393" s="5"/>
      <c r="T393" s="5"/>
    </row>
    <row r="394" spans="18:20" x14ac:dyDescent="0.25">
      <c r="R394" s="5"/>
      <c r="S394" s="5"/>
      <c r="T394" s="5"/>
    </row>
    <row r="395" spans="18:20" x14ac:dyDescent="0.25">
      <c r="R395" s="5"/>
      <c r="S395" s="5"/>
      <c r="T395" s="5"/>
    </row>
    <row r="396" spans="18:20" x14ac:dyDescent="0.25">
      <c r="R396" s="5"/>
      <c r="S396" s="5"/>
      <c r="T396" s="5"/>
    </row>
    <row r="397" spans="18:20" x14ac:dyDescent="0.25">
      <c r="R397" s="5"/>
      <c r="S397" s="5"/>
      <c r="T397" s="5"/>
    </row>
    <row r="398" spans="18:20" x14ac:dyDescent="0.25">
      <c r="R398" s="5"/>
      <c r="S398" s="5"/>
      <c r="T398" s="5"/>
    </row>
    <row r="399" spans="18:20" x14ac:dyDescent="0.25">
      <c r="R399" s="5"/>
      <c r="S399" s="5"/>
      <c r="T399" s="5"/>
    </row>
    <row r="400" spans="18:20" x14ac:dyDescent="0.25">
      <c r="R400" s="5"/>
      <c r="S400" s="5"/>
      <c r="T400" s="5"/>
    </row>
    <row r="401" spans="18:20" x14ac:dyDescent="0.25">
      <c r="R401" s="5"/>
      <c r="S401" s="5"/>
      <c r="T401" s="5"/>
    </row>
    <row r="402" spans="18:20" x14ac:dyDescent="0.25">
      <c r="R402" s="5"/>
      <c r="S402" s="5"/>
      <c r="T402" s="5"/>
    </row>
    <row r="403" spans="18:20" x14ac:dyDescent="0.25">
      <c r="R403" s="5"/>
      <c r="S403" s="5"/>
      <c r="T403" s="5"/>
    </row>
    <row r="404" spans="18:20" x14ac:dyDescent="0.25">
      <c r="R404" s="5"/>
      <c r="S404" s="5"/>
      <c r="T404" s="5"/>
    </row>
    <row r="405" spans="18:20" x14ac:dyDescent="0.25">
      <c r="R405" s="5"/>
      <c r="S405" s="5"/>
      <c r="T405" s="5"/>
    </row>
    <row r="406" spans="18:20" x14ac:dyDescent="0.25">
      <c r="R406" s="5"/>
      <c r="S406" s="5"/>
      <c r="T406" s="5"/>
    </row>
    <row r="407" spans="18:20" x14ac:dyDescent="0.25">
      <c r="R407" s="5"/>
      <c r="S407" s="5"/>
      <c r="T407" s="5"/>
    </row>
    <row r="408" spans="18:20" x14ac:dyDescent="0.25">
      <c r="R408" s="5"/>
      <c r="S408" s="5"/>
      <c r="T408" s="5"/>
    </row>
    <row r="409" spans="18:20" x14ac:dyDescent="0.25">
      <c r="R409" s="5"/>
      <c r="S409" s="5"/>
      <c r="T409" s="5"/>
    </row>
    <row r="410" spans="18:20" x14ac:dyDescent="0.25">
      <c r="R410" s="5"/>
      <c r="S410" s="5"/>
      <c r="T410" s="5"/>
    </row>
    <row r="411" spans="18:20" x14ac:dyDescent="0.25">
      <c r="R411" s="5"/>
      <c r="S411" s="5"/>
      <c r="T411" s="5"/>
    </row>
    <row r="412" spans="18:20" x14ac:dyDescent="0.25">
      <c r="R412" s="5"/>
      <c r="S412" s="5"/>
      <c r="T412" s="5"/>
    </row>
    <row r="413" spans="18:20" x14ac:dyDescent="0.25">
      <c r="R413" s="5"/>
      <c r="S413" s="5"/>
      <c r="T413" s="5"/>
    </row>
    <row r="414" spans="18:20" x14ac:dyDescent="0.25">
      <c r="R414" s="5"/>
      <c r="S414" s="5"/>
      <c r="T414" s="5"/>
    </row>
    <row r="415" spans="18:20" x14ac:dyDescent="0.25">
      <c r="R415" s="5"/>
      <c r="S415" s="5"/>
      <c r="T415" s="5"/>
    </row>
    <row r="416" spans="18:20" x14ac:dyDescent="0.25">
      <c r="R416" s="5"/>
      <c r="S416" s="5"/>
      <c r="T416" s="5"/>
    </row>
    <row r="417" spans="18:20" x14ac:dyDescent="0.25">
      <c r="R417" s="5"/>
      <c r="S417" s="5"/>
      <c r="T417" s="5"/>
    </row>
    <row r="418" spans="18:20" x14ac:dyDescent="0.25">
      <c r="R418" s="5"/>
      <c r="S418" s="5"/>
      <c r="T418" s="5"/>
    </row>
    <row r="419" spans="18:20" x14ac:dyDescent="0.25">
      <c r="R419" s="5"/>
      <c r="S419" s="5"/>
      <c r="T419" s="5"/>
    </row>
    <row r="420" spans="18:20" x14ac:dyDescent="0.25">
      <c r="R420" s="5"/>
      <c r="S420" s="5"/>
      <c r="T420" s="5"/>
    </row>
    <row r="421" spans="18:20" x14ac:dyDescent="0.25">
      <c r="R421" s="5"/>
      <c r="S421" s="5"/>
      <c r="T421" s="5"/>
    </row>
    <row r="422" spans="18:20" x14ac:dyDescent="0.25">
      <c r="R422" s="5"/>
      <c r="S422" s="5"/>
      <c r="T422" s="5"/>
    </row>
    <row r="423" spans="18:20" x14ac:dyDescent="0.25">
      <c r="R423" s="5"/>
      <c r="S423" s="5"/>
      <c r="T423" s="5"/>
    </row>
    <row r="424" spans="18:20" x14ac:dyDescent="0.25">
      <c r="R424" s="5"/>
      <c r="S424" s="5"/>
      <c r="T424" s="5"/>
    </row>
    <row r="425" spans="18:20" x14ac:dyDescent="0.25">
      <c r="R425" s="5"/>
      <c r="S425" s="5"/>
      <c r="T425" s="5"/>
    </row>
    <row r="426" spans="18:20" x14ac:dyDescent="0.25">
      <c r="R426" s="5"/>
      <c r="S426" s="5"/>
      <c r="T426" s="5"/>
    </row>
    <row r="427" spans="18:20" x14ac:dyDescent="0.25">
      <c r="R427" s="5"/>
      <c r="S427" s="5"/>
      <c r="T427" s="5"/>
    </row>
    <row r="428" spans="18:20" x14ac:dyDescent="0.25">
      <c r="R428" s="5"/>
      <c r="S428" s="5"/>
      <c r="T428" s="5"/>
    </row>
    <row r="429" spans="18:20" x14ac:dyDescent="0.25">
      <c r="R429" s="5"/>
      <c r="S429" s="5"/>
      <c r="T429" s="5"/>
    </row>
    <row r="430" spans="18:20" x14ac:dyDescent="0.25">
      <c r="R430" s="5"/>
      <c r="S430" s="5"/>
      <c r="T430" s="5"/>
    </row>
    <row r="431" spans="18:20" x14ac:dyDescent="0.25">
      <c r="R431" s="5"/>
      <c r="S431" s="5"/>
      <c r="T431" s="5"/>
    </row>
    <row r="432" spans="18:20" x14ac:dyDescent="0.25">
      <c r="R432" s="5"/>
      <c r="S432" s="5"/>
      <c r="T432" s="5"/>
    </row>
    <row r="433" spans="18:20" x14ac:dyDescent="0.25">
      <c r="R433" s="5"/>
      <c r="S433" s="5"/>
      <c r="T433" s="5"/>
    </row>
    <row r="434" spans="18:20" x14ac:dyDescent="0.25">
      <c r="R434" s="5"/>
      <c r="S434" s="5"/>
      <c r="T434" s="5"/>
    </row>
    <row r="435" spans="18:20" x14ac:dyDescent="0.25">
      <c r="R435" s="5"/>
      <c r="S435" s="5"/>
      <c r="T435" s="5"/>
    </row>
    <row r="436" spans="18:20" x14ac:dyDescent="0.25">
      <c r="R436" s="5"/>
      <c r="S436" s="5"/>
      <c r="T436" s="5"/>
    </row>
    <row r="437" spans="18:20" x14ac:dyDescent="0.25">
      <c r="R437" s="5"/>
      <c r="S437" s="5"/>
      <c r="T437" s="5"/>
    </row>
    <row r="438" spans="18:20" x14ac:dyDescent="0.25">
      <c r="R438" s="5"/>
      <c r="S438" s="5"/>
      <c r="T438" s="5"/>
    </row>
    <row r="439" spans="18:20" x14ac:dyDescent="0.25">
      <c r="R439" s="5"/>
      <c r="S439" s="5"/>
      <c r="T439" s="5"/>
    </row>
    <row r="440" spans="18:20" x14ac:dyDescent="0.25">
      <c r="R440" s="5"/>
      <c r="S440" s="5"/>
      <c r="T440" s="5"/>
    </row>
    <row r="441" spans="18:20" x14ac:dyDescent="0.25">
      <c r="R441" s="5"/>
      <c r="S441" s="5"/>
      <c r="T441" s="5"/>
    </row>
    <row r="442" spans="18:20" x14ac:dyDescent="0.25">
      <c r="R442" s="5"/>
      <c r="S442" s="5"/>
      <c r="T442" s="5"/>
    </row>
    <row r="443" spans="18:20" x14ac:dyDescent="0.25">
      <c r="R443" s="5"/>
      <c r="S443" s="5"/>
      <c r="T443" s="5"/>
    </row>
    <row r="444" spans="18:20" x14ac:dyDescent="0.25">
      <c r="R444" s="5"/>
      <c r="S444" s="5"/>
      <c r="T444" s="5"/>
    </row>
    <row r="445" spans="18:20" x14ac:dyDescent="0.25">
      <c r="R445" s="5"/>
      <c r="S445" s="5"/>
      <c r="T445" s="5"/>
    </row>
    <row r="446" spans="18:20" x14ac:dyDescent="0.25">
      <c r="R446" s="5"/>
      <c r="S446" s="5"/>
      <c r="T446" s="5"/>
    </row>
    <row r="447" spans="18:20" x14ac:dyDescent="0.25">
      <c r="R447" s="5"/>
      <c r="S447" s="5"/>
      <c r="T447" s="5"/>
    </row>
    <row r="448" spans="18:20" x14ac:dyDescent="0.25">
      <c r="R448" s="5"/>
      <c r="S448" s="5"/>
      <c r="T448" s="5"/>
    </row>
    <row r="449" spans="18:20" x14ac:dyDescent="0.25">
      <c r="R449" s="5"/>
      <c r="S449" s="5"/>
      <c r="T449" s="5"/>
    </row>
    <row r="450" spans="18:20" x14ac:dyDescent="0.25">
      <c r="R450" s="5"/>
      <c r="S450" s="5"/>
      <c r="T450" s="5"/>
    </row>
    <row r="451" spans="18:20" x14ac:dyDescent="0.25">
      <c r="R451" s="5"/>
      <c r="S451" s="5"/>
      <c r="T451" s="5"/>
    </row>
    <row r="452" spans="18:20" x14ac:dyDescent="0.25">
      <c r="R452" s="5"/>
      <c r="S452" s="5"/>
      <c r="T452" s="5"/>
    </row>
    <row r="453" spans="18:20" x14ac:dyDescent="0.25">
      <c r="R453" s="5"/>
      <c r="S453" s="5"/>
      <c r="T453" s="5"/>
    </row>
    <row r="454" spans="18:20" x14ac:dyDescent="0.25">
      <c r="R454" s="5"/>
      <c r="S454" s="5"/>
      <c r="T454" s="5"/>
    </row>
    <row r="455" spans="18:20" x14ac:dyDescent="0.25">
      <c r="R455" s="5"/>
      <c r="S455" s="5"/>
      <c r="T455" s="5"/>
    </row>
    <row r="456" spans="18:20" x14ac:dyDescent="0.25">
      <c r="R456" s="5"/>
      <c r="S456" s="5"/>
      <c r="T456" s="5"/>
    </row>
    <row r="457" spans="18:20" x14ac:dyDescent="0.25">
      <c r="R457" s="5"/>
      <c r="S457" s="5"/>
      <c r="T457" s="5"/>
    </row>
    <row r="458" spans="18:20" x14ac:dyDescent="0.25">
      <c r="R458" s="5"/>
      <c r="S458" s="5"/>
      <c r="T458" s="5"/>
    </row>
    <row r="459" spans="18:20" x14ac:dyDescent="0.25">
      <c r="R459" s="5"/>
      <c r="S459" s="5"/>
      <c r="T459" s="5"/>
    </row>
    <row r="460" spans="18:20" x14ac:dyDescent="0.25">
      <c r="R460" s="5"/>
      <c r="S460" s="5"/>
      <c r="T460" s="5"/>
    </row>
    <row r="461" spans="18:20" x14ac:dyDescent="0.25">
      <c r="R461" s="5"/>
      <c r="S461" s="5"/>
      <c r="T461" s="5"/>
    </row>
    <row r="462" spans="18:20" x14ac:dyDescent="0.25">
      <c r="R462" s="5"/>
      <c r="S462" s="5"/>
      <c r="T462" s="5"/>
    </row>
    <row r="463" spans="18:20" x14ac:dyDescent="0.25">
      <c r="R463" s="5"/>
      <c r="S463" s="5"/>
      <c r="T463" s="5"/>
    </row>
    <row r="464" spans="18:20" x14ac:dyDescent="0.25">
      <c r="R464" s="5"/>
      <c r="S464" s="5"/>
      <c r="T464" s="5"/>
    </row>
    <row r="465" spans="18:20" x14ac:dyDescent="0.25">
      <c r="R465" s="5"/>
      <c r="S465" s="5"/>
      <c r="T465" s="5"/>
    </row>
    <row r="466" spans="18:20" x14ac:dyDescent="0.25">
      <c r="R466" s="5"/>
      <c r="S466" s="5"/>
      <c r="T466" s="5"/>
    </row>
    <row r="467" spans="18:20" x14ac:dyDescent="0.25">
      <c r="R467" s="5"/>
      <c r="S467" s="5"/>
      <c r="T467" s="5"/>
    </row>
    <row r="468" spans="18:20" x14ac:dyDescent="0.25">
      <c r="R468" s="5"/>
      <c r="S468" s="5"/>
      <c r="T468" s="5"/>
    </row>
    <row r="469" spans="18:20" x14ac:dyDescent="0.25">
      <c r="R469" s="5"/>
      <c r="S469" s="5"/>
      <c r="T469" s="5"/>
    </row>
    <row r="470" spans="18:20" x14ac:dyDescent="0.25">
      <c r="R470" s="5"/>
      <c r="S470" s="5"/>
      <c r="T470" s="5"/>
    </row>
    <row r="471" spans="18:20" x14ac:dyDescent="0.25">
      <c r="R471" s="5"/>
      <c r="S471" s="5"/>
      <c r="T471" s="5"/>
    </row>
    <row r="472" spans="18:20" x14ac:dyDescent="0.25">
      <c r="R472" s="5"/>
      <c r="S472" s="5"/>
      <c r="T472" s="5"/>
    </row>
    <row r="473" spans="18:20" x14ac:dyDescent="0.25">
      <c r="R473" s="5"/>
      <c r="S473" s="5"/>
      <c r="T473" s="5"/>
    </row>
    <row r="474" spans="18:20" x14ac:dyDescent="0.25">
      <c r="R474" s="5"/>
      <c r="S474" s="5"/>
      <c r="T474" s="5"/>
    </row>
    <row r="475" spans="18:20" x14ac:dyDescent="0.25">
      <c r="R475" s="5"/>
      <c r="S475" s="5"/>
      <c r="T475" s="5"/>
    </row>
    <row r="476" spans="18:20" x14ac:dyDescent="0.25">
      <c r="R476" s="5"/>
      <c r="S476" s="5"/>
      <c r="T476" s="5"/>
    </row>
    <row r="477" spans="18:20" x14ac:dyDescent="0.25">
      <c r="R477" s="5"/>
      <c r="S477" s="5"/>
      <c r="T477" s="5"/>
    </row>
    <row r="478" spans="18:20" x14ac:dyDescent="0.25">
      <c r="R478" s="5"/>
      <c r="S478" s="5"/>
      <c r="T478" s="5"/>
    </row>
    <row r="479" spans="18:20" x14ac:dyDescent="0.25">
      <c r="R479" s="5"/>
      <c r="S479" s="5"/>
      <c r="T479" s="5"/>
    </row>
    <row r="480" spans="18:20" x14ac:dyDescent="0.25">
      <c r="R480" s="5"/>
      <c r="S480" s="5"/>
      <c r="T480" s="5"/>
    </row>
    <row r="481" spans="18:20" x14ac:dyDescent="0.25">
      <c r="R481" s="5"/>
      <c r="S481" s="5"/>
      <c r="T481" s="5"/>
    </row>
    <row r="482" spans="18:20" x14ac:dyDescent="0.25">
      <c r="R482" s="5"/>
      <c r="S482" s="5"/>
      <c r="T482" s="5"/>
    </row>
    <row r="483" spans="18:20" x14ac:dyDescent="0.25">
      <c r="R483" s="5"/>
      <c r="S483" s="5"/>
      <c r="T483" s="5"/>
    </row>
    <row r="484" spans="18:20" x14ac:dyDescent="0.25">
      <c r="R484" s="5"/>
      <c r="S484" s="5"/>
      <c r="T484" s="5"/>
    </row>
    <row r="485" spans="18:20" x14ac:dyDescent="0.25">
      <c r="R485" s="5"/>
      <c r="S485" s="5"/>
      <c r="T485" s="5"/>
    </row>
    <row r="486" spans="18:20" x14ac:dyDescent="0.25">
      <c r="R486" s="5"/>
      <c r="S486" s="5"/>
      <c r="T486" s="5"/>
    </row>
    <row r="487" spans="18:20" x14ac:dyDescent="0.25">
      <c r="R487" s="5"/>
      <c r="S487" s="5"/>
      <c r="T487" s="5"/>
    </row>
    <row r="488" spans="18:20" x14ac:dyDescent="0.25">
      <c r="R488" s="5"/>
      <c r="S488" s="5"/>
      <c r="T488" s="5"/>
    </row>
    <row r="489" spans="18:20" x14ac:dyDescent="0.25">
      <c r="R489" s="5"/>
      <c r="S489" s="5"/>
      <c r="T489" s="5"/>
    </row>
    <row r="490" spans="18:20" x14ac:dyDescent="0.25">
      <c r="R490" s="5"/>
      <c r="S490" s="5"/>
      <c r="T490" s="5"/>
    </row>
    <row r="491" spans="18:20" x14ac:dyDescent="0.25">
      <c r="R491" s="5"/>
      <c r="S491" s="5"/>
      <c r="T491" s="5"/>
    </row>
    <row r="492" spans="18:20" x14ac:dyDescent="0.25">
      <c r="R492" s="5"/>
      <c r="S492" s="5"/>
      <c r="T492" s="5"/>
    </row>
    <row r="493" spans="18:20" x14ac:dyDescent="0.25">
      <c r="R493" s="5"/>
      <c r="S493" s="5"/>
      <c r="T493" s="5"/>
    </row>
    <row r="494" spans="18:20" x14ac:dyDescent="0.25">
      <c r="R494" s="5"/>
      <c r="S494" s="5"/>
      <c r="T494" s="5"/>
    </row>
    <row r="495" spans="18:20" x14ac:dyDescent="0.25">
      <c r="R495" s="5"/>
      <c r="S495" s="5"/>
      <c r="T495" s="5"/>
    </row>
    <row r="496" spans="18:20" x14ac:dyDescent="0.25">
      <c r="R496" s="5"/>
      <c r="S496" s="5"/>
      <c r="T496" s="5"/>
    </row>
    <row r="497" spans="18:20" x14ac:dyDescent="0.25">
      <c r="R497" s="5"/>
      <c r="S497" s="5"/>
      <c r="T497" s="5"/>
    </row>
    <row r="498" spans="18:20" x14ac:dyDescent="0.25">
      <c r="R498" s="5"/>
      <c r="S498" s="5"/>
      <c r="T498" s="5"/>
    </row>
    <row r="499" spans="18:20" x14ac:dyDescent="0.25">
      <c r="R499" s="5"/>
      <c r="S499" s="5"/>
      <c r="T499" s="5"/>
    </row>
    <row r="500" spans="18:20" x14ac:dyDescent="0.25">
      <c r="R500" s="5"/>
      <c r="S500" s="5"/>
      <c r="T500" s="5"/>
    </row>
    <row r="501" spans="18:20" x14ac:dyDescent="0.25">
      <c r="R501" s="5"/>
      <c r="S501" s="5"/>
      <c r="T501" s="5"/>
    </row>
    <row r="502" spans="18:20" x14ac:dyDescent="0.25">
      <c r="R502" s="5"/>
      <c r="S502" s="5"/>
      <c r="T502" s="5"/>
    </row>
    <row r="503" spans="18:20" x14ac:dyDescent="0.25">
      <c r="R503" s="5"/>
      <c r="S503" s="5"/>
      <c r="T503" s="5"/>
    </row>
    <row r="504" spans="18:20" x14ac:dyDescent="0.25">
      <c r="R504" s="5"/>
      <c r="S504" s="5"/>
      <c r="T504" s="5"/>
    </row>
    <row r="505" spans="18:20" x14ac:dyDescent="0.25">
      <c r="R505" s="5"/>
      <c r="S505" s="5"/>
      <c r="T505" s="5"/>
    </row>
    <row r="506" spans="18:20" x14ac:dyDescent="0.25">
      <c r="R506" s="5"/>
      <c r="S506" s="5"/>
      <c r="T506" s="5"/>
    </row>
    <row r="507" spans="18:20" x14ac:dyDescent="0.25">
      <c r="R507" s="5"/>
      <c r="S507" s="5"/>
      <c r="T507" s="5"/>
    </row>
    <row r="508" spans="18:20" x14ac:dyDescent="0.25">
      <c r="R508" s="5"/>
      <c r="S508" s="5"/>
      <c r="T508" s="5"/>
    </row>
    <row r="509" spans="18:20" x14ac:dyDescent="0.25">
      <c r="R509" s="5"/>
      <c r="S509" s="5"/>
      <c r="T509" s="5"/>
    </row>
    <row r="510" spans="18:20" x14ac:dyDescent="0.25">
      <c r="R510" s="5"/>
      <c r="S510" s="5"/>
      <c r="T510" s="5"/>
    </row>
    <row r="511" spans="18:20" x14ac:dyDescent="0.25">
      <c r="R511" s="5"/>
      <c r="S511" s="5"/>
      <c r="T511" s="5"/>
    </row>
    <row r="512" spans="18:20" x14ac:dyDescent="0.25">
      <c r="R512" s="5"/>
      <c r="S512" s="5"/>
      <c r="T512" s="5"/>
    </row>
    <row r="513" spans="18:20" x14ac:dyDescent="0.25">
      <c r="R513" s="5"/>
      <c r="S513" s="5"/>
      <c r="T513" s="5"/>
    </row>
    <row r="514" spans="18:20" x14ac:dyDescent="0.25">
      <c r="R514" s="5"/>
      <c r="S514" s="5"/>
      <c r="T514" s="5"/>
    </row>
    <row r="515" spans="18:20" x14ac:dyDescent="0.25">
      <c r="R515" s="5"/>
      <c r="S515" s="5"/>
      <c r="T515" s="5"/>
    </row>
    <row r="516" spans="18:20" x14ac:dyDescent="0.25">
      <c r="R516" s="5"/>
      <c r="S516" s="5"/>
      <c r="T516" s="5"/>
    </row>
    <row r="517" spans="18:20" x14ac:dyDescent="0.25">
      <c r="R517" s="5"/>
      <c r="S517" s="5"/>
      <c r="T517" s="5"/>
    </row>
    <row r="518" spans="18:20" x14ac:dyDescent="0.25">
      <c r="R518" s="5"/>
      <c r="S518" s="5"/>
      <c r="T518" s="5"/>
    </row>
    <row r="519" spans="18:20" x14ac:dyDescent="0.25">
      <c r="R519" s="5"/>
      <c r="S519" s="5"/>
      <c r="T519" s="5"/>
    </row>
    <row r="520" spans="18:20" x14ac:dyDescent="0.25">
      <c r="R520" s="5"/>
      <c r="S520" s="5"/>
      <c r="T520" s="5"/>
    </row>
    <row r="521" spans="18:20" x14ac:dyDescent="0.25">
      <c r="R521" s="5"/>
      <c r="S521" s="5"/>
      <c r="T521" s="5"/>
    </row>
    <row r="522" spans="18:20" x14ac:dyDescent="0.25">
      <c r="R522" s="5"/>
      <c r="S522" s="5"/>
      <c r="T522" s="5"/>
    </row>
    <row r="523" spans="18:20" x14ac:dyDescent="0.25">
      <c r="R523" s="5"/>
      <c r="S523" s="5"/>
      <c r="T523" s="5"/>
    </row>
    <row r="524" spans="18:20" x14ac:dyDescent="0.25">
      <c r="R524" s="5"/>
      <c r="S524" s="5"/>
      <c r="T524" s="5"/>
    </row>
    <row r="525" spans="18:20" x14ac:dyDescent="0.25">
      <c r="R525" s="5"/>
      <c r="S525" s="5"/>
      <c r="T525" s="5"/>
    </row>
    <row r="526" spans="18:20" x14ac:dyDescent="0.25">
      <c r="R526" s="5"/>
      <c r="S526" s="5"/>
      <c r="T526" s="5"/>
    </row>
    <row r="527" spans="18:20" x14ac:dyDescent="0.25">
      <c r="R527" s="5"/>
      <c r="S527" s="5"/>
      <c r="T527" s="5"/>
    </row>
    <row r="528" spans="18:20" x14ac:dyDescent="0.25">
      <c r="R528" s="5"/>
      <c r="S528" s="5"/>
      <c r="T528" s="5"/>
    </row>
    <row r="529" spans="18:20" x14ac:dyDescent="0.25">
      <c r="R529" s="5"/>
      <c r="S529" s="5"/>
      <c r="T529" s="5"/>
    </row>
    <row r="530" spans="18:20" x14ac:dyDescent="0.25">
      <c r="R530" s="5"/>
      <c r="S530" s="5"/>
      <c r="T530" s="5"/>
    </row>
    <row r="531" spans="18:20" x14ac:dyDescent="0.25">
      <c r="R531" s="5"/>
      <c r="S531" s="5"/>
      <c r="T531" s="5"/>
    </row>
    <row r="532" spans="18:20" x14ac:dyDescent="0.25">
      <c r="R532" s="5"/>
      <c r="S532" s="5"/>
      <c r="T532" s="5"/>
    </row>
    <row r="533" spans="18:20" x14ac:dyDescent="0.25">
      <c r="R533" s="5"/>
      <c r="S533" s="5"/>
      <c r="T533" s="5"/>
    </row>
    <row r="534" spans="18:20" x14ac:dyDescent="0.25">
      <c r="R534" s="5"/>
      <c r="S534" s="5"/>
      <c r="T534" s="5"/>
    </row>
    <row r="535" spans="18:20" x14ac:dyDescent="0.25">
      <c r="R535" s="5"/>
      <c r="S535" s="5"/>
      <c r="T535" s="5"/>
    </row>
    <row r="536" spans="18:20" x14ac:dyDescent="0.25">
      <c r="R536" s="5"/>
      <c r="S536" s="5"/>
      <c r="T536" s="5"/>
    </row>
    <row r="537" spans="18:20" x14ac:dyDescent="0.25">
      <c r="R537" s="5"/>
      <c r="S537" s="5"/>
      <c r="T537" s="5"/>
    </row>
    <row r="538" spans="18:20" x14ac:dyDescent="0.25">
      <c r="R538" s="5"/>
      <c r="S538" s="5"/>
      <c r="T538" s="5"/>
    </row>
    <row r="539" spans="18:20" x14ac:dyDescent="0.25">
      <c r="R539" s="5"/>
      <c r="S539" s="5"/>
      <c r="T539" s="5"/>
    </row>
    <row r="540" spans="18:20" x14ac:dyDescent="0.25">
      <c r="R540" s="5"/>
      <c r="S540" s="5"/>
      <c r="T540" s="5"/>
    </row>
    <row r="541" spans="18:20" x14ac:dyDescent="0.25">
      <c r="R541" s="5"/>
      <c r="S541" s="5"/>
      <c r="T541" s="5"/>
    </row>
    <row r="542" spans="18:20" x14ac:dyDescent="0.25">
      <c r="R542" s="5"/>
      <c r="S542" s="5"/>
      <c r="T542" s="5"/>
    </row>
    <row r="543" spans="18:20" x14ac:dyDescent="0.25">
      <c r="R543" s="5"/>
      <c r="S543" s="5"/>
      <c r="T543" s="5"/>
    </row>
    <row r="544" spans="18:20" x14ac:dyDescent="0.25">
      <c r="R544" s="5"/>
      <c r="S544" s="5"/>
      <c r="T544" s="5"/>
    </row>
    <row r="545" spans="18:20" x14ac:dyDescent="0.25">
      <c r="R545" s="5"/>
      <c r="S545" s="5"/>
      <c r="T545" s="5"/>
    </row>
    <row r="546" spans="18:20" x14ac:dyDescent="0.25">
      <c r="R546" s="5"/>
      <c r="S546" s="5"/>
      <c r="T546" s="5"/>
    </row>
    <row r="547" spans="18:20" x14ac:dyDescent="0.25">
      <c r="R547" s="5"/>
      <c r="S547" s="5"/>
      <c r="T547" s="5"/>
    </row>
    <row r="548" spans="18:20" x14ac:dyDescent="0.25">
      <c r="R548" s="5"/>
      <c r="S548" s="5"/>
      <c r="T548" s="5"/>
    </row>
    <row r="549" spans="18:20" x14ac:dyDescent="0.25">
      <c r="R549" s="5"/>
      <c r="S549" s="5"/>
      <c r="T549" s="5"/>
    </row>
    <row r="550" spans="18:20" x14ac:dyDescent="0.25">
      <c r="R550" s="5"/>
      <c r="S550" s="5"/>
      <c r="T550" s="5"/>
    </row>
    <row r="551" spans="18:20" x14ac:dyDescent="0.25">
      <c r="R551" s="5"/>
      <c r="S551" s="5"/>
      <c r="T551" s="5"/>
    </row>
    <row r="552" spans="18:20" x14ac:dyDescent="0.25">
      <c r="R552" s="5"/>
      <c r="S552" s="5"/>
      <c r="T552" s="5"/>
    </row>
    <row r="553" spans="18:20" x14ac:dyDescent="0.25">
      <c r="R553" s="5"/>
      <c r="S553" s="5"/>
      <c r="T553" s="5"/>
    </row>
    <row r="554" spans="18:20" x14ac:dyDescent="0.25">
      <c r="R554" s="5"/>
      <c r="S554" s="5"/>
      <c r="T554" s="5"/>
    </row>
    <row r="555" spans="18:20" x14ac:dyDescent="0.25">
      <c r="R555" s="5"/>
      <c r="S555" s="5"/>
      <c r="T555" s="5"/>
    </row>
    <row r="556" spans="18:20" x14ac:dyDescent="0.25">
      <c r="R556" s="5"/>
      <c r="S556" s="5"/>
      <c r="T556" s="5"/>
    </row>
    <row r="557" spans="18:20" x14ac:dyDescent="0.25">
      <c r="R557" s="5"/>
      <c r="S557" s="5"/>
      <c r="T557" s="5"/>
    </row>
    <row r="558" spans="18:20" x14ac:dyDescent="0.25">
      <c r="R558" s="5"/>
      <c r="S558" s="5"/>
      <c r="T558" s="5"/>
    </row>
    <row r="559" spans="18:20" x14ac:dyDescent="0.25">
      <c r="R559" s="5"/>
      <c r="S559" s="5"/>
      <c r="T559" s="5"/>
    </row>
    <row r="560" spans="18:20" x14ac:dyDescent="0.25">
      <c r="R560" s="5"/>
      <c r="S560" s="5"/>
      <c r="T560" s="5"/>
    </row>
    <row r="561" spans="18:20" x14ac:dyDescent="0.25">
      <c r="R561" s="5"/>
      <c r="S561" s="5"/>
      <c r="T561" s="5"/>
    </row>
    <row r="562" spans="18:20" x14ac:dyDescent="0.25">
      <c r="R562" s="5"/>
      <c r="S562" s="5"/>
      <c r="T562" s="5"/>
    </row>
    <row r="563" spans="18:20" x14ac:dyDescent="0.25">
      <c r="R563" s="5"/>
      <c r="S563" s="5"/>
      <c r="T563" s="5"/>
    </row>
    <row r="564" spans="18:20" x14ac:dyDescent="0.25">
      <c r="R564" s="5"/>
      <c r="S564" s="5"/>
      <c r="T564" s="5"/>
    </row>
    <row r="565" spans="18:20" x14ac:dyDescent="0.25">
      <c r="R565" s="5"/>
      <c r="S565" s="5"/>
      <c r="T565" s="5"/>
    </row>
    <row r="566" spans="18:20" x14ac:dyDescent="0.25">
      <c r="R566" s="5"/>
      <c r="S566" s="5"/>
      <c r="T566" s="5"/>
    </row>
    <row r="567" spans="18:20" x14ac:dyDescent="0.25">
      <c r="R567" s="5"/>
      <c r="S567" s="5"/>
      <c r="T567" s="5"/>
    </row>
    <row r="568" spans="18:20" x14ac:dyDescent="0.25">
      <c r="R568" s="5"/>
      <c r="S568" s="5"/>
      <c r="T568" s="5"/>
    </row>
    <row r="569" spans="18:20" x14ac:dyDescent="0.25">
      <c r="R569" s="5"/>
      <c r="S569" s="5"/>
      <c r="T569" s="5"/>
    </row>
    <row r="570" spans="18:20" x14ac:dyDescent="0.25">
      <c r="R570" s="5"/>
      <c r="S570" s="5"/>
      <c r="T570" s="5"/>
    </row>
    <row r="571" spans="18:20" x14ac:dyDescent="0.25">
      <c r="R571" s="5"/>
      <c r="S571" s="5"/>
      <c r="T571" s="5"/>
    </row>
    <row r="572" spans="18:20" x14ac:dyDescent="0.25">
      <c r="R572" s="5"/>
      <c r="S572" s="5"/>
      <c r="T572" s="5"/>
    </row>
    <row r="573" spans="18:20" x14ac:dyDescent="0.25">
      <c r="R573" s="5"/>
      <c r="S573" s="5"/>
      <c r="T573" s="5"/>
    </row>
    <row r="574" spans="18:20" x14ac:dyDescent="0.25">
      <c r="R574" s="5"/>
      <c r="S574" s="5"/>
      <c r="T574" s="5"/>
    </row>
    <row r="575" spans="18:20" x14ac:dyDescent="0.25">
      <c r="R575" s="5"/>
      <c r="S575" s="5"/>
      <c r="T575" s="5"/>
    </row>
    <row r="576" spans="18:20" x14ac:dyDescent="0.25">
      <c r="R576" s="5"/>
      <c r="S576" s="5"/>
      <c r="T576" s="5"/>
    </row>
    <row r="577" spans="18:20" x14ac:dyDescent="0.25">
      <c r="R577" s="5"/>
      <c r="S577" s="5"/>
      <c r="T577" s="5"/>
    </row>
    <row r="578" spans="18:20" x14ac:dyDescent="0.25">
      <c r="R578" s="5"/>
      <c r="S578" s="5"/>
      <c r="T578" s="5"/>
    </row>
    <row r="579" spans="18:20" x14ac:dyDescent="0.25">
      <c r="R579" s="5"/>
      <c r="S579" s="5"/>
      <c r="T579" s="5"/>
    </row>
    <row r="580" spans="18:20" x14ac:dyDescent="0.25">
      <c r="R580" s="5"/>
      <c r="S580" s="5"/>
      <c r="T580" s="5"/>
    </row>
    <row r="581" spans="18:20" x14ac:dyDescent="0.25">
      <c r="R581" s="5"/>
      <c r="S581" s="5"/>
      <c r="T581" s="5"/>
    </row>
    <row r="582" spans="18:20" x14ac:dyDescent="0.25">
      <c r="R582" s="5"/>
      <c r="S582" s="5"/>
      <c r="T582" s="5"/>
    </row>
    <row r="583" spans="18:20" x14ac:dyDescent="0.25">
      <c r="R583" s="5"/>
      <c r="S583" s="5"/>
      <c r="T583" s="5"/>
    </row>
    <row r="584" spans="18:20" x14ac:dyDescent="0.25">
      <c r="R584" s="5"/>
      <c r="S584" s="5"/>
      <c r="T584" s="5"/>
    </row>
    <row r="585" spans="18:20" x14ac:dyDescent="0.25">
      <c r="R585" s="5"/>
      <c r="S585" s="5"/>
      <c r="T585" s="5"/>
    </row>
    <row r="586" spans="18:20" x14ac:dyDescent="0.25">
      <c r="R586" s="5"/>
      <c r="S586" s="5"/>
      <c r="T586" s="5"/>
    </row>
    <row r="587" spans="18:20" x14ac:dyDescent="0.25">
      <c r="R587" s="5"/>
      <c r="S587" s="5"/>
      <c r="T587" s="5"/>
    </row>
    <row r="588" spans="18:20" x14ac:dyDescent="0.25">
      <c r="R588" s="5"/>
      <c r="S588" s="5"/>
      <c r="T588" s="5"/>
    </row>
    <row r="589" spans="18:20" x14ac:dyDescent="0.25">
      <c r="R589" s="5"/>
      <c r="S589" s="5"/>
      <c r="T589" s="5"/>
    </row>
    <row r="590" spans="18:20" x14ac:dyDescent="0.25">
      <c r="R590" s="5"/>
      <c r="S590" s="5"/>
      <c r="T590" s="5"/>
    </row>
    <row r="591" spans="18:20" x14ac:dyDescent="0.25">
      <c r="R591" s="5"/>
      <c r="S591" s="5"/>
      <c r="T591" s="5"/>
    </row>
    <row r="592" spans="18:20" x14ac:dyDescent="0.25">
      <c r="R592" s="5"/>
      <c r="S592" s="5"/>
      <c r="T592" s="5"/>
    </row>
    <row r="593" spans="18:20" x14ac:dyDescent="0.25">
      <c r="R593" s="5"/>
      <c r="S593" s="5"/>
      <c r="T593" s="5"/>
    </row>
    <row r="594" spans="18:20" x14ac:dyDescent="0.25">
      <c r="R594" s="5"/>
      <c r="S594" s="5"/>
      <c r="T594" s="5"/>
    </row>
    <row r="595" spans="18:20" x14ac:dyDescent="0.25">
      <c r="R595" s="5"/>
      <c r="S595" s="5"/>
      <c r="T595" s="5"/>
    </row>
    <row r="596" spans="18:20" x14ac:dyDescent="0.25">
      <c r="R596" s="5"/>
      <c r="S596" s="5"/>
      <c r="T596" s="5"/>
    </row>
    <row r="597" spans="18:20" x14ac:dyDescent="0.25">
      <c r="R597" s="5"/>
      <c r="S597" s="5"/>
      <c r="T597" s="5"/>
    </row>
    <row r="598" spans="18:20" x14ac:dyDescent="0.25">
      <c r="R598" s="5"/>
      <c r="S598" s="5"/>
      <c r="T598" s="5"/>
    </row>
    <row r="599" spans="18:20" x14ac:dyDescent="0.25">
      <c r="R599" s="5"/>
      <c r="S599" s="5"/>
      <c r="T599" s="5"/>
    </row>
    <row r="600" spans="18:20" x14ac:dyDescent="0.25">
      <c r="R600" s="5"/>
      <c r="S600" s="5"/>
      <c r="T600" s="5"/>
    </row>
    <row r="601" spans="18:20" x14ac:dyDescent="0.25">
      <c r="R601" s="5"/>
      <c r="S601" s="5"/>
      <c r="T601" s="5"/>
    </row>
    <row r="602" spans="18:20" x14ac:dyDescent="0.25">
      <c r="R602" s="5"/>
      <c r="S602" s="5"/>
      <c r="T602" s="5"/>
    </row>
    <row r="603" spans="18:20" x14ac:dyDescent="0.25">
      <c r="R603" s="5"/>
      <c r="S603" s="5"/>
      <c r="T603" s="5"/>
    </row>
    <row r="604" spans="18:20" x14ac:dyDescent="0.25">
      <c r="R604" s="5"/>
      <c r="S604" s="5"/>
      <c r="T604" s="5"/>
    </row>
    <row r="605" spans="18:20" x14ac:dyDescent="0.25">
      <c r="R605" s="5"/>
      <c r="S605" s="5"/>
      <c r="T605" s="5"/>
    </row>
    <row r="606" spans="18:20" x14ac:dyDescent="0.25">
      <c r="R606" s="5"/>
      <c r="S606" s="5"/>
      <c r="T606" s="5"/>
    </row>
    <row r="607" spans="18:20" x14ac:dyDescent="0.25">
      <c r="R607" s="5"/>
      <c r="S607" s="5"/>
      <c r="T607" s="5"/>
    </row>
    <row r="608" spans="18:20" x14ac:dyDescent="0.25">
      <c r="R608" s="5"/>
      <c r="S608" s="5"/>
      <c r="T608" s="5"/>
    </row>
    <row r="609" spans="18:20" x14ac:dyDescent="0.25">
      <c r="R609" s="5"/>
      <c r="S609" s="5"/>
      <c r="T609" s="5"/>
    </row>
    <row r="610" spans="18:20" x14ac:dyDescent="0.25">
      <c r="R610" s="5"/>
      <c r="S610" s="5"/>
      <c r="T610" s="5"/>
    </row>
    <row r="611" spans="18:20" x14ac:dyDescent="0.25">
      <c r="R611" s="5"/>
      <c r="S611" s="5"/>
      <c r="T611" s="5"/>
    </row>
    <row r="612" spans="18:20" x14ac:dyDescent="0.25">
      <c r="R612" s="5"/>
      <c r="S612" s="5"/>
      <c r="T612" s="5"/>
    </row>
    <row r="613" spans="18:20" x14ac:dyDescent="0.25">
      <c r="R613" s="5"/>
      <c r="S613" s="5"/>
      <c r="T613" s="5"/>
    </row>
    <row r="614" spans="18:20" x14ac:dyDescent="0.25">
      <c r="R614" s="5"/>
      <c r="S614" s="5"/>
      <c r="T614" s="5"/>
    </row>
    <row r="615" spans="18:20" x14ac:dyDescent="0.25">
      <c r="R615" s="5"/>
      <c r="S615" s="5"/>
      <c r="T615" s="5"/>
    </row>
    <row r="616" spans="18:20" x14ac:dyDescent="0.25">
      <c r="R616" s="5"/>
      <c r="S616" s="5"/>
      <c r="T616" s="5"/>
    </row>
    <row r="617" spans="18:20" x14ac:dyDescent="0.25">
      <c r="R617" s="5"/>
      <c r="S617" s="5"/>
      <c r="T617" s="5"/>
    </row>
    <row r="618" spans="18:20" x14ac:dyDescent="0.25">
      <c r="R618" s="5"/>
      <c r="S618" s="5"/>
      <c r="T618" s="5"/>
    </row>
    <row r="619" spans="18:20" x14ac:dyDescent="0.25">
      <c r="R619" s="5"/>
      <c r="S619" s="5"/>
      <c r="T619" s="5"/>
    </row>
    <row r="620" spans="18:20" x14ac:dyDescent="0.25">
      <c r="R620" s="5"/>
      <c r="S620" s="5"/>
      <c r="T620" s="5"/>
    </row>
    <row r="621" spans="18:20" x14ac:dyDescent="0.25">
      <c r="R621" s="5"/>
      <c r="S621" s="5"/>
      <c r="T621" s="5"/>
    </row>
    <row r="622" spans="18:20" x14ac:dyDescent="0.25">
      <c r="R622" s="5"/>
      <c r="S622" s="5"/>
      <c r="T622" s="5"/>
    </row>
    <row r="623" spans="18:20" x14ac:dyDescent="0.25">
      <c r="R623" s="5"/>
      <c r="S623" s="5"/>
      <c r="T623" s="5"/>
    </row>
    <row r="624" spans="18:20" x14ac:dyDescent="0.25">
      <c r="R624" s="5"/>
      <c r="S624" s="5"/>
      <c r="T624" s="5"/>
    </row>
    <row r="625" spans="18:20" x14ac:dyDescent="0.25">
      <c r="R625" s="5"/>
      <c r="S625" s="5"/>
      <c r="T625" s="5"/>
    </row>
    <row r="626" spans="18:20" x14ac:dyDescent="0.25">
      <c r="R626" s="5"/>
      <c r="S626" s="5"/>
      <c r="T626" s="5"/>
    </row>
    <row r="627" spans="18:20" x14ac:dyDescent="0.25">
      <c r="R627" s="5"/>
      <c r="S627" s="5"/>
      <c r="T627" s="5"/>
    </row>
    <row r="628" spans="18:20" x14ac:dyDescent="0.25">
      <c r="R628" s="5"/>
      <c r="S628" s="5"/>
      <c r="T628" s="5"/>
    </row>
    <row r="629" spans="18:20" x14ac:dyDescent="0.25">
      <c r="R629" s="5"/>
      <c r="S629" s="5"/>
      <c r="T629" s="5"/>
    </row>
    <row r="630" spans="18:20" x14ac:dyDescent="0.25">
      <c r="R630" s="5"/>
      <c r="S630" s="5"/>
      <c r="T630" s="5"/>
    </row>
    <row r="631" spans="18:20" x14ac:dyDescent="0.25">
      <c r="R631" s="5"/>
      <c r="S631" s="5"/>
      <c r="T631" s="5"/>
    </row>
    <row r="632" spans="18:20" x14ac:dyDescent="0.25">
      <c r="R632" s="5"/>
      <c r="S632" s="5"/>
      <c r="T632" s="5"/>
    </row>
    <row r="633" spans="18:20" x14ac:dyDescent="0.25">
      <c r="R633" s="5"/>
      <c r="S633" s="5"/>
      <c r="T633" s="5"/>
    </row>
    <row r="634" spans="18:20" x14ac:dyDescent="0.25">
      <c r="R634" s="5"/>
      <c r="S634" s="5"/>
      <c r="T634" s="5"/>
    </row>
    <row r="635" spans="18:20" x14ac:dyDescent="0.25">
      <c r="R635" s="5"/>
      <c r="S635" s="5"/>
      <c r="T635" s="5"/>
    </row>
    <row r="636" spans="18:20" x14ac:dyDescent="0.25">
      <c r="R636" s="5"/>
      <c r="S636" s="5"/>
      <c r="T636" s="5"/>
    </row>
    <row r="637" spans="18:20" x14ac:dyDescent="0.25">
      <c r="R637" s="5"/>
      <c r="S637" s="5"/>
      <c r="T637" s="5"/>
    </row>
    <row r="638" spans="18:20" x14ac:dyDescent="0.25">
      <c r="R638" s="5"/>
      <c r="S638" s="5"/>
      <c r="T638" s="5"/>
    </row>
    <row r="639" spans="18:20" x14ac:dyDescent="0.25">
      <c r="R639" s="5"/>
      <c r="S639" s="5"/>
      <c r="T639" s="5"/>
    </row>
    <row r="640" spans="18:20" x14ac:dyDescent="0.25">
      <c r="R640" s="5"/>
      <c r="S640" s="5"/>
      <c r="T640" s="5"/>
    </row>
    <row r="641" spans="18:20" x14ac:dyDescent="0.25">
      <c r="R641" s="5"/>
      <c r="S641" s="5"/>
      <c r="T641" s="5"/>
    </row>
    <row r="642" spans="18:20" x14ac:dyDescent="0.25">
      <c r="R642" s="5"/>
      <c r="S642" s="5"/>
      <c r="T642" s="5"/>
    </row>
    <row r="643" spans="18:20" x14ac:dyDescent="0.25">
      <c r="R643" s="5"/>
      <c r="S643" s="5"/>
      <c r="T643" s="5"/>
    </row>
    <row r="644" spans="18:20" x14ac:dyDescent="0.25">
      <c r="R644" s="5"/>
      <c r="S644" s="5"/>
      <c r="T644" s="5"/>
    </row>
    <row r="645" spans="18:20" x14ac:dyDescent="0.25">
      <c r="R645" s="5"/>
      <c r="S645" s="5"/>
      <c r="T645" s="5"/>
    </row>
    <row r="646" spans="18:20" x14ac:dyDescent="0.25">
      <c r="R646" s="5"/>
      <c r="S646" s="5"/>
      <c r="T646" s="5"/>
    </row>
    <row r="647" spans="18:20" x14ac:dyDescent="0.25">
      <c r="R647" s="5"/>
      <c r="S647" s="5"/>
      <c r="T647" s="5"/>
    </row>
    <row r="648" spans="18:20" x14ac:dyDescent="0.25">
      <c r="R648" s="5"/>
      <c r="S648" s="5"/>
      <c r="T648" s="5"/>
    </row>
    <row r="649" spans="18:20" x14ac:dyDescent="0.25">
      <c r="R649" s="5"/>
      <c r="S649" s="5"/>
      <c r="T649" s="5"/>
    </row>
    <row r="650" spans="18:20" x14ac:dyDescent="0.25">
      <c r="R650" s="5"/>
      <c r="S650" s="5"/>
      <c r="T650" s="5"/>
    </row>
    <row r="651" spans="18:20" x14ac:dyDescent="0.25">
      <c r="R651" s="5"/>
      <c r="S651" s="5"/>
      <c r="T651" s="5"/>
    </row>
    <row r="652" spans="18:20" x14ac:dyDescent="0.25">
      <c r="R652" s="5"/>
      <c r="S652" s="5"/>
      <c r="T652" s="5"/>
    </row>
    <row r="653" spans="18:20" x14ac:dyDescent="0.25">
      <c r="R653" s="5"/>
      <c r="S653" s="5"/>
      <c r="T653" s="5"/>
    </row>
    <row r="654" spans="18:20" x14ac:dyDescent="0.25">
      <c r="R654" s="5"/>
      <c r="S654" s="5"/>
      <c r="T654" s="5"/>
    </row>
    <row r="655" spans="18:20" x14ac:dyDescent="0.25">
      <c r="R655" s="5"/>
      <c r="S655" s="5"/>
      <c r="T655" s="5"/>
    </row>
    <row r="656" spans="18:20" x14ac:dyDescent="0.25">
      <c r="R656" s="5"/>
      <c r="S656" s="5"/>
      <c r="T656" s="5"/>
    </row>
    <row r="657" spans="18:20" x14ac:dyDescent="0.25">
      <c r="R657" s="5"/>
      <c r="S657" s="5"/>
      <c r="T657" s="5"/>
    </row>
    <row r="658" spans="18:20" x14ac:dyDescent="0.25">
      <c r="R658" s="5"/>
      <c r="S658" s="5"/>
      <c r="T658" s="5"/>
    </row>
    <row r="659" spans="18:20" x14ac:dyDescent="0.25">
      <c r="R659" s="5"/>
      <c r="S659" s="5"/>
      <c r="T659" s="5"/>
    </row>
    <row r="660" spans="18:20" x14ac:dyDescent="0.25">
      <c r="R660" s="5"/>
      <c r="S660" s="5"/>
      <c r="T660" s="5"/>
    </row>
    <row r="661" spans="18:20" x14ac:dyDescent="0.25">
      <c r="R661" s="5"/>
      <c r="S661" s="5"/>
      <c r="T661" s="5"/>
    </row>
    <row r="662" spans="18:20" x14ac:dyDescent="0.25">
      <c r="R662" s="5"/>
      <c r="S662" s="5"/>
      <c r="T662" s="5"/>
    </row>
    <row r="663" spans="18:20" x14ac:dyDescent="0.25">
      <c r="R663" s="5"/>
      <c r="S663" s="5"/>
      <c r="T663" s="5"/>
    </row>
    <row r="664" spans="18:20" x14ac:dyDescent="0.25">
      <c r="R664" s="5"/>
      <c r="S664" s="5"/>
      <c r="T664" s="5"/>
    </row>
    <row r="665" spans="18:20" x14ac:dyDescent="0.25">
      <c r="R665" s="5"/>
      <c r="S665" s="5"/>
      <c r="T665" s="5"/>
    </row>
    <row r="666" spans="18:20" x14ac:dyDescent="0.25">
      <c r="R666" s="5"/>
      <c r="S666" s="5"/>
      <c r="T666" s="5"/>
    </row>
    <row r="667" spans="18:20" x14ac:dyDescent="0.25">
      <c r="R667" s="5"/>
      <c r="S667" s="5"/>
      <c r="T667" s="5"/>
    </row>
    <row r="668" spans="18:20" x14ac:dyDescent="0.25">
      <c r="R668" s="5"/>
      <c r="S668" s="5"/>
      <c r="T668" s="5"/>
    </row>
    <row r="669" spans="18:20" x14ac:dyDescent="0.25">
      <c r="R669" s="5"/>
      <c r="S669" s="5"/>
      <c r="T669" s="5"/>
    </row>
    <row r="670" spans="18:20" x14ac:dyDescent="0.25">
      <c r="R670" s="5"/>
      <c r="S670" s="5"/>
      <c r="T670" s="5"/>
    </row>
    <row r="671" spans="18:20" x14ac:dyDescent="0.25">
      <c r="R671" s="5"/>
      <c r="S671" s="5"/>
      <c r="T671" s="5"/>
    </row>
    <row r="672" spans="18:20" x14ac:dyDescent="0.25">
      <c r="R672" s="5"/>
      <c r="S672" s="5"/>
      <c r="T672" s="5"/>
    </row>
    <row r="673" spans="18:20" x14ac:dyDescent="0.25">
      <c r="R673" s="5"/>
      <c r="S673" s="5"/>
      <c r="T673" s="5"/>
    </row>
    <row r="674" spans="18:20" x14ac:dyDescent="0.25">
      <c r="R674" s="5"/>
      <c r="S674" s="5"/>
      <c r="T674" s="5"/>
    </row>
    <row r="675" spans="18:20" x14ac:dyDescent="0.25">
      <c r="R675" s="5"/>
      <c r="S675" s="5"/>
      <c r="T675" s="5"/>
    </row>
    <row r="676" spans="18:20" x14ac:dyDescent="0.25">
      <c r="R676" s="5"/>
      <c r="S676" s="5"/>
      <c r="T676" s="5"/>
    </row>
    <row r="677" spans="18:20" x14ac:dyDescent="0.25">
      <c r="R677" s="5"/>
      <c r="S677" s="5"/>
      <c r="T677" s="5"/>
    </row>
    <row r="678" spans="18:20" x14ac:dyDescent="0.25">
      <c r="R678" s="5"/>
      <c r="S678" s="5"/>
      <c r="T678" s="5"/>
    </row>
    <row r="679" spans="18:20" x14ac:dyDescent="0.25">
      <c r="R679" s="5"/>
      <c r="S679" s="5"/>
      <c r="T679" s="5"/>
    </row>
    <row r="680" spans="18:20" x14ac:dyDescent="0.25">
      <c r="R680" s="5"/>
      <c r="S680" s="5"/>
      <c r="T680" s="5"/>
    </row>
    <row r="681" spans="18:20" x14ac:dyDescent="0.25">
      <c r="R681" s="5"/>
      <c r="S681" s="5"/>
      <c r="T681" s="5"/>
    </row>
    <row r="682" spans="18:20" x14ac:dyDescent="0.25">
      <c r="R682" s="5"/>
      <c r="S682" s="5"/>
      <c r="T682" s="5"/>
    </row>
    <row r="683" spans="18:20" x14ac:dyDescent="0.25">
      <c r="R683" s="5"/>
      <c r="S683" s="5"/>
      <c r="T683" s="5"/>
    </row>
    <row r="684" spans="18:20" x14ac:dyDescent="0.25">
      <c r="R684" s="5"/>
      <c r="S684" s="5"/>
      <c r="T684" s="5"/>
    </row>
    <row r="685" spans="18:20" x14ac:dyDescent="0.25">
      <c r="R685" s="5"/>
      <c r="S685" s="5"/>
      <c r="T685" s="5"/>
    </row>
    <row r="686" spans="18:20" x14ac:dyDescent="0.25">
      <c r="R686" s="5"/>
      <c r="S686" s="5"/>
      <c r="T686" s="5"/>
    </row>
    <row r="687" spans="18:20" x14ac:dyDescent="0.25">
      <c r="R687" s="5"/>
      <c r="S687" s="5"/>
      <c r="T687" s="5"/>
    </row>
    <row r="688" spans="18:20" x14ac:dyDescent="0.25">
      <c r="R688" s="5"/>
      <c r="S688" s="5"/>
      <c r="T688" s="5"/>
    </row>
    <row r="689" spans="18:20" x14ac:dyDescent="0.25">
      <c r="R689" s="5"/>
      <c r="S689" s="5"/>
      <c r="T689" s="5"/>
    </row>
    <row r="690" spans="18:20" x14ac:dyDescent="0.25">
      <c r="R690" s="5"/>
      <c r="S690" s="5"/>
      <c r="T690" s="5"/>
    </row>
    <row r="691" spans="18:20" x14ac:dyDescent="0.25">
      <c r="R691" s="5"/>
      <c r="S691" s="5"/>
      <c r="T691" s="5"/>
    </row>
    <row r="692" spans="18:20" x14ac:dyDescent="0.25">
      <c r="R692" s="5"/>
      <c r="S692" s="5"/>
      <c r="T692" s="5"/>
    </row>
    <row r="693" spans="18:20" x14ac:dyDescent="0.25">
      <c r="R693" s="5"/>
      <c r="S693" s="5"/>
      <c r="T693" s="5"/>
    </row>
    <row r="694" spans="18:20" x14ac:dyDescent="0.25">
      <c r="R694" s="5"/>
      <c r="S694" s="5"/>
      <c r="T694" s="5"/>
    </row>
    <row r="695" spans="18:20" x14ac:dyDescent="0.25">
      <c r="R695" s="5"/>
      <c r="S695" s="5"/>
      <c r="T695" s="5"/>
    </row>
    <row r="696" spans="18:20" x14ac:dyDescent="0.25">
      <c r="R696" s="5"/>
      <c r="S696" s="5"/>
      <c r="T696" s="5"/>
    </row>
    <row r="697" spans="18:20" x14ac:dyDescent="0.25">
      <c r="R697" s="5"/>
      <c r="S697" s="5"/>
      <c r="T697" s="5"/>
    </row>
    <row r="698" spans="18:20" x14ac:dyDescent="0.25">
      <c r="R698" s="5"/>
      <c r="S698" s="5"/>
      <c r="T698" s="5"/>
    </row>
    <row r="699" spans="18:20" x14ac:dyDescent="0.25">
      <c r="R699" s="5"/>
      <c r="S699" s="5"/>
      <c r="T699" s="5"/>
    </row>
    <row r="700" spans="18:20" x14ac:dyDescent="0.25">
      <c r="R700" s="5"/>
      <c r="S700" s="5"/>
      <c r="T700" s="5"/>
    </row>
    <row r="701" spans="18:20" x14ac:dyDescent="0.25">
      <c r="R701" s="5"/>
      <c r="S701" s="5"/>
      <c r="T701" s="5"/>
    </row>
    <row r="702" spans="18:20" x14ac:dyDescent="0.25">
      <c r="R702" s="5"/>
      <c r="S702" s="5"/>
      <c r="T702" s="5"/>
    </row>
    <row r="703" spans="18:20" x14ac:dyDescent="0.25">
      <c r="R703" s="5"/>
      <c r="S703" s="5"/>
      <c r="T703" s="5"/>
    </row>
    <row r="704" spans="18:20" x14ac:dyDescent="0.25">
      <c r="R704" s="5"/>
      <c r="S704" s="5"/>
      <c r="T704" s="5"/>
    </row>
    <row r="705" spans="18:20" x14ac:dyDescent="0.25">
      <c r="R705" s="5"/>
      <c r="S705" s="5"/>
      <c r="T705" s="5"/>
    </row>
    <row r="706" spans="18:20" x14ac:dyDescent="0.25">
      <c r="R706" s="5"/>
      <c r="S706" s="5"/>
      <c r="T706" s="5"/>
    </row>
    <row r="707" spans="18:20" x14ac:dyDescent="0.25">
      <c r="R707" s="5"/>
      <c r="S707" s="5"/>
      <c r="T707" s="5"/>
    </row>
    <row r="708" spans="18:20" x14ac:dyDescent="0.25">
      <c r="R708" s="5"/>
      <c r="S708" s="5"/>
      <c r="T708" s="5"/>
    </row>
    <row r="709" spans="18:20" x14ac:dyDescent="0.25">
      <c r="R709" s="5"/>
      <c r="S709" s="5"/>
      <c r="T709" s="5"/>
    </row>
    <row r="710" spans="18:20" x14ac:dyDescent="0.25">
      <c r="R710" s="5"/>
      <c r="S710" s="5"/>
      <c r="T710" s="5"/>
    </row>
    <row r="711" spans="18:20" x14ac:dyDescent="0.25">
      <c r="R711" s="5"/>
      <c r="S711" s="5"/>
      <c r="T711" s="5"/>
    </row>
    <row r="712" spans="18:20" x14ac:dyDescent="0.25">
      <c r="R712" s="5"/>
      <c r="S712" s="5"/>
      <c r="T712" s="5"/>
    </row>
    <row r="713" spans="18:20" x14ac:dyDescent="0.25">
      <c r="R713" s="5"/>
      <c r="S713" s="5"/>
      <c r="T713" s="5"/>
    </row>
    <row r="714" spans="18:20" x14ac:dyDescent="0.25">
      <c r="R714" s="5"/>
      <c r="S714" s="5"/>
      <c r="T714" s="5"/>
    </row>
    <row r="715" spans="18:20" x14ac:dyDescent="0.25">
      <c r="R715" s="5"/>
      <c r="S715" s="5"/>
      <c r="T715" s="5"/>
    </row>
    <row r="716" spans="18:20" x14ac:dyDescent="0.25">
      <c r="R716" s="5"/>
      <c r="S716" s="5"/>
      <c r="T716" s="5"/>
    </row>
    <row r="717" spans="18:20" x14ac:dyDescent="0.25">
      <c r="R717" s="5"/>
      <c r="S717" s="5"/>
      <c r="T717" s="5"/>
    </row>
    <row r="718" spans="18:20" x14ac:dyDescent="0.25">
      <c r="R718" s="5"/>
      <c r="S718" s="5"/>
      <c r="T718" s="5"/>
    </row>
    <row r="719" spans="18:20" x14ac:dyDescent="0.25">
      <c r="R719" s="5"/>
      <c r="S719" s="5"/>
      <c r="T719" s="5"/>
    </row>
    <row r="720" spans="18:20" x14ac:dyDescent="0.25">
      <c r="R720" s="5"/>
      <c r="S720" s="5"/>
      <c r="T720" s="5"/>
    </row>
    <row r="721" spans="18:20" x14ac:dyDescent="0.25">
      <c r="R721" s="5"/>
      <c r="S721" s="5"/>
      <c r="T721" s="5"/>
    </row>
    <row r="722" spans="18:20" x14ac:dyDescent="0.25">
      <c r="R722" s="5"/>
      <c r="S722" s="5"/>
      <c r="T722" s="5"/>
    </row>
    <row r="723" spans="18:20" x14ac:dyDescent="0.25">
      <c r="R723" s="5"/>
      <c r="S723" s="5"/>
      <c r="T723" s="5"/>
    </row>
    <row r="724" spans="18:20" x14ac:dyDescent="0.25">
      <c r="R724" s="5"/>
      <c r="S724" s="5"/>
      <c r="T724" s="5"/>
    </row>
    <row r="725" spans="18:20" x14ac:dyDescent="0.25">
      <c r="R725" s="5"/>
      <c r="S725" s="5"/>
      <c r="T725" s="5"/>
    </row>
    <row r="726" spans="18:20" x14ac:dyDescent="0.25">
      <c r="R726" s="5"/>
      <c r="S726" s="5"/>
      <c r="T726" s="5"/>
    </row>
    <row r="727" spans="18:20" x14ac:dyDescent="0.25">
      <c r="R727" s="5"/>
      <c r="S727" s="5"/>
      <c r="T727" s="5"/>
    </row>
    <row r="728" spans="18:20" x14ac:dyDescent="0.25">
      <c r="R728" s="5"/>
      <c r="S728" s="5"/>
      <c r="T728" s="5"/>
    </row>
    <row r="729" spans="18:20" x14ac:dyDescent="0.25">
      <c r="R729" s="5"/>
      <c r="S729" s="5"/>
      <c r="T729" s="5"/>
    </row>
    <row r="730" spans="18:20" x14ac:dyDescent="0.25">
      <c r="R730" s="5"/>
      <c r="S730" s="5"/>
      <c r="T730" s="5"/>
    </row>
    <row r="731" spans="18:20" x14ac:dyDescent="0.25">
      <c r="R731" s="5"/>
      <c r="S731" s="5"/>
      <c r="T731" s="5"/>
    </row>
    <row r="732" spans="18:20" x14ac:dyDescent="0.25">
      <c r="R732" s="5"/>
      <c r="S732" s="5"/>
      <c r="T732" s="5"/>
    </row>
    <row r="733" spans="18:20" x14ac:dyDescent="0.25">
      <c r="R733" s="5"/>
      <c r="S733" s="5"/>
      <c r="T733" s="5"/>
    </row>
    <row r="734" spans="18:20" x14ac:dyDescent="0.25">
      <c r="R734" s="5"/>
      <c r="S734" s="5"/>
      <c r="T734" s="5"/>
    </row>
    <row r="735" spans="18:20" x14ac:dyDescent="0.25">
      <c r="R735" s="5"/>
      <c r="S735" s="5"/>
      <c r="T735" s="5"/>
    </row>
    <row r="736" spans="18:20" x14ac:dyDescent="0.25">
      <c r="R736" s="5"/>
      <c r="S736" s="5"/>
      <c r="T736" s="5"/>
    </row>
    <row r="737" spans="18:20" x14ac:dyDescent="0.25">
      <c r="R737" s="5"/>
      <c r="S737" s="5"/>
      <c r="T737" s="5"/>
    </row>
    <row r="738" spans="18:20" x14ac:dyDescent="0.25">
      <c r="R738" s="5"/>
      <c r="S738" s="5"/>
      <c r="T738" s="5"/>
    </row>
    <row r="739" spans="18:20" x14ac:dyDescent="0.25">
      <c r="R739" s="5"/>
      <c r="S739" s="5"/>
      <c r="T739" s="5"/>
    </row>
    <row r="740" spans="18:20" x14ac:dyDescent="0.25">
      <c r="R740" s="5"/>
      <c r="S740" s="5"/>
      <c r="T740" s="5"/>
    </row>
    <row r="741" spans="18:20" x14ac:dyDescent="0.25">
      <c r="R741" s="5"/>
      <c r="S741" s="5"/>
      <c r="T741" s="5"/>
    </row>
    <row r="742" spans="18:20" x14ac:dyDescent="0.25">
      <c r="R742" s="5"/>
      <c r="S742" s="5"/>
      <c r="T742" s="5"/>
    </row>
    <row r="743" spans="18:20" x14ac:dyDescent="0.25">
      <c r="R743" s="5"/>
      <c r="S743" s="5"/>
      <c r="T743" s="5"/>
    </row>
    <row r="744" spans="18:20" x14ac:dyDescent="0.25">
      <c r="R744" s="5"/>
      <c r="S744" s="5"/>
      <c r="T744" s="5"/>
    </row>
    <row r="745" spans="18:20" x14ac:dyDescent="0.25">
      <c r="R745" s="5"/>
      <c r="S745" s="5"/>
      <c r="T745" s="5"/>
    </row>
    <row r="746" spans="18:20" x14ac:dyDescent="0.25">
      <c r="R746" s="5"/>
      <c r="S746" s="5"/>
      <c r="T746" s="5"/>
    </row>
    <row r="747" spans="18:20" x14ac:dyDescent="0.25">
      <c r="R747" s="5"/>
      <c r="S747" s="5"/>
      <c r="T747" s="5"/>
    </row>
    <row r="748" spans="18:20" x14ac:dyDescent="0.25">
      <c r="R748" s="5"/>
      <c r="S748" s="5"/>
      <c r="T748" s="5"/>
    </row>
    <row r="749" spans="18:20" x14ac:dyDescent="0.25">
      <c r="R749" s="5"/>
      <c r="S749" s="5"/>
      <c r="T749" s="5"/>
    </row>
    <row r="750" spans="18:20" x14ac:dyDescent="0.25">
      <c r="R750" s="5"/>
      <c r="S750" s="5"/>
      <c r="T750" s="5"/>
    </row>
    <row r="751" spans="18:20" x14ac:dyDescent="0.25">
      <c r="R751" s="5"/>
      <c r="S751" s="5"/>
      <c r="T751" s="5"/>
    </row>
    <row r="752" spans="18:20" x14ac:dyDescent="0.25">
      <c r="R752" s="5"/>
      <c r="S752" s="5"/>
      <c r="T752" s="5"/>
    </row>
    <row r="753" spans="18:20" x14ac:dyDescent="0.25">
      <c r="R753" s="5"/>
      <c r="S753" s="5"/>
      <c r="T753" s="5"/>
    </row>
    <row r="754" spans="18:20" x14ac:dyDescent="0.25">
      <c r="R754" s="5"/>
      <c r="S754" s="5"/>
      <c r="T754" s="5"/>
    </row>
    <row r="755" spans="18:20" x14ac:dyDescent="0.25">
      <c r="R755" s="5"/>
      <c r="S755" s="5"/>
      <c r="T755" s="5"/>
    </row>
    <row r="756" spans="18:20" x14ac:dyDescent="0.25">
      <c r="R756" s="5"/>
      <c r="S756" s="5"/>
      <c r="T756" s="5"/>
    </row>
    <row r="757" spans="18:20" x14ac:dyDescent="0.25">
      <c r="R757" s="5"/>
      <c r="S757" s="5"/>
      <c r="T757" s="5"/>
    </row>
    <row r="758" spans="18:20" x14ac:dyDescent="0.25">
      <c r="R758" s="5"/>
      <c r="S758" s="5"/>
      <c r="T758" s="5"/>
    </row>
    <row r="759" spans="18:20" x14ac:dyDescent="0.25">
      <c r="R759" s="5"/>
      <c r="S759" s="5"/>
      <c r="T759" s="5"/>
    </row>
    <row r="760" spans="18:20" x14ac:dyDescent="0.25">
      <c r="R760" s="5"/>
      <c r="S760" s="5"/>
      <c r="T760" s="5"/>
    </row>
    <row r="761" spans="18:20" x14ac:dyDescent="0.25">
      <c r="R761" s="5"/>
      <c r="S761" s="5"/>
      <c r="T761" s="5"/>
    </row>
    <row r="762" spans="18:20" x14ac:dyDescent="0.25">
      <c r="R762" s="5"/>
      <c r="S762" s="5"/>
      <c r="T762" s="5"/>
    </row>
    <row r="763" spans="18:20" x14ac:dyDescent="0.25">
      <c r="R763" s="5"/>
      <c r="S763" s="5"/>
      <c r="T763" s="5"/>
    </row>
    <row r="764" spans="18:20" x14ac:dyDescent="0.25">
      <c r="R764" s="5"/>
      <c r="S764" s="5"/>
      <c r="T764" s="5"/>
    </row>
    <row r="765" spans="18:20" x14ac:dyDescent="0.25">
      <c r="R765" s="5"/>
      <c r="S765" s="5"/>
      <c r="T765" s="5"/>
    </row>
    <row r="766" spans="18:20" x14ac:dyDescent="0.25">
      <c r="R766" s="5"/>
      <c r="S766" s="5"/>
      <c r="T766" s="5"/>
    </row>
    <row r="767" spans="18:20" x14ac:dyDescent="0.25">
      <c r="R767" s="5"/>
      <c r="S767" s="5"/>
      <c r="T767" s="5"/>
    </row>
    <row r="768" spans="18:20" x14ac:dyDescent="0.25">
      <c r="R768" s="5"/>
      <c r="S768" s="5"/>
      <c r="T768" s="5"/>
    </row>
    <row r="769" spans="18:20" x14ac:dyDescent="0.25">
      <c r="R769" s="5"/>
      <c r="S769" s="5"/>
      <c r="T769" s="5"/>
    </row>
    <row r="770" spans="18:20" x14ac:dyDescent="0.25">
      <c r="R770" s="5"/>
      <c r="S770" s="5"/>
      <c r="T770" s="5"/>
    </row>
    <row r="771" spans="18:20" x14ac:dyDescent="0.25">
      <c r="R771" s="5"/>
      <c r="S771" s="5"/>
      <c r="T771" s="5"/>
    </row>
    <row r="772" spans="18:20" x14ac:dyDescent="0.25">
      <c r="R772" s="5"/>
      <c r="S772" s="5"/>
      <c r="T772" s="5"/>
    </row>
    <row r="773" spans="18:20" x14ac:dyDescent="0.25">
      <c r="R773" s="5"/>
      <c r="S773" s="5"/>
      <c r="T773" s="5"/>
    </row>
    <row r="774" spans="18:20" x14ac:dyDescent="0.25">
      <c r="R774" s="5"/>
      <c r="S774" s="5"/>
      <c r="T774" s="5"/>
    </row>
    <row r="775" spans="18:20" x14ac:dyDescent="0.25">
      <c r="R775" s="5"/>
      <c r="S775" s="5"/>
      <c r="T775" s="5"/>
    </row>
    <row r="776" spans="18:20" x14ac:dyDescent="0.25">
      <c r="R776" s="5"/>
      <c r="S776" s="5"/>
      <c r="T776" s="5"/>
    </row>
    <row r="777" spans="18:20" x14ac:dyDescent="0.25">
      <c r="R777" s="5"/>
      <c r="S777" s="5"/>
      <c r="T777" s="5"/>
    </row>
    <row r="778" spans="18:20" x14ac:dyDescent="0.25">
      <c r="R778" s="5"/>
      <c r="S778" s="5"/>
      <c r="T778" s="5"/>
    </row>
    <row r="779" spans="18:20" x14ac:dyDescent="0.25">
      <c r="R779" s="5"/>
      <c r="S779" s="5"/>
      <c r="T779" s="5"/>
    </row>
    <row r="780" spans="18:20" x14ac:dyDescent="0.25">
      <c r="R780" s="5"/>
      <c r="S780" s="5"/>
      <c r="T780" s="5"/>
    </row>
    <row r="781" spans="18:20" x14ac:dyDescent="0.25">
      <c r="R781" s="5"/>
      <c r="S781" s="5"/>
      <c r="T781" s="5"/>
    </row>
    <row r="782" spans="18:20" x14ac:dyDescent="0.25">
      <c r="R782" s="5"/>
      <c r="S782" s="5"/>
      <c r="T782" s="5"/>
    </row>
    <row r="783" spans="18:20" x14ac:dyDescent="0.25">
      <c r="R783" s="5"/>
      <c r="S783" s="5"/>
      <c r="T783" s="5"/>
    </row>
    <row r="784" spans="18:20" x14ac:dyDescent="0.25">
      <c r="R784" s="5"/>
      <c r="S784" s="5"/>
      <c r="T784" s="5"/>
    </row>
    <row r="785" spans="18:20" x14ac:dyDescent="0.25">
      <c r="R785" s="5"/>
      <c r="S785" s="5"/>
      <c r="T785" s="5"/>
    </row>
    <row r="786" spans="18:20" x14ac:dyDescent="0.25">
      <c r="R786" s="5"/>
      <c r="S786" s="5"/>
      <c r="T786" s="5"/>
    </row>
    <row r="787" spans="18:20" x14ac:dyDescent="0.25">
      <c r="R787" s="5"/>
      <c r="S787" s="5"/>
      <c r="T787" s="5"/>
    </row>
    <row r="788" spans="18:20" x14ac:dyDescent="0.25">
      <c r="R788" s="5"/>
      <c r="S788" s="5"/>
      <c r="T788" s="5"/>
    </row>
    <row r="789" spans="18:20" x14ac:dyDescent="0.25">
      <c r="R789" s="5"/>
      <c r="S789" s="5"/>
      <c r="T789" s="5"/>
    </row>
    <row r="790" spans="18:20" x14ac:dyDescent="0.25">
      <c r="R790" s="5"/>
      <c r="S790" s="5"/>
      <c r="T790" s="5"/>
    </row>
    <row r="791" spans="18:20" x14ac:dyDescent="0.25">
      <c r="R791" s="5"/>
      <c r="S791" s="5"/>
      <c r="T791" s="5"/>
    </row>
    <row r="792" spans="18:20" x14ac:dyDescent="0.25">
      <c r="R792" s="5"/>
      <c r="S792" s="5"/>
      <c r="T792" s="5"/>
    </row>
    <row r="793" spans="18:20" x14ac:dyDescent="0.25">
      <c r="R793" s="5"/>
      <c r="S793" s="5"/>
      <c r="T793" s="5"/>
    </row>
    <row r="794" spans="18:20" x14ac:dyDescent="0.25">
      <c r="R794" s="5"/>
      <c r="S794" s="5"/>
      <c r="T794" s="5"/>
    </row>
    <row r="795" spans="18:20" x14ac:dyDescent="0.25">
      <c r="R795" s="5"/>
      <c r="S795" s="5"/>
      <c r="T795" s="5"/>
    </row>
    <row r="796" spans="18:20" x14ac:dyDescent="0.25">
      <c r="R796" s="5"/>
      <c r="S796" s="5"/>
      <c r="T796" s="5"/>
    </row>
    <row r="797" spans="18:20" x14ac:dyDescent="0.25">
      <c r="R797" s="5"/>
      <c r="S797" s="5"/>
      <c r="T797" s="5"/>
    </row>
    <row r="798" spans="18:20" x14ac:dyDescent="0.25">
      <c r="R798" s="5"/>
      <c r="S798" s="5"/>
      <c r="T798" s="5"/>
    </row>
    <row r="799" spans="18:20" x14ac:dyDescent="0.25">
      <c r="R799" s="5"/>
      <c r="S799" s="5"/>
      <c r="T799" s="5"/>
    </row>
    <row r="800" spans="18:20" x14ac:dyDescent="0.25">
      <c r="R800" s="5"/>
      <c r="S800" s="5"/>
      <c r="T800" s="5"/>
    </row>
    <row r="801" spans="18:20" x14ac:dyDescent="0.25">
      <c r="R801" s="5"/>
      <c r="S801" s="5"/>
      <c r="T801" s="5"/>
    </row>
    <row r="802" spans="18:20" x14ac:dyDescent="0.25">
      <c r="R802" s="5"/>
      <c r="S802" s="5"/>
      <c r="T802" s="5"/>
    </row>
    <row r="803" spans="18:20" x14ac:dyDescent="0.25">
      <c r="R803" s="5"/>
      <c r="S803" s="5"/>
      <c r="T803" s="5"/>
    </row>
    <row r="804" spans="18:20" x14ac:dyDescent="0.25">
      <c r="R804" s="5"/>
      <c r="S804" s="5"/>
      <c r="T804" s="5"/>
    </row>
    <row r="805" spans="18:20" x14ac:dyDescent="0.25">
      <c r="R805" s="5"/>
      <c r="S805" s="5"/>
      <c r="T805" s="5"/>
    </row>
    <row r="806" spans="18:20" x14ac:dyDescent="0.25">
      <c r="R806" s="5"/>
      <c r="S806" s="5"/>
      <c r="T806" s="5"/>
    </row>
    <row r="807" spans="18:20" x14ac:dyDescent="0.25">
      <c r="R807" s="5"/>
      <c r="S807" s="5"/>
      <c r="T807" s="5"/>
    </row>
    <row r="808" spans="18:20" x14ac:dyDescent="0.25">
      <c r="R808" s="5"/>
      <c r="S808" s="5"/>
      <c r="T808" s="5"/>
    </row>
    <row r="809" spans="18:20" x14ac:dyDescent="0.25">
      <c r="R809" s="5"/>
      <c r="S809" s="5"/>
      <c r="T809" s="5"/>
    </row>
    <row r="810" spans="18:20" x14ac:dyDescent="0.25">
      <c r="R810" s="5"/>
      <c r="S810" s="5"/>
      <c r="T810" s="5"/>
    </row>
    <row r="811" spans="18:20" x14ac:dyDescent="0.25">
      <c r="R811" s="5"/>
      <c r="S811" s="5"/>
      <c r="T811" s="5"/>
    </row>
    <row r="812" spans="18:20" x14ac:dyDescent="0.25">
      <c r="R812" s="5"/>
      <c r="S812" s="5"/>
      <c r="T812" s="5"/>
    </row>
    <row r="813" spans="18:20" x14ac:dyDescent="0.25">
      <c r="R813" s="5"/>
      <c r="S813" s="5"/>
      <c r="T813" s="5"/>
    </row>
    <row r="814" spans="18:20" x14ac:dyDescent="0.25">
      <c r="R814" s="5"/>
      <c r="S814" s="5"/>
      <c r="T814" s="5"/>
    </row>
    <row r="815" spans="18:20" x14ac:dyDescent="0.25">
      <c r="R815" s="5"/>
      <c r="S815" s="5"/>
      <c r="T815" s="5"/>
    </row>
    <row r="816" spans="18:20" x14ac:dyDescent="0.25">
      <c r="R816" s="5"/>
      <c r="S816" s="5"/>
      <c r="T816" s="5"/>
    </row>
    <row r="817" spans="18:20" x14ac:dyDescent="0.25">
      <c r="R817" s="5"/>
      <c r="S817" s="5"/>
      <c r="T817" s="5"/>
    </row>
    <row r="818" spans="18:20" x14ac:dyDescent="0.25">
      <c r="R818" s="5"/>
      <c r="S818" s="5"/>
      <c r="T818" s="5"/>
    </row>
    <row r="819" spans="18:20" x14ac:dyDescent="0.25">
      <c r="R819" s="5"/>
      <c r="S819" s="5"/>
      <c r="T819" s="5"/>
    </row>
    <row r="820" spans="18:20" x14ac:dyDescent="0.25">
      <c r="R820" s="5"/>
      <c r="S820" s="5"/>
      <c r="T820" s="5"/>
    </row>
    <row r="821" spans="18:20" x14ac:dyDescent="0.25">
      <c r="R821" s="5"/>
      <c r="S821" s="5"/>
      <c r="T821" s="5"/>
    </row>
    <row r="822" spans="18:20" x14ac:dyDescent="0.25">
      <c r="R822" s="5"/>
      <c r="S822" s="5"/>
      <c r="T822" s="5"/>
    </row>
    <row r="823" spans="18:20" x14ac:dyDescent="0.25">
      <c r="R823" s="5"/>
      <c r="S823" s="5"/>
      <c r="T823" s="5"/>
    </row>
    <row r="824" spans="18:20" x14ac:dyDescent="0.25">
      <c r="R824" s="5"/>
      <c r="S824" s="5"/>
      <c r="T824" s="5"/>
    </row>
    <row r="825" spans="18:20" x14ac:dyDescent="0.25">
      <c r="R825" s="5"/>
      <c r="S825" s="5"/>
      <c r="T825" s="5"/>
    </row>
    <row r="826" spans="18:20" x14ac:dyDescent="0.25">
      <c r="R826" s="5"/>
      <c r="S826" s="5"/>
      <c r="T826" s="5"/>
    </row>
    <row r="827" spans="18:20" x14ac:dyDescent="0.25">
      <c r="R827" s="5"/>
      <c r="S827" s="5"/>
      <c r="T827" s="5"/>
    </row>
    <row r="828" spans="18:20" x14ac:dyDescent="0.25">
      <c r="R828" s="5"/>
      <c r="S828" s="5"/>
      <c r="T828" s="5"/>
    </row>
    <row r="829" spans="18:20" x14ac:dyDescent="0.25">
      <c r="R829" s="5"/>
      <c r="S829" s="5"/>
      <c r="T829" s="5"/>
    </row>
    <row r="830" spans="18:20" x14ac:dyDescent="0.25">
      <c r="R830" s="5"/>
      <c r="S830" s="5"/>
      <c r="T830" s="5"/>
    </row>
    <row r="831" spans="18:20" x14ac:dyDescent="0.25">
      <c r="R831" s="5"/>
      <c r="S831" s="5"/>
      <c r="T831" s="5"/>
    </row>
    <row r="832" spans="18:20" x14ac:dyDescent="0.25">
      <c r="R832" s="5"/>
      <c r="S832" s="5"/>
      <c r="T832" s="5"/>
    </row>
    <row r="833" spans="18:20" x14ac:dyDescent="0.25">
      <c r="R833" s="5"/>
      <c r="S833" s="5"/>
      <c r="T833" s="5"/>
    </row>
    <row r="834" spans="18:20" x14ac:dyDescent="0.25">
      <c r="R834" s="5"/>
      <c r="S834" s="5"/>
      <c r="T834" s="5"/>
    </row>
    <row r="835" spans="18:20" x14ac:dyDescent="0.25">
      <c r="R835" s="5"/>
      <c r="S835" s="5"/>
      <c r="T835" s="5"/>
    </row>
    <row r="836" spans="18:20" x14ac:dyDescent="0.25">
      <c r="R836" s="5"/>
      <c r="S836" s="5"/>
      <c r="T836" s="5"/>
    </row>
    <row r="837" spans="18:20" x14ac:dyDescent="0.25">
      <c r="R837" s="5"/>
      <c r="S837" s="5"/>
      <c r="T837" s="5"/>
    </row>
    <row r="838" spans="18:20" x14ac:dyDescent="0.25">
      <c r="R838" s="5"/>
      <c r="S838" s="5"/>
      <c r="T838" s="5"/>
    </row>
    <row r="839" spans="18:20" x14ac:dyDescent="0.25">
      <c r="R839" s="5"/>
      <c r="S839" s="5"/>
      <c r="T839" s="5"/>
    </row>
    <row r="840" spans="18:20" x14ac:dyDescent="0.25">
      <c r="R840" s="5"/>
      <c r="S840" s="5"/>
      <c r="T840" s="5"/>
    </row>
    <row r="841" spans="18:20" x14ac:dyDescent="0.25">
      <c r="R841" s="5"/>
      <c r="S841" s="5"/>
      <c r="T841" s="5"/>
    </row>
    <row r="842" spans="18:20" x14ac:dyDescent="0.25">
      <c r="R842" s="5"/>
      <c r="S842" s="5"/>
      <c r="T842" s="5"/>
    </row>
    <row r="843" spans="18:20" x14ac:dyDescent="0.25">
      <c r="R843" s="5"/>
      <c r="S843" s="5"/>
      <c r="T843" s="5"/>
    </row>
    <row r="844" spans="18:20" x14ac:dyDescent="0.25">
      <c r="R844" s="5"/>
      <c r="S844" s="5"/>
      <c r="T844" s="5"/>
    </row>
    <row r="845" spans="18:20" x14ac:dyDescent="0.25">
      <c r="R845" s="5"/>
      <c r="S845" s="5"/>
      <c r="T845" s="5"/>
    </row>
    <row r="846" spans="18:20" x14ac:dyDescent="0.25">
      <c r="R846" s="5"/>
      <c r="S846" s="5"/>
      <c r="T846" s="5"/>
    </row>
    <row r="847" spans="18:20" x14ac:dyDescent="0.25">
      <c r="R847" s="5"/>
      <c r="S847" s="5"/>
      <c r="T847" s="5"/>
    </row>
    <row r="848" spans="18:20" x14ac:dyDescent="0.25">
      <c r="R848" s="5"/>
      <c r="S848" s="5"/>
      <c r="T848" s="5"/>
    </row>
    <row r="849" spans="18:20" x14ac:dyDescent="0.25">
      <c r="R849" s="5"/>
      <c r="S849" s="5"/>
      <c r="T849" s="5"/>
    </row>
    <row r="850" spans="18:20" x14ac:dyDescent="0.25">
      <c r="R850" s="5"/>
      <c r="S850" s="5"/>
      <c r="T850" s="5"/>
    </row>
    <row r="851" spans="18:20" x14ac:dyDescent="0.25">
      <c r="R851" s="5"/>
      <c r="S851" s="5"/>
      <c r="T851" s="5"/>
    </row>
    <row r="852" spans="18:20" x14ac:dyDescent="0.25">
      <c r="R852" s="5"/>
      <c r="S852" s="5"/>
      <c r="T852" s="5"/>
    </row>
    <row r="853" spans="18:20" x14ac:dyDescent="0.25">
      <c r="R853" s="5"/>
      <c r="S853" s="5"/>
      <c r="T853" s="5"/>
    </row>
    <row r="854" spans="18:20" x14ac:dyDescent="0.25">
      <c r="R854" s="5"/>
      <c r="S854" s="5"/>
      <c r="T854" s="5"/>
    </row>
    <row r="855" spans="18:20" x14ac:dyDescent="0.25">
      <c r="R855" s="5"/>
      <c r="S855" s="5"/>
      <c r="T855" s="5"/>
    </row>
    <row r="856" spans="18:20" x14ac:dyDescent="0.25">
      <c r="R856" s="5"/>
      <c r="S856" s="5"/>
      <c r="T856" s="5"/>
    </row>
    <row r="857" spans="18:20" x14ac:dyDescent="0.25">
      <c r="R857" s="5"/>
      <c r="S857" s="5"/>
      <c r="T857" s="5"/>
    </row>
    <row r="858" spans="18:20" x14ac:dyDescent="0.25">
      <c r="R858" s="5"/>
      <c r="S858" s="5"/>
      <c r="T858" s="5"/>
    </row>
    <row r="859" spans="18:20" x14ac:dyDescent="0.25">
      <c r="R859" s="5"/>
      <c r="S859" s="5"/>
      <c r="T859" s="5"/>
    </row>
    <row r="860" spans="18:20" x14ac:dyDescent="0.25">
      <c r="R860" s="5"/>
      <c r="S860" s="5"/>
      <c r="T860" s="5"/>
    </row>
    <row r="861" spans="18:20" x14ac:dyDescent="0.25">
      <c r="R861" s="5"/>
      <c r="S861" s="5"/>
      <c r="T861" s="5"/>
    </row>
    <row r="862" spans="18:20" x14ac:dyDescent="0.25">
      <c r="R862" s="5"/>
      <c r="S862" s="5"/>
      <c r="T862" s="5"/>
    </row>
    <row r="863" spans="18:20" x14ac:dyDescent="0.25">
      <c r="R863" s="5"/>
      <c r="S863" s="5"/>
      <c r="T863" s="5"/>
    </row>
    <row r="864" spans="18:20" x14ac:dyDescent="0.25">
      <c r="R864" s="5"/>
      <c r="S864" s="5"/>
      <c r="T864" s="5"/>
    </row>
    <row r="865" spans="18:20" x14ac:dyDescent="0.25">
      <c r="R865" s="5"/>
      <c r="S865" s="5"/>
      <c r="T865" s="5"/>
    </row>
    <row r="866" spans="18:20" x14ac:dyDescent="0.25">
      <c r="R866" s="5"/>
      <c r="S866" s="5"/>
      <c r="T866" s="5"/>
    </row>
    <row r="867" spans="18:20" x14ac:dyDescent="0.25">
      <c r="R867" s="5"/>
      <c r="S867" s="5"/>
      <c r="T867" s="5"/>
    </row>
    <row r="868" spans="18:20" x14ac:dyDescent="0.25">
      <c r="R868" s="5"/>
      <c r="S868" s="5"/>
      <c r="T868" s="5"/>
    </row>
    <row r="869" spans="18:20" x14ac:dyDescent="0.25">
      <c r="R869" s="5"/>
      <c r="S869" s="5"/>
      <c r="T869" s="5"/>
    </row>
    <row r="870" spans="18:20" x14ac:dyDescent="0.25">
      <c r="R870" s="5"/>
      <c r="S870" s="5"/>
      <c r="T870" s="5"/>
    </row>
    <row r="871" spans="18:20" x14ac:dyDescent="0.25">
      <c r="R871" s="5"/>
      <c r="S871" s="5"/>
      <c r="T871" s="5"/>
    </row>
    <row r="872" spans="18:20" x14ac:dyDescent="0.25">
      <c r="R872" s="5"/>
      <c r="S872" s="5"/>
      <c r="T872" s="5"/>
    </row>
    <row r="873" spans="18:20" x14ac:dyDescent="0.25">
      <c r="R873" s="5"/>
      <c r="S873" s="5"/>
      <c r="T873" s="5"/>
    </row>
    <row r="874" spans="18:20" x14ac:dyDescent="0.25">
      <c r="R874" s="5"/>
      <c r="S874" s="5"/>
      <c r="T874" s="5"/>
    </row>
    <row r="875" spans="18:20" x14ac:dyDescent="0.25">
      <c r="R875" s="5"/>
      <c r="S875" s="5"/>
      <c r="T875" s="5"/>
    </row>
    <row r="876" spans="18:20" x14ac:dyDescent="0.25">
      <c r="R876" s="5"/>
      <c r="S876" s="5"/>
      <c r="T876" s="5"/>
    </row>
    <row r="877" spans="18:20" x14ac:dyDescent="0.25">
      <c r="R877" s="5"/>
      <c r="S877" s="5"/>
      <c r="T877" s="5"/>
    </row>
    <row r="878" spans="18:20" x14ac:dyDescent="0.25">
      <c r="R878" s="5"/>
      <c r="S878" s="5"/>
      <c r="T878" s="5"/>
    </row>
    <row r="879" spans="18:20" x14ac:dyDescent="0.25">
      <c r="R879" s="5"/>
      <c r="S879" s="5"/>
      <c r="T879" s="5"/>
    </row>
    <row r="880" spans="18:20" x14ac:dyDescent="0.25">
      <c r="R880" s="5"/>
      <c r="S880" s="5"/>
      <c r="T880" s="5"/>
    </row>
    <row r="881" spans="18:20" x14ac:dyDescent="0.25">
      <c r="R881" s="5"/>
      <c r="S881" s="5"/>
      <c r="T881" s="5"/>
    </row>
    <row r="882" spans="18:20" x14ac:dyDescent="0.25">
      <c r="R882" s="5"/>
      <c r="S882" s="5"/>
      <c r="T882" s="5"/>
    </row>
    <row r="883" spans="18:20" x14ac:dyDescent="0.25">
      <c r="R883" s="5"/>
      <c r="S883" s="5"/>
      <c r="T883" s="5"/>
    </row>
    <row r="884" spans="18:20" x14ac:dyDescent="0.25">
      <c r="R884" s="5"/>
      <c r="S884" s="5"/>
      <c r="T884" s="5"/>
    </row>
    <row r="885" spans="18:20" x14ac:dyDescent="0.25">
      <c r="R885" s="5"/>
      <c r="S885" s="5"/>
      <c r="T885" s="5"/>
    </row>
    <row r="886" spans="18:20" x14ac:dyDescent="0.25">
      <c r="R886" s="5"/>
      <c r="S886" s="5"/>
      <c r="T886" s="5"/>
    </row>
    <row r="887" spans="18:20" x14ac:dyDescent="0.25">
      <c r="R887" s="5"/>
      <c r="S887" s="5"/>
      <c r="T887" s="5"/>
    </row>
    <row r="888" spans="18:20" x14ac:dyDescent="0.25">
      <c r="R888" s="5"/>
      <c r="S888" s="5"/>
      <c r="T888" s="5"/>
    </row>
    <row r="889" spans="18:20" x14ac:dyDescent="0.25">
      <c r="R889" s="5"/>
      <c r="S889" s="5"/>
      <c r="T889" s="5"/>
    </row>
    <row r="890" spans="18:20" x14ac:dyDescent="0.25">
      <c r="R890" s="5"/>
      <c r="S890" s="5"/>
      <c r="T890" s="5"/>
    </row>
    <row r="891" spans="18:20" x14ac:dyDescent="0.25">
      <c r="R891" s="5"/>
      <c r="S891" s="5"/>
      <c r="T891" s="5"/>
    </row>
    <row r="892" spans="18:20" x14ac:dyDescent="0.25">
      <c r="R892" s="5"/>
      <c r="S892" s="5"/>
      <c r="T892" s="5"/>
    </row>
    <row r="893" spans="18:20" x14ac:dyDescent="0.25">
      <c r="R893" s="5"/>
      <c r="S893" s="5"/>
      <c r="T893" s="5"/>
    </row>
    <row r="894" spans="18:20" x14ac:dyDescent="0.25">
      <c r="R894" s="5"/>
      <c r="S894" s="5"/>
      <c r="T894" s="5"/>
    </row>
    <row r="895" spans="18:20" x14ac:dyDescent="0.25">
      <c r="R895" s="5"/>
      <c r="S895" s="5"/>
      <c r="T895" s="5"/>
    </row>
    <row r="896" spans="18:20" x14ac:dyDescent="0.25">
      <c r="R896" s="5"/>
      <c r="S896" s="5"/>
      <c r="T896" s="5"/>
    </row>
    <row r="897" spans="18:20" x14ac:dyDescent="0.25">
      <c r="R897" s="5"/>
      <c r="S897" s="5"/>
      <c r="T897" s="5"/>
    </row>
    <row r="898" spans="18:20" x14ac:dyDescent="0.25">
      <c r="R898" s="5"/>
      <c r="S898" s="5"/>
      <c r="T898" s="5"/>
    </row>
    <row r="899" spans="18:20" x14ac:dyDescent="0.25">
      <c r="R899" s="5"/>
      <c r="S899" s="5"/>
      <c r="T899" s="5"/>
    </row>
    <row r="900" spans="18:20" x14ac:dyDescent="0.25">
      <c r="R900" s="5"/>
      <c r="S900" s="5"/>
      <c r="T900" s="5"/>
    </row>
    <row r="901" spans="18:20" x14ac:dyDescent="0.25">
      <c r="R901" s="5"/>
      <c r="S901" s="5"/>
      <c r="T901" s="5"/>
    </row>
    <row r="902" spans="18:20" x14ac:dyDescent="0.25">
      <c r="R902" s="5"/>
      <c r="S902" s="5"/>
      <c r="T902" s="5"/>
    </row>
    <row r="903" spans="18:20" x14ac:dyDescent="0.25">
      <c r="R903" s="5"/>
      <c r="S903" s="5"/>
      <c r="T903" s="5"/>
    </row>
    <row r="904" spans="18:20" x14ac:dyDescent="0.25">
      <c r="R904" s="5"/>
      <c r="S904" s="5"/>
      <c r="T904" s="5"/>
    </row>
    <row r="905" spans="18:20" x14ac:dyDescent="0.25">
      <c r="R905" s="5"/>
      <c r="S905" s="5"/>
      <c r="T905" s="5"/>
    </row>
    <row r="906" spans="18:20" x14ac:dyDescent="0.25">
      <c r="R906" s="5"/>
      <c r="S906" s="5"/>
      <c r="T906" s="5"/>
    </row>
    <row r="907" spans="18:20" x14ac:dyDescent="0.25">
      <c r="R907" s="5"/>
      <c r="S907" s="5"/>
      <c r="T907" s="5"/>
    </row>
    <row r="908" spans="18:20" x14ac:dyDescent="0.25">
      <c r="R908" s="5"/>
      <c r="S908" s="5"/>
      <c r="T908" s="5"/>
    </row>
    <row r="909" spans="18:20" x14ac:dyDescent="0.25">
      <c r="R909" s="5"/>
      <c r="S909" s="5"/>
      <c r="T909" s="5"/>
    </row>
    <row r="910" spans="18:20" x14ac:dyDescent="0.25">
      <c r="R910" s="5"/>
      <c r="S910" s="5"/>
      <c r="T910" s="5"/>
    </row>
    <row r="911" spans="18:20" x14ac:dyDescent="0.25">
      <c r="R911" s="5"/>
      <c r="S911" s="5"/>
      <c r="T911" s="5"/>
    </row>
    <row r="912" spans="18:20" x14ac:dyDescent="0.25">
      <c r="R912" s="5"/>
      <c r="S912" s="5"/>
      <c r="T912" s="5"/>
    </row>
    <row r="913" spans="18:20" x14ac:dyDescent="0.25">
      <c r="R913" s="5"/>
      <c r="S913" s="5"/>
      <c r="T913" s="5"/>
    </row>
    <row r="914" spans="18:20" x14ac:dyDescent="0.25">
      <c r="R914" s="5"/>
      <c r="S914" s="5"/>
      <c r="T914" s="5"/>
    </row>
    <row r="915" spans="18:20" x14ac:dyDescent="0.25">
      <c r="R915" s="5"/>
      <c r="S915" s="5"/>
      <c r="T915" s="5"/>
    </row>
    <row r="916" spans="18:20" x14ac:dyDescent="0.25">
      <c r="R916" s="5"/>
      <c r="S916" s="5"/>
      <c r="T916" s="5"/>
    </row>
    <row r="917" spans="18:20" x14ac:dyDescent="0.25">
      <c r="R917" s="5"/>
      <c r="S917" s="5"/>
      <c r="T917" s="5"/>
    </row>
    <row r="918" spans="18:20" x14ac:dyDescent="0.25">
      <c r="R918" s="5"/>
      <c r="S918" s="5"/>
      <c r="T918" s="5"/>
    </row>
    <row r="919" spans="18:20" x14ac:dyDescent="0.25">
      <c r="R919" s="5"/>
      <c r="S919" s="5"/>
      <c r="T919" s="5"/>
    </row>
    <row r="920" spans="18:20" x14ac:dyDescent="0.25">
      <c r="R920" s="5"/>
      <c r="S920" s="5"/>
      <c r="T920" s="5"/>
    </row>
    <row r="921" spans="18:20" x14ac:dyDescent="0.25">
      <c r="R921" s="5"/>
      <c r="S921" s="5"/>
      <c r="T921" s="5"/>
    </row>
    <row r="922" spans="18:20" x14ac:dyDescent="0.25">
      <c r="R922" s="5"/>
      <c r="S922" s="5"/>
      <c r="T922" s="5"/>
    </row>
    <row r="923" spans="18:20" x14ac:dyDescent="0.25">
      <c r="R923" s="5"/>
      <c r="S923" s="5"/>
      <c r="T923" s="5"/>
    </row>
    <row r="924" spans="18:20" x14ac:dyDescent="0.25">
      <c r="R924" s="5"/>
      <c r="S924" s="5"/>
      <c r="T924" s="5"/>
    </row>
    <row r="925" spans="18:20" x14ac:dyDescent="0.25">
      <c r="R925" s="5"/>
      <c r="S925" s="5"/>
      <c r="T925" s="5"/>
    </row>
    <row r="926" spans="18:20" x14ac:dyDescent="0.25">
      <c r="R926" s="5"/>
      <c r="S926" s="5"/>
      <c r="T926" s="5"/>
    </row>
    <row r="927" spans="18:20" x14ac:dyDescent="0.25">
      <c r="R927" s="5"/>
      <c r="S927" s="5"/>
      <c r="T927" s="5"/>
    </row>
    <row r="928" spans="18:20" x14ac:dyDescent="0.25">
      <c r="R928" s="5"/>
      <c r="S928" s="5"/>
      <c r="T928" s="5"/>
    </row>
    <row r="929" spans="18:20" x14ac:dyDescent="0.25">
      <c r="R929" s="5"/>
      <c r="S929" s="5"/>
      <c r="T929" s="5"/>
    </row>
    <row r="930" spans="18:20" x14ac:dyDescent="0.25">
      <c r="R930" s="5"/>
      <c r="S930" s="5"/>
      <c r="T930" s="5"/>
    </row>
    <row r="931" spans="18:20" x14ac:dyDescent="0.25">
      <c r="R931" s="5"/>
      <c r="S931" s="5"/>
      <c r="T931" s="5"/>
    </row>
    <row r="932" spans="18:20" x14ac:dyDescent="0.25">
      <c r="R932" s="5"/>
      <c r="S932" s="5"/>
      <c r="T932" s="5"/>
    </row>
    <row r="933" spans="18:20" x14ac:dyDescent="0.25">
      <c r="R933" s="5"/>
      <c r="S933" s="5"/>
      <c r="T933" s="5"/>
    </row>
    <row r="934" spans="18:20" x14ac:dyDescent="0.25">
      <c r="R934" s="5"/>
      <c r="S934" s="5"/>
      <c r="T934" s="5"/>
    </row>
    <row r="935" spans="18:20" x14ac:dyDescent="0.25">
      <c r="R935" s="5"/>
      <c r="S935" s="5"/>
      <c r="T935" s="5"/>
    </row>
    <row r="936" spans="18:20" x14ac:dyDescent="0.25">
      <c r="R936" s="5"/>
      <c r="S936" s="5"/>
      <c r="T936" s="5"/>
    </row>
    <row r="937" spans="18:20" x14ac:dyDescent="0.25">
      <c r="R937" s="5"/>
      <c r="S937" s="5"/>
      <c r="T937" s="5"/>
    </row>
    <row r="938" spans="18:20" x14ac:dyDescent="0.25">
      <c r="R938" s="5"/>
      <c r="S938" s="5"/>
      <c r="T938" s="5"/>
    </row>
    <row r="939" spans="18:20" x14ac:dyDescent="0.25">
      <c r="R939" s="5"/>
      <c r="S939" s="5"/>
      <c r="T939" s="5"/>
    </row>
    <row r="940" spans="18:20" x14ac:dyDescent="0.25">
      <c r="R940" s="5"/>
      <c r="S940" s="5"/>
      <c r="T940" s="5"/>
    </row>
    <row r="941" spans="18:20" x14ac:dyDescent="0.25">
      <c r="R941" s="5"/>
      <c r="S941" s="5"/>
      <c r="T941" s="5"/>
    </row>
    <row r="942" spans="18:20" x14ac:dyDescent="0.25">
      <c r="R942" s="5"/>
      <c r="S942" s="5"/>
      <c r="T942" s="5"/>
    </row>
    <row r="943" spans="18:20" x14ac:dyDescent="0.25">
      <c r="R943" s="5"/>
      <c r="S943" s="5"/>
      <c r="T943" s="5"/>
    </row>
    <row r="944" spans="18:20" x14ac:dyDescent="0.25">
      <c r="R944" s="5"/>
      <c r="S944" s="5"/>
      <c r="T944" s="5"/>
    </row>
    <row r="945" spans="18:20" x14ac:dyDescent="0.25">
      <c r="R945" s="5"/>
      <c r="S945" s="5"/>
      <c r="T945" s="5"/>
    </row>
    <row r="946" spans="18:20" x14ac:dyDescent="0.25">
      <c r="R946" s="5"/>
      <c r="S946" s="5"/>
      <c r="T946" s="5"/>
    </row>
    <row r="947" spans="18:20" x14ac:dyDescent="0.25">
      <c r="R947" s="5"/>
      <c r="S947" s="5"/>
      <c r="T947" s="5"/>
    </row>
    <row r="948" spans="18:20" x14ac:dyDescent="0.25">
      <c r="R948" s="5"/>
      <c r="S948" s="5"/>
      <c r="T948" s="5"/>
    </row>
    <row r="949" spans="18:20" x14ac:dyDescent="0.25">
      <c r="R949" s="5"/>
      <c r="S949" s="5"/>
      <c r="T949" s="5"/>
    </row>
    <row r="950" spans="18:20" x14ac:dyDescent="0.25">
      <c r="R950" s="5"/>
      <c r="S950" s="5"/>
      <c r="T950" s="5"/>
    </row>
    <row r="951" spans="18:20" x14ac:dyDescent="0.25">
      <c r="R951" s="5"/>
      <c r="S951" s="5"/>
      <c r="T951" s="5"/>
    </row>
    <row r="952" spans="18:20" x14ac:dyDescent="0.25">
      <c r="R952" s="5"/>
      <c r="S952" s="5"/>
      <c r="T952" s="5"/>
    </row>
    <row r="953" spans="18:20" x14ac:dyDescent="0.25">
      <c r="R953" s="5"/>
      <c r="S953" s="5"/>
      <c r="T953" s="5"/>
    </row>
    <row r="954" spans="18:20" x14ac:dyDescent="0.25">
      <c r="R954" s="5"/>
      <c r="S954" s="5"/>
      <c r="T954" s="5"/>
    </row>
    <row r="955" spans="18:20" x14ac:dyDescent="0.25">
      <c r="R955" s="5"/>
      <c r="S955" s="5"/>
      <c r="T955" s="5"/>
    </row>
    <row r="956" spans="18:20" x14ac:dyDescent="0.25">
      <c r="R956" s="5"/>
      <c r="S956" s="5"/>
      <c r="T956" s="5"/>
    </row>
    <row r="957" spans="18:20" x14ac:dyDescent="0.25">
      <c r="R957" s="5"/>
      <c r="S957" s="5"/>
      <c r="T957" s="5"/>
    </row>
    <row r="958" spans="18:20" x14ac:dyDescent="0.25">
      <c r="R958" s="5"/>
      <c r="S958" s="5"/>
      <c r="T958" s="5"/>
    </row>
    <row r="959" spans="18:20" x14ac:dyDescent="0.25">
      <c r="R959" s="5"/>
      <c r="S959" s="5"/>
      <c r="T959" s="5"/>
    </row>
    <row r="960" spans="18:20" x14ac:dyDescent="0.25">
      <c r="R960" s="5"/>
      <c r="S960" s="5"/>
      <c r="T960" s="5"/>
    </row>
    <row r="961" spans="18:20" x14ac:dyDescent="0.25">
      <c r="R961" s="5"/>
      <c r="S961" s="5"/>
      <c r="T961" s="5"/>
    </row>
    <row r="962" spans="18:20" x14ac:dyDescent="0.25">
      <c r="R962" s="5"/>
      <c r="S962" s="5"/>
      <c r="T962" s="5"/>
    </row>
    <row r="963" spans="18:20" x14ac:dyDescent="0.25">
      <c r="R963" s="5"/>
      <c r="S963" s="5"/>
      <c r="T963" s="5"/>
    </row>
    <row r="964" spans="18:20" x14ac:dyDescent="0.25">
      <c r="R964" s="5"/>
      <c r="S964" s="5"/>
      <c r="T964" s="5"/>
    </row>
    <row r="965" spans="18:20" x14ac:dyDescent="0.25">
      <c r="R965" s="5"/>
      <c r="S965" s="5"/>
      <c r="T965" s="5"/>
    </row>
    <row r="966" spans="18:20" x14ac:dyDescent="0.25">
      <c r="R966" s="5"/>
      <c r="S966" s="5"/>
      <c r="T966" s="5"/>
    </row>
    <row r="967" spans="18:20" x14ac:dyDescent="0.25">
      <c r="R967" s="5"/>
      <c r="S967" s="5"/>
      <c r="T967" s="5"/>
    </row>
    <row r="968" spans="18:20" x14ac:dyDescent="0.25">
      <c r="R968" s="5"/>
      <c r="S968" s="5"/>
      <c r="T968" s="5"/>
    </row>
    <row r="969" spans="18:20" x14ac:dyDescent="0.25">
      <c r="R969" s="5"/>
      <c r="S969" s="5"/>
      <c r="T969" s="5"/>
    </row>
    <row r="970" spans="18:20" x14ac:dyDescent="0.25">
      <c r="R970" s="5"/>
      <c r="S970" s="5"/>
      <c r="T970" s="5"/>
    </row>
    <row r="971" spans="18:20" x14ac:dyDescent="0.25">
      <c r="R971" s="5"/>
      <c r="S971" s="5"/>
      <c r="T971" s="5"/>
    </row>
    <row r="972" spans="18:20" x14ac:dyDescent="0.25">
      <c r="R972" s="5"/>
      <c r="S972" s="5"/>
      <c r="T972" s="5"/>
    </row>
    <row r="973" spans="18:20" x14ac:dyDescent="0.25">
      <c r="R973" s="5"/>
      <c r="S973" s="5"/>
      <c r="T973" s="5"/>
    </row>
    <row r="974" spans="18:20" x14ac:dyDescent="0.25">
      <c r="R974" s="5"/>
      <c r="S974" s="5"/>
      <c r="T974" s="5"/>
    </row>
    <row r="975" spans="18:20" x14ac:dyDescent="0.25">
      <c r="R975" s="5"/>
      <c r="S975" s="5"/>
      <c r="T975" s="5"/>
    </row>
    <row r="976" spans="18:20" x14ac:dyDescent="0.25">
      <c r="R976" s="5"/>
      <c r="S976" s="5"/>
      <c r="T976" s="5"/>
    </row>
    <row r="977" spans="18:20" x14ac:dyDescent="0.25">
      <c r="R977" s="5"/>
      <c r="S977" s="5"/>
      <c r="T977" s="5"/>
    </row>
    <row r="978" spans="18:20" x14ac:dyDescent="0.25">
      <c r="R978" s="5"/>
      <c r="S978" s="5"/>
      <c r="T978" s="5"/>
    </row>
    <row r="979" spans="18:20" x14ac:dyDescent="0.25">
      <c r="R979" s="5"/>
      <c r="S979" s="5"/>
      <c r="T979" s="5"/>
    </row>
    <row r="980" spans="18:20" x14ac:dyDescent="0.25">
      <c r="R980" s="5"/>
      <c r="S980" s="5"/>
      <c r="T980" s="5"/>
    </row>
    <row r="981" spans="18:20" x14ac:dyDescent="0.25">
      <c r="R981" s="5"/>
      <c r="S981" s="5"/>
      <c r="T981" s="5"/>
    </row>
    <row r="982" spans="18:20" x14ac:dyDescent="0.25">
      <c r="R982" s="5"/>
      <c r="S982" s="5"/>
      <c r="T982" s="5"/>
    </row>
    <row r="983" spans="18:20" x14ac:dyDescent="0.25">
      <c r="R983" s="5"/>
      <c r="S983" s="5"/>
      <c r="T983" s="5"/>
    </row>
    <row r="984" spans="18:20" x14ac:dyDescent="0.25">
      <c r="R984" s="5"/>
      <c r="S984" s="5"/>
      <c r="T984" s="5"/>
    </row>
    <row r="985" spans="18:20" x14ac:dyDescent="0.25">
      <c r="R985" s="5"/>
      <c r="S985" s="5"/>
      <c r="T985" s="5"/>
    </row>
    <row r="986" spans="18:20" x14ac:dyDescent="0.25">
      <c r="R986" s="5"/>
      <c r="S986" s="5"/>
      <c r="T986" s="5"/>
    </row>
    <row r="987" spans="18:20" x14ac:dyDescent="0.25">
      <c r="R987" s="5"/>
      <c r="S987" s="5"/>
      <c r="T987" s="5"/>
    </row>
    <row r="988" spans="18:20" x14ac:dyDescent="0.25">
      <c r="R988" s="5"/>
      <c r="S988" s="5"/>
      <c r="T988" s="5"/>
    </row>
    <row r="989" spans="18:20" x14ac:dyDescent="0.25">
      <c r="R989" s="5"/>
      <c r="S989" s="5"/>
      <c r="T989" s="5"/>
    </row>
    <row r="990" spans="18:20" x14ac:dyDescent="0.25">
      <c r="R990" s="5"/>
      <c r="S990" s="5"/>
      <c r="T990" s="5"/>
    </row>
    <row r="991" spans="18:20" x14ac:dyDescent="0.25">
      <c r="R991" s="5"/>
      <c r="S991" s="5"/>
      <c r="T991" s="5"/>
    </row>
    <row r="992" spans="18:20" x14ac:dyDescent="0.25">
      <c r="R992" s="5"/>
      <c r="S992" s="5"/>
      <c r="T992" s="5"/>
    </row>
    <row r="993" spans="18:20" x14ac:dyDescent="0.25">
      <c r="R993" s="5"/>
      <c r="S993" s="5"/>
      <c r="T993" s="5"/>
    </row>
    <row r="994" spans="18:20" x14ac:dyDescent="0.25">
      <c r="R994" s="5"/>
      <c r="S994" s="5"/>
      <c r="T994" s="5"/>
    </row>
    <row r="995" spans="18:20" x14ac:dyDescent="0.25">
      <c r="R995" s="5"/>
      <c r="S995" s="5"/>
      <c r="T995" s="5"/>
    </row>
    <row r="996" spans="18:20" x14ac:dyDescent="0.25">
      <c r="R996" s="5"/>
      <c r="S996" s="5"/>
      <c r="T996" s="5"/>
    </row>
    <row r="997" spans="18:20" x14ac:dyDescent="0.25">
      <c r="R997" s="5"/>
      <c r="S997" s="5"/>
      <c r="T997" s="5"/>
    </row>
    <row r="998" spans="18:20" x14ac:dyDescent="0.25">
      <c r="R998" s="5"/>
      <c r="S998" s="5"/>
      <c r="T998" s="5"/>
    </row>
    <row r="999" spans="18:20" x14ac:dyDescent="0.25">
      <c r="R999" s="5"/>
      <c r="S999" s="5"/>
      <c r="T999" s="5"/>
    </row>
    <row r="1000" spans="18:20" x14ac:dyDescent="0.25">
      <c r="R1000" s="5"/>
      <c r="S1000" s="5"/>
      <c r="T1000" s="5"/>
    </row>
    <row r="1001" spans="18:20" x14ac:dyDescent="0.25">
      <c r="R1001" s="5"/>
      <c r="S1001" s="5"/>
      <c r="T1001" s="5"/>
    </row>
    <row r="1002" spans="18:20" x14ac:dyDescent="0.25">
      <c r="R1002" s="5"/>
      <c r="S1002" s="5"/>
      <c r="T1002" s="5"/>
    </row>
    <row r="1003" spans="18:20" x14ac:dyDescent="0.25">
      <c r="R1003" s="5"/>
      <c r="S1003" s="5"/>
      <c r="T1003" s="5"/>
    </row>
    <row r="1004" spans="18:20" x14ac:dyDescent="0.25">
      <c r="R1004" s="5"/>
      <c r="S1004" s="5"/>
      <c r="T1004" s="5"/>
    </row>
    <row r="1005" spans="18:20" x14ac:dyDescent="0.25">
      <c r="R1005" s="5"/>
      <c r="S1005" s="5"/>
      <c r="T1005" s="5"/>
    </row>
    <row r="1006" spans="18:20" x14ac:dyDescent="0.25">
      <c r="R1006" s="5"/>
      <c r="S1006" s="5"/>
      <c r="T1006" s="5"/>
    </row>
    <row r="1007" spans="18:20" x14ac:dyDescent="0.25">
      <c r="R1007" s="5"/>
      <c r="S1007" s="5"/>
      <c r="T1007" s="5"/>
    </row>
    <row r="1008" spans="18:20" x14ac:dyDescent="0.25">
      <c r="R1008" s="5"/>
      <c r="S1008" s="5"/>
      <c r="T1008" s="5"/>
    </row>
    <row r="1009" spans="18:20" x14ac:dyDescent="0.25">
      <c r="R1009" s="5"/>
      <c r="S1009" s="5"/>
      <c r="T1009" s="5"/>
    </row>
    <row r="1010" spans="18:20" x14ac:dyDescent="0.25">
      <c r="R1010" s="5"/>
      <c r="S1010" s="5"/>
      <c r="T1010" s="5"/>
    </row>
    <row r="1011" spans="18:20" x14ac:dyDescent="0.25">
      <c r="R1011" s="5"/>
      <c r="S1011" s="5"/>
      <c r="T1011" s="5"/>
    </row>
    <row r="1012" spans="18:20" x14ac:dyDescent="0.25">
      <c r="R1012" s="5"/>
      <c r="S1012" s="5"/>
      <c r="T1012" s="5"/>
    </row>
    <row r="1013" spans="18:20" x14ac:dyDescent="0.25">
      <c r="R1013" s="5"/>
      <c r="S1013" s="5"/>
      <c r="T1013" s="5"/>
    </row>
    <row r="1014" spans="18:20" x14ac:dyDescent="0.25">
      <c r="R1014" s="5"/>
      <c r="S1014" s="5"/>
      <c r="T1014" s="5"/>
    </row>
    <row r="1015" spans="18:20" x14ac:dyDescent="0.25">
      <c r="R1015" s="5"/>
      <c r="S1015" s="5"/>
      <c r="T1015" s="5"/>
    </row>
    <row r="1016" spans="18:20" x14ac:dyDescent="0.25">
      <c r="R1016" s="5"/>
      <c r="S1016" s="5"/>
      <c r="T1016" s="5"/>
    </row>
    <row r="1017" spans="18:20" x14ac:dyDescent="0.25">
      <c r="R1017" s="5"/>
      <c r="S1017" s="5"/>
      <c r="T1017" s="5"/>
    </row>
    <row r="1018" spans="18:20" x14ac:dyDescent="0.25">
      <c r="R1018" s="5"/>
      <c r="S1018" s="5"/>
      <c r="T1018" s="5"/>
    </row>
    <row r="1019" spans="18:20" x14ac:dyDescent="0.25">
      <c r="R1019" s="5"/>
      <c r="S1019" s="5"/>
      <c r="T1019" s="5"/>
    </row>
    <row r="1020" spans="18:20" x14ac:dyDescent="0.25">
      <c r="R1020" s="5"/>
      <c r="S1020" s="5"/>
      <c r="T1020" s="5"/>
    </row>
    <row r="1021" spans="18:20" x14ac:dyDescent="0.25">
      <c r="R1021" s="5"/>
      <c r="S1021" s="5"/>
      <c r="T1021" s="5"/>
    </row>
    <row r="1022" spans="18:20" x14ac:dyDescent="0.25">
      <c r="R1022" s="5"/>
      <c r="S1022" s="5"/>
      <c r="T1022" s="5"/>
    </row>
    <row r="1023" spans="18:20" x14ac:dyDescent="0.25">
      <c r="R1023" s="5"/>
      <c r="S1023" s="5"/>
      <c r="T1023" s="5"/>
    </row>
    <row r="1024" spans="18:20" x14ac:dyDescent="0.25">
      <c r="R1024" s="5"/>
      <c r="S1024" s="5"/>
      <c r="T1024" s="5"/>
    </row>
    <row r="1025" spans="18:20" x14ac:dyDescent="0.25">
      <c r="R1025" s="5"/>
      <c r="S1025" s="5"/>
      <c r="T1025" s="5"/>
    </row>
    <row r="1026" spans="18:20" x14ac:dyDescent="0.25">
      <c r="R1026" s="5"/>
      <c r="S1026" s="5"/>
      <c r="T1026" s="5"/>
    </row>
    <row r="1027" spans="18:20" x14ac:dyDescent="0.25">
      <c r="R1027" s="5"/>
      <c r="S1027" s="5"/>
      <c r="T1027" s="5"/>
    </row>
    <row r="1028" spans="18:20" x14ac:dyDescent="0.25">
      <c r="R1028" s="5"/>
      <c r="S1028" s="5"/>
      <c r="T1028" s="5"/>
    </row>
    <row r="1029" spans="18:20" x14ac:dyDescent="0.25">
      <c r="R1029" s="5"/>
      <c r="S1029" s="5"/>
      <c r="T1029" s="5"/>
    </row>
    <row r="1030" spans="18:20" x14ac:dyDescent="0.25">
      <c r="R1030" s="5"/>
      <c r="S1030" s="5"/>
      <c r="T1030" s="5"/>
    </row>
    <row r="1031" spans="18:20" x14ac:dyDescent="0.25">
      <c r="R1031" s="5"/>
      <c r="S1031" s="5"/>
      <c r="T1031" s="5"/>
    </row>
    <row r="1032" spans="18:20" x14ac:dyDescent="0.25">
      <c r="R1032" s="5"/>
      <c r="S1032" s="5"/>
      <c r="T1032" s="5"/>
    </row>
    <row r="1033" spans="18:20" x14ac:dyDescent="0.25">
      <c r="R1033" s="5"/>
      <c r="S1033" s="5"/>
      <c r="T1033" s="5"/>
    </row>
    <row r="1034" spans="18:20" x14ac:dyDescent="0.25">
      <c r="R1034" s="5"/>
      <c r="S1034" s="5"/>
      <c r="T1034" s="5"/>
    </row>
    <row r="1035" spans="18:20" x14ac:dyDescent="0.25">
      <c r="R1035" s="5"/>
      <c r="S1035" s="5"/>
      <c r="T1035" s="5"/>
    </row>
    <row r="1036" spans="18:20" x14ac:dyDescent="0.25">
      <c r="R1036" s="5"/>
      <c r="S1036" s="5"/>
      <c r="T1036" s="5"/>
    </row>
    <row r="1037" spans="18:20" x14ac:dyDescent="0.25">
      <c r="R1037" s="5"/>
      <c r="S1037" s="5"/>
      <c r="T1037" s="5"/>
    </row>
    <row r="1038" spans="18:20" x14ac:dyDescent="0.25">
      <c r="R1038" s="5"/>
      <c r="S1038" s="5"/>
      <c r="T1038" s="5"/>
    </row>
    <row r="1039" spans="18:20" x14ac:dyDescent="0.25">
      <c r="R1039" s="5"/>
      <c r="S1039" s="5"/>
      <c r="T1039" s="5"/>
    </row>
    <row r="1040" spans="18:20" x14ac:dyDescent="0.25">
      <c r="R1040" s="5"/>
      <c r="S1040" s="5"/>
      <c r="T1040" s="5"/>
    </row>
    <row r="1041" spans="18:20" x14ac:dyDescent="0.25">
      <c r="R1041" s="5"/>
      <c r="S1041" s="5"/>
      <c r="T1041" s="5"/>
    </row>
    <row r="1042" spans="18:20" x14ac:dyDescent="0.25">
      <c r="R1042" s="5"/>
      <c r="S1042" s="5"/>
      <c r="T1042" s="5"/>
    </row>
    <row r="1043" spans="18:20" x14ac:dyDescent="0.25">
      <c r="R1043" s="5"/>
      <c r="S1043" s="5"/>
      <c r="T1043" s="5"/>
    </row>
    <row r="1044" spans="18:20" x14ac:dyDescent="0.25">
      <c r="R1044" s="5"/>
      <c r="S1044" s="5"/>
      <c r="T1044" s="5"/>
    </row>
    <row r="1045" spans="18:20" x14ac:dyDescent="0.25">
      <c r="R1045" s="5"/>
      <c r="S1045" s="5"/>
      <c r="T1045" s="5"/>
    </row>
    <row r="1046" spans="18:20" x14ac:dyDescent="0.25">
      <c r="R1046" s="5"/>
      <c r="S1046" s="5"/>
      <c r="T1046" s="5"/>
    </row>
    <row r="1047" spans="18:20" x14ac:dyDescent="0.25">
      <c r="R1047" s="5"/>
      <c r="S1047" s="5"/>
      <c r="T1047" s="5"/>
    </row>
    <row r="1048" spans="18:20" x14ac:dyDescent="0.25">
      <c r="R1048" s="5"/>
      <c r="S1048" s="5"/>
      <c r="T1048" s="5"/>
    </row>
    <row r="1049" spans="18:20" x14ac:dyDescent="0.25">
      <c r="R1049" s="5"/>
      <c r="S1049" s="5"/>
      <c r="T1049" s="5"/>
    </row>
    <row r="1050" spans="18:20" x14ac:dyDescent="0.25">
      <c r="R1050" s="5"/>
      <c r="S1050" s="5"/>
      <c r="T1050" s="5"/>
    </row>
    <row r="1051" spans="18:20" x14ac:dyDescent="0.25">
      <c r="R1051" s="5"/>
      <c r="S1051" s="5"/>
      <c r="T1051" s="5"/>
    </row>
    <row r="1052" spans="18:20" x14ac:dyDescent="0.25">
      <c r="R1052" s="5"/>
      <c r="S1052" s="5"/>
      <c r="T1052" s="5"/>
    </row>
    <row r="1053" spans="18:20" x14ac:dyDescent="0.25">
      <c r="R1053" s="5"/>
      <c r="S1053" s="5"/>
      <c r="T1053" s="5"/>
    </row>
    <row r="1054" spans="18:20" x14ac:dyDescent="0.25">
      <c r="R1054" s="5"/>
      <c r="S1054" s="5"/>
      <c r="T1054" s="5"/>
    </row>
    <row r="1055" spans="18:20" x14ac:dyDescent="0.25">
      <c r="R1055" s="5"/>
      <c r="S1055" s="5"/>
      <c r="T1055" s="5"/>
    </row>
    <row r="1056" spans="18:20" x14ac:dyDescent="0.25">
      <c r="R1056" s="5"/>
      <c r="S1056" s="5"/>
      <c r="T1056" s="5"/>
    </row>
    <row r="1057" spans="18:20" x14ac:dyDescent="0.25">
      <c r="R1057" s="5"/>
      <c r="S1057" s="5"/>
      <c r="T1057" s="5"/>
    </row>
    <row r="1058" spans="18:20" x14ac:dyDescent="0.25">
      <c r="R1058" s="5"/>
      <c r="S1058" s="5"/>
      <c r="T1058" s="5"/>
    </row>
    <row r="1059" spans="18:20" x14ac:dyDescent="0.25">
      <c r="R1059" s="5"/>
      <c r="S1059" s="5"/>
      <c r="T1059" s="5"/>
    </row>
    <row r="1060" spans="18:20" x14ac:dyDescent="0.25">
      <c r="R1060" s="5"/>
      <c r="S1060" s="5"/>
      <c r="T1060" s="5"/>
    </row>
    <row r="1061" spans="18:20" x14ac:dyDescent="0.25">
      <c r="R1061" s="5"/>
      <c r="S1061" s="5"/>
      <c r="T1061" s="5"/>
    </row>
    <row r="1062" spans="18:20" x14ac:dyDescent="0.25">
      <c r="R1062" s="5"/>
      <c r="S1062" s="5"/>
      <c r="T1062" s="5"/>
    </row>
    <row r="1063" spans="18:20" x14ac:dyDescent="0.25">
      <c r="R1063" s="5"/>
      <c r="S1063" s="5"/>
      <c r="T1063" s="5"/>
    </row>
    <row r="1064" spans="18:20" x14ac:dyDescent="0.25">
      <c r="R1064" s="5"/>
      <c r="S1064" s="5"/>
      <c r="T1064" s="5"/>
    </row>
    <row r="1065" spans="18:20" x14ac:dyDescent="0.25">
      <c r="R1065" s="5"/>
      <c r="S1065" s="5"/>
      <c r="T1065" s="5"/>
    </row>
    <row r="1066" spans="18:20" x14ac:dyDescent="0.25">
      <c r="R1066" s="5"/>
      <c r="S1066" s="5"/>
      <c r="T1066" s="5"/>
    </row>
    <row r="1067" spans="18:20" x14ac:dyDescent="0.25">
      <c r="R1067" s="5"/>
      <c r="S1067" s="5"/>
      <c r="T1067" s="5"/>
    </row>
    <row r="1068" spans="18:20" x14ac:dyDescent="0.25">
      <c r="R1068" s="5"/>
      <c r="S1068" s="5"/>
      <c r="T1068" s="5"/>
    </row>
    <row r="1069" spans="18:20" x14ac:dyDescent="0.25">
      <c r="R1069" s="5"/>
      <c r="S1069" s="5"/>
      <c r="T1069" s="5"/>
    </row>
    <row r="1070" spans="18:20" x14ac:dyDescent="0.25">
      <c r="R1070" s="5"/>
      <c r="S1070" s="5"/>
      <c r="T1070" s="5"/>
    </row>
    <row r="1071" spans="18:20" x14ac:dyDescent="0.25">
      <c r="R1071" s="5"/>
      <c r="S1071" s="5"/>
      <c r="T1071" s="5"/>
    </row>
    <row r="1072" spans="18:20" x14ac:dyDescent="0.25">
      <c r="R1072" s="5"/>
      <c r="S1072" s="5"/>
      <c r="T1072" s="5"/>
    </row>
    <row r="1073" spans="18:20" x14ac:dyDescent="0.25">
      <c r="R1073" s="5"/>
      <c r="S1073" s="5"/>
      <c r="T1073" s="5"/>
    </row>
    <row r="1074" spans="18:20" x14ac:dyDescent="0.25">
      <c r="R1074" s="5"/>
      <c r="S1074" s="5"/>
      <c r="T1074" s="5"/>
    </row>
    <row r="1075" spans="18:20" x14ac:dyDescent="0.25">
      <c r="R1075" s="5"/>
      <c r="S1075" s="5"/>
      <c r="T1075" s="5"/>
    </row>
    <row r="1076" spans="18:20" x14ac:dyDescent="0.25">
      <c r="R1076" s="5"/>
      <c r="S1076" s="5"/>
      <c r="T1076" s="5"/>
    </row>
    <row r="1077" spans="18:20" x14ac:dyDescent="0.25">
      <c r="R1077" s="5"/>
      <c r="S1077" s="5"/>
      <c r="T1077" s="5"/>
    </row>
    <row r="1078" spans="18:20" x14ac:dyDescent="0.25">
      <c r="R1078" s="5"/>
      <c r="S1078" s="5"/>
      <c r="T1078" s="5"/>
    </row>
    <row r="1079" spans="18:20" x14ac:dyDescent="0.25">
      <c r="R1079" s="5"/>
      <c r="S1079" s="5"/>
      <c r="T1079" s="5"/>
    </row>
    <row r="1080" spans="18:20" x14ac:dyDescent="0.25">
      <c r="R1080" s="5"/>
      <c r="S1080" s="5"/>
      <c r="T1080" s="5"/>
    </row>
    <row r="1081" spans="18:20" x14ac:dyDescent="0.25">
      <c r="R1081" s="5"/>
      <c r="S1081" s="5"/>
      <c r="T1081" s="5"/>
    </row>
    <row r="1082" spans="18:20" x14ac:dyDescent="0.25">
      <c r="R1082" s="5"/>
      <c r="S1082" s="5"/>
      <c r="T1082" s="5"/>
    </row>
    <row r="1083" spans="18:20" x14ac:dyDescent="0.25">
      <c r="R1083" s="5"/>
      <c r="S1083" s="5"/>
      <c r="T1083" s="5"/>
    </row>
    <row r="1084" spans="18:20" x14ac:dyDescent="0.25">
      <c r="R1084" s="5"/>
      <c r="S1084" s="5"/>
      <c r="T1084" s="5"/>
    </row>
    <row r="1085" spans="18:20" x14ac:dyDescent="0.25">
      <c r="R1085" s="5"/>
      <c r="S1085" s="5"/>
      <c r="T1085" s="5"/>
    </row>
    <row r="1086" spans="18:20" x14ac:dyDescent="0.25">
      <c r="R1086" s="5"/>
      <c r="S1086" s="5"/>
      <c r="T1086" s="5"/>
    </row>
    <row r="1087" spans="18:20" x14ac:dyDescent="0.25">
      <c r="R1087" s="5"/>
      <c r="S1087" s="5"/>
      <c r="T1087" s="5"/>
    </row>
    <row r="1088" spans="18:20" x14ac:dyDescent="0.25">
      <c r="R1088" s="5"/>
      <c r="S1088" s="5"/>
      <c r="T1088" s="5"/>
    </row>
    <row r="1089" spans="18:20" x14ac:dyDescent="0.25">
      <c r="R1089" s="5"/>
      <c r="S1089" s="5"/>
      <c r="T1089" s="5"/>
    </row>
    <row r="1090" spans="18:20" x14ac:dyDescent="0.25">
      <c r="R1090" s="5"/>
      <c r="S1090" s="5"/>
      <c r="T1090" s="5"/>
    </row>
    <row r="1091" spans="18:20" x14ac:dyDescent="0.25">
      <c r="R1091" s="5"/>
      <c r="S1091" s="5"/>
      <c r="T1091" s="5"/>
    </row>
    <row r="1092" spans="18:20" x14ac:dyDescent="0.25">
      <c r="R1092" s="5"/>
      <c r="S1092" s="5"/>
      <c r="T1092" s="5"/>
    </row>
    <row r="1093" spans="18:20" x14ac:dyDescent="0.25">
      <c r="R1093" s="5"/>
      <c r="S1093" s="5"/>
      <c r="T1093" s="5"/>
    </row>
    <row r="1094" spans="18:20" x14ac:dyDescent="0.25">
      <c r="R1094" s="5"/>
      <c r="S1094" s="5"/>
      <c r="T1094" s="5"/>
    </row>
    <row r="1095" spans="18:20" x14ac:dyDescent="0.25">
      <c r="R1095" s="5"/>
      <c r="S1095" s="5"/>
      <c r="T1095" s="5"/>
    </row>
    <row r="1096" spans="18:20" x14ac:dyDescent="0.25">
      <c r="R1096" s="5"/>
      <c r="S1096" s="5"/>
      <c r="T1096" s="5"/>
    </row>
    <row r="1097" spans="18:20" x14ac:dyDescent="0.25">
      <c r="R1097" s="5"/>
      <c r="S1097" s="5"/>
      <c r="T1097" s="5"/>
    </row>
    <row r="1098" spans="18:20" x14ac:dyDescent="0.25">
      <c r="R1098" s="5"/>
      <c r="S1098" s="5"/>
      <c r="T1098" s="5"/>
    </row>
    <row r="1099" spans="18:20" x14ac:dyDescent="0.25">
      <c r="R1099" s="5"/>
      <c r="S1099" s="5"/>
      <c r="T1099" s="5"/>
    </row>
    <row r="1100" spans="18:20" x14ac:dyDescent="0.25">
      <c r="R1100" s="5"/>
      <c r="S1100" s="5"/>
      <c r="T1100" s="5"/>
    </row>
    <row r="1101" spans="18:20" x14ac:dyDescent="0.25">
      <c r="R1101" s="5"/>
      <c r="S1101" s="5"/>
      <c r="T1101" s="5"/>
    </row>
    <row r="1102" spans="18:20" x14ac:dyDescent="0.25">
      <c r="R1102" s="5"/>
      <c r="S1102" s="5"/>
      <c r="T1102" s="5"/>
    </row>
    <row r="1103" spans="18:20" x14ac:dyDescent="0.25">
      <c r="R1103" s="5"/>
      <c r="S1103" s="5"/>
      <c r="T1103" s="5"/>
    </row>
    <row r="1104" spans="18:20" x14ac:dyDescent="0.25">
      <c r="R1104" s="5"/>
      <c r="S1104" s="5"/>
      <c r="T1104" s="5"/>
    </row>
    <row r="1105" spans="18:20" x14ac:dyDescent="0.25">
      <c r="R1105" s="5"/>
      <c r="S1105" s="5"/>
      <c r="T1105" s="5"/>
    </row>
    <row r="1106" spans="18:20" x14ac:dyDescent="0.25">
      <c r="R1106" s="5"/>
      <c r="S1106" s="5"/>
      <c r="T1106" s="5"/>
    </row>
    <row r="1107" spans="18:20" x14ac:dyDescent="0.25">
      <c r="R1107" s="5"/>
      <c r="S1107" s="5"/>
      <c r="T1107" s="5"/>
    </row>
    <row r="1108" spans="18:20" x14ac:dyDescent="0.25">
      <c r="R1108" s="5"/>
      <c r="S1108" s="5"/>
      <c r="T1108" s="5"/>
    </row>
    <row r="1109" spans="18:20" x14ac:dyDescent="0.25">
      <c r="R1109" s="5"/>
      <c r="S1109" s="5"/>
      <c r="T1109" s="5"/>
    </row>
    <row r="1110" spans="18:20" x14ac:dyDescent="0.25">
      <c r="R1110" s="5"/>
      <c r="S1110" s="5"/>
      <c r="T1110" s="5"/>
    </row>
    <row r="1111" spans="18:20" x14ac:dyDescent="0.25">
      <c r="R1111" s="5"/>
      <c r="S1111" s="5"/>
      <c r="T1111" s="5"/>
    </row>
    <row r="1112" spans="18:20" x14ac:dyDescent="0.25">
      <c r="R1112" s="5"/>
      <c r="S1112" s="5"/>
      <c r="T1112" s="5"/>
    </row>
    <row r="1113" spans="18:20" x14ac:dyDescent="0.25">
      <c r="R1113" s="5"/>
      <c r="S1113" s="5"/>
      <c r="T1113" s="5"/>
    </row>
    <row r="1114" spans="18:20" x14ac:dyDescent="0.25">
      <c r="R1114" s="5"/>
      <c r="S1114" s="5"/>
      <c r="T1114" s="5"/>
    </row>
    <row r="1115" spans="18:20" x14ac:dyDescent="0.25">
      <c r="R1115" s="5"/>
      <c r="S1115" s="5"/>
      <c r="T1115" s="5"/>
    </row>
    <row r="1116" spans="18:20" x14ac:dyDescent="0.25">
      <c r="R1116" s="5"/>
      <c r="S1116" s="5"/>
      <c r="T1116" s="5"/>
    </row>
    <row r="1117" spans="18:20" x14ac:dyDescent="0.25">
      <c r="R1117" s="5"/>
      <c r="S1117" s="5"/>
      <c r="T1117" s="5"/>
    </row>
    <row r="1118" spans="18:20" x14ac:dyDescent="0.25">
      <c r="R1118" s="5"/>
      <c r="S1118" s="5"/>
      <c r="T1118" s="5"/>
    </row>
    <row r="1119" spans="18:20" x14ac:dyDescent="0.25">
      <c r="R1119" s="5"/>
      <c r="S1119" s="5"/>
      <c r="T1119" s="5"/>
    </row>
    <row r="1120" spans="18:20" x14ac:dyDescent="0.25">
      <c r="R1120" s="5"/>
      <c r="S1120" s="5"/>
      <c r="T1120" s="5"/>
    </row>
    <row r="1121" spans="18:20" x14ac:dyDescent="0.25">
      <c r="R1121" s="5"/>
      <c r="S1121" s="5"/>
      <c r="T1121" s="5"/>
    </row>
    <row r="1122" spans="18:20" x14ac:dyDescent="0.25">
      <c r="R1122" s="5"/>
      <c r="S1122" s="5"/>
      <c r="T1122" s="5"/>
    </row>
    <row r="1123" spans="18:20" x14ac:dyDescent="0.25">
      <c r="R1123" s="5"/>
      <c r="S1123" s="5"/>
      <c r="T1123" s="5"/>
    </row>
    <row r="1124" spans="18:20" x14ac:dyDescent="0.25">
      <c r="R1124" s="5"/>
      <c r="S1124" s="5"/>
      <c r="T1124" s="5"/>
    </row>
    <row r="1125" spans="18:20" x14ac:dyDescent="0.25">
      <c r="R1125" s="5"/>
      <c r="S1125" s="5"/>
      <c r="T1125" s="5"/>
    </row>
    <row r="1126" spans="18:20" x14ac:dyDescent="0.25">
      <c r="R1126" s="5"/>
      <c r="S1126" s="5"/>
      <c r="T1126" s="5"/>
    </row>
    <row r="1127" spans="18:20" x14ac:dyDescent="0.25">
      <c r="R1127" s="5"/>
      <c r="S1127" s="5"/>
      <c r="T1127" s="5"/>
    </row>
    <row r="1128" spans="18:20" x14ac:dyDescent="0.25">
      <c r="R1128" s="5"/>
      <c r="S1128" s="5"/>
      <c r="T1128" s="5"/>
    </row>
    <row r="1129" spans="18:20" x14ac:dyDescent="0.25">
      <c r="R1129" s="5"/>
      <c r="S1129" s="5"/>
      <c r="T1129" s="5"/>
    </row>
    <row r="1130" spans="18:20" x14ac:dyDescent="0.25">
      <c r="R1130" s="5"/>
      <c r="S1130" s="5"/>
      <c r="T1130" s="5"/>
    </row>
    <row r="1131" spans="18:20" x14ac:dyDescent="0.25">
      <c r="R1131" s="5"/>
      <c r="S1131" s="5"/>
      <c r="T1131" s="5"/>
    </row>
    <row r="1132" spans="18:20" x14ac:dyDescent="0.25">
      <c r="R1132" s="5"/>
      <c r="S1132" s="5"/>
      <c r="T1132" s="5"/>
    </row>
    <row r="1133" spans="18:20" x14ac:dyDescent="0.25">
      <c r="R1133" s="5"/>
      <c r="S1133" s="5"/>
      <c r="T1133" s="5"/>
    </row>
    <row r="1134" spans="18:20" x14ac:dyDescent="0.25">
      <c r="R1134" s="5"/>
      <c r="S1134" s="5"/>
      <c r="T1134" s="5"/>
    </row>
    <row r="1135" spans="18:20" x14ac:dyDescent="0.25">
      <c r="R1135" s="5"/>
      <c r="S1135" s="5"/>
      <c r="T1135" s="5"/>
    </row>
    <row r="1136" spans="18:20" x14ac:dyDescent="0.25">
      <c r="R1136" s="5"/>
      <c r="S1136" s="5"/>
      <c r="T1136" s="5"/>
    </row>
    <row r="1137" spans="18:20" x14ac:dyDescent="0.25">
      <c r="R1137" s="5"/>
      <c r="S1137" s="5"/>
      <c r="T1137" s="5"/>
    </row>
    <row r="1138" spans="18:20" x14ac:dyDescent="0.25">
      <c r="R1138" s="5"/>
      <c r="S1138" s="5"/>
      <c r="T1138" s="5"/>
    </row>
    <row r="1139" spans="18:20" x14ac:dyDescent="0.25">
      <c r="R1139" s="5"/>
      <c r="S1139" s="5"/>
      <c r="T1139" s="5"/>
    </row>
    <row r="1140" spans="18:20" x14ac:dyDescent="0.25">
      <c r="R1140" s="5"/>
      <c r="S1140" s="5"/>
      <c r="T1140" s="5"/>
    </row>
    <row r="1141" spans="18:20" x14ac:dyDescent="0.25">
      <c r="R1141" s="5"/>
      <c r="S1141" s="5"/>
      <c r="T1141" s="5"/>
    </row>
    <row r="1142" spans="18:20" x14ac:dyDescent="0.25">
      <c r="R1142" s="5"/>
      <c r="S1142" s="5"/>
      <c r="T1142" s="5"/>
    </row>
    <row r="1143" spans="18:20" x14ac:dyDescent="0.25">
      <c r="R1143" s="5"/>
      <c r="S1143" s="5"/>
      <c r="T1143" s="5"/>
    </row>
    <row r="1144" spans="18:20" x14ac:dyDescent="0.25">
      <c r="R1144" s="5"/>
      <c r="S1144" s="5"/>
      <c r="T1144" s="5"/>
    </row>
    <row r="1145" spans="18:20" x14ac:dyDescent="0.25">
      <c r="R1145" s="5"/>
      <c r="S1145" s="5"/>
      <c r="T1145" s="5"/>
    </row>
    <row r="1146" spans="18:20" x14ac:dyDescent="0.25">
      <c r="R1146" s="5"/>
      <c r="S1146" s="5"/>
      <c r="T1146" s="5"/>
    </row>
    <row r="1147" spans="18:20" x14ac:dyDescent="0.25">
      <c r="R1147" s="5"/>
      <c r="S1147" s="5"/>
      <c r="T1147" s="5"/>
    </row>
    <row r="1148" spans="18:20" x14ac:dyDescent="0.25">
      <c r="R1148" s="5"/>
      <c r="S1148" s="5"/>
      <c r="T1148" s="5"/>
    </row>
    <row r="1149" spans="18:20" x14ac:dyDescent="0.25">
      <c r="R1149" s="5"/>
      <c r="S1149" s="5"/>
      <c r="T1149" s="5"/>
    </row>
    <row r="1150" spans="18:20" x14ac:dyDescent="0.25">
      <c r="R1150" s="5"/>
      <c r="S1150" s="5"/>
      <c r="T1150" s="5"/>
    </row>
    <row r="1151" spans="18:20" x14ac:dyDescent="0.25">
      <c r="R1151" s="5"/>
      <c r="S1151" s="5"/>
      <c r="T1151" s="5"/>
    </row>
    <row r="1152" spans="18:20" x14ac:dyDescent="0.25">
      <c r="R1152" s="5"/>
      <c r="S1152" s="5"/>
      <c r="T1152" s="5"/>
    </row>
    <row r="1153" spans="18:20" x14ac:dyDescent="0.25">
      <c r="R1153" s="5"/>
      <c r="S1153" s="5"/>
      <c r="T1153" s="5"/>
    </row>
    <row r="1154" spans="18:20" x14ac:dyDescent="0.25">
      <c r="R1154" s="5"/>
      <c r="S1154" s="5"/>
      <c r="T1154" s="5"/>
    </row>
    <row r="1155" spans="18:20" x14ac:dyDescent="0.25">
      <c r="R1155" s="5"/>
      <c r="S1155" s="5"/>
      <c r="T1155" s="5"/>
    </row>
    <row r="1156" spans="18:20" x14ac:dyDescent="0.25">
      <c r="R1156" s="5"/>
      <c r="S1156" s="5"/>
      <c r="T1156" s="5"/>
    </row>
    <row r="1157" spans="18:20" x14ac:dyDescent="0.25">
      <c r="R1157" s="5"/>
      <c r="S1157" s="5"/>
      <c r="T1157" s="5"/>
    </row>
    <row r="1158" spans="18:20" x14ac:dyDescent="0.25">
      <c r="R1158" s="5"/>
      <c r="S1158" s="5"/>
      <c r="T1158" s="5"/>
    </row>
    <row r="1159" spans="18:20" x14ac:dyDescent="0.25">
      <c r="R1159" s="5"/>
      <c r="S1159" s="5"/>
      <c r="T1159" s="5"/>
    </row>
    <row r="1160" spans="18:20" x14ac:dyDescent="0.25">
      <c r="R1160" s="5"/>
      <c r="S1160" s="5"/>
      <c r="T1160" s="5"/>
    </row>
    <row r="1161" spans="18:20" x14ac:dyDescent="0.25">
      <c r="R1161" s="5"/>
      <c r="S1161" s="5"/>
      <c r="T1161" s="5"/>
    </row>
    <row r="1162" spans="18:20" x14ac:dyDescent="0.25">
      <c r="R1162" s="5"/>
      <c r="S1162" s="5"/>
      <c r="T1162" s="5"/>
    </row>
    <row r="1163" spans="18:20" x14ac:dyDescent="0.25">
      <c r="R1163" s="5"/>
      <c r="S1163" s="5"/>
      <c r="T1163" s="5"/>
    </row>
    <row r="1164" spans="18:20" x14ac:dyDescent="0.25">
      <c r="R1164" s="5"/>
      <c r="S1164" s="5"/>
      <c r="T1164" s="5"/>
    </row>
    <row r="1165" spans="18:20" x14ac:dyDescent="0.25">
      <c r="R1165" s="5"/>
      <c r="S1165" s="5"/>
      <c r="T1165" s="5"/>
    </row>
    <row r="1166" spans="18:20" x14ac:dyDescent="0.25">
      <c r="R1166" s="5"/>
      <c r="S1166" s="5"/>
      <c r="T1166" s="5"/>
    </row>
    <row r="1167" spans="18:20" x14ac:dyDescent="0.25">
      <c r="R1167" s="5"/>
      <c r="S1167" s="5"/>
      <c r="T1167" s="5"/>
    </row>
    <row r="1168" spans="18:20" x14ac:dyDescent="0.25">
      <c r="R1168" s="5"/>
      <c r="S1168" s="5"/>
      <c r="T1168" s="5"/>
    </row>
    <row r="1169" spans="18:20" x14ac:dyDescent="0.25">
      <c r="R1169" s="5"/>
      <c r="S1169" s="5"/>
      <c r="T1169" s="5"/>
    </row>
    <row r="1170" spans="18:20" x14ac:dyDescent="0.25">
      <c r="R1170" s="5"/>
      <c r="S1170" s="5"/>
      <c r="T1170" s="5"/>
    </row>
    <row r="1171" spans="18:20" x14ac:dyDescent="0.25">
      <c r="R1171" s="5"/>
      <c r="S1171" s="5"/>
      <c r="T1171" s="5"/>
    </row>
    <row r="1172" spans="18:20" x14ac:dyDescent="0.25">
      <c r="R1172" s="5"/>
      <c r="S1172" s="5"/>
      <c r="T1172" s="5"/>
    </row>
    <row r="1173" spans="18:20" x14ac:dyDescent="0.25">
      <c r="R1173" s="5"/>
      <c r="S1173" s="5"/>
      <c r="T1173" s="5"/>
    </row>
    <row r="1174" spans="18:20" x14ac:dyDescent="0.25">
      <c r="R1174" s="5"/>
      <c r="S1174" s="5"/>
      <c r="T1174" s="5"/>
    </row>
    <row r="1175" spans="18:20" x14ac:dyDescent="0.25">
      <c r="R1175" s="5"/>
      <c r="S1175" s="5"/>
      <c r="T1175" s="5"/>
    </row>
    <row r="1176" spans="18:20" x14ac:dyDescent="0.25">
      <c r="R1176" s="5"/>
      <c r="S1176" s="5"/>
      <c r="T1176" s="5"/>
    </row>
    <row r="1177" spans="18:20" x14ac:dyDescent="0.25">
      <c r="R1177" s="5"/>
      <c r="S1177" s="5"/>
      <c r="T1177" s="5"/>
    </row>
    <row r="1178" spans="18:20" x14ac:dyDescent="0.25">
      <c r="R1178" s="5"/>
      <c r="S1178" s="5"/>
      <c r="T1178" s="5"/>
    </row>
    <row r="1179" spans="18:20" x14ac:dyDescent="0.25">
      <c r="R1179" s="5"/>
      <c r="S1179" s="5"/>
      <c r="T1179" s="5"/>
    </row>
    <row r="1180" spans="18:20" x14ac:dyDescent="0.25">
      <c r="R1180" s="5"/>
      <c r="S1180" s="5"/>
      <c r="T1180" s="5"/>
    </row>
    <row r="1181" spans="18:20" x14ac:dyDescent="0.25">
      <c r="R1181" s="5"/>
      <c r="S1181" s="5"/>
      <c r="T1181" s="5"/>
    </row>
    <row r="1182" spans="18:20" x14ac:dyDescent="0.25">
      <c r="R1182" s="5"/>
      <c r="S1182" s="5"/>
      <c r="T1182" s="5"/>
    </row>
    <row r="1183" spans="18:20" x14ac:dyDescent="0.25">
      <c r="R1183" s="5"/>
      <c r="S1183" s="5"/>
      <c r="T1183" s="5"/>
    </row>
    <row r="1184" spans="18:20" x14ac:dyDescent="0.25">
      <c r="R1184" s="5"/>
      <c r="S1184" s="5"/>
      <c r="T1184" s="5"/>
    </row>
    <row r="1185" spans="18:20" x14ac:dyDescent="0.25">
      <c r="R1185" s="5"/>
      <c r="S1185" s="5"/>
      <c r="T1185" s="5"/>
    </row>
    <row r="1186" spans="18:20" x14ac:dyDescent="0.25">
      <c r="R1186" s="5"/>
      <c r="S1186" s="5"/>
      <c r="T1186" s="5"/>
    </row>
    <row r="1187" spans="18:20" x14ac:dyDescent="0.25">
      <c r="R1187" s="5"/>
      <c r="S1187" s="5"/>
      <c r="T1187" s="5"/>
    </row>
    <row r="1188" spans="18:20" x14ac:dyDescent="0.25">
      <c r="R1188" s="5"/>
      <c r="S1188" s="5"/>
      <c r="T1188" s="5"/>
    </row>
    <row r="1189" spans="18:20" x14ac:dyDescent="0.25">
      <c r="R1189" s="5"/>
      <c r="S1189" s="5"/>
      <c r="T1189" s="5"/>
    </row>
    <row r="1190" spans="18:20" x14ac:dyDescent="0.25">
      <c r="R1190" s="5"/>
      <c r="S1190" s="5"/>
      <c r="T1190" s="5"/>
    </row>
    <row r="1191" spans="18:20" x14ac:dyDescent="0.25">
      <c r="R1191" s="5"/>
      <c r="S1191" s="5"/>
      <c r="T1191" s="5"/>
    </row>
    <row r="1192" spans="18:20" x14ac:dyDescent="0.25">
      <c r="R1192" s="5"/>
      <c r="S1192" s="5"/>
      <c r="T1192" s="5"/>
    </row>
    <row r="1193" spans="18:20" x14ac:dyDescent="0.25">
      <c r="R1193" s="5"/>
      <c r="S1193" s="5"/>
      <c r="T1193" s="5"/>
    </row>
    <row r="1194" spans="18:20" x14ac:dyDescent="0.25">
      <c r="R1194" s="5"/>
      <c r="S1194" s="5"/>
      <c r="T1194" s="5"/>
    </row>
    <row r="1195" spans="18:20" x14ac:dyDescent="0.25">
      <c r="R1195" s="5"/>
      <c r="S1195" s="5"/>
      <c r="T1195" s="5"/>
    </row>
    <row r="1196" spans="18:20" x14ac:dyDescent="0.25">
      <c r="R1196" s="5"/>
      <c r="S1196" s="5"/>
      <c r="T1196" s="5"/>
    </row>
    <row r="1197" spans="18:20" x14ac:dyDescent="0.25">
      <c r="R1197" s="5"/>
      <c r="S1197" s="5"/>
      <c r="T1197" s="5"/>
    </row>
    <row r="1198" spans="18:20" x14ac:dyDescent="0.25">
      <c r="R1198" s="5"/>
      <c r="S1198" s="5"/>
      <c r="T1198" s="5"/>
    </row>
    <row r="1199" spans="18:20" x14ac:dyDescent="0.25">
      <c r="R1199" s="5"/>
      <c r="S1199" s="5"/>
      <c r="T1199" s="5"/>
    </row>
    <row r="1200" spans="18:20" x14ac:dyDescent="0.25">
      <c r="R1200" s="5"/>
      <c r="S1200" s="5"/>
      <c r="T1200" s="5"/>
    </row>
    <row r="1201" spans="18:20" x14ac:dyDescent="0.25">
      <c r="R1201" s="5"/>
      <c r="S1201" s="5"/>
      <c r="T1201" s="5"/>
    </row>
    <row r="1202" spans="18:20" x14ac:dyDescent="0.25">
      <c r="R1202" s="5"/>
      <c r="S1202" s="5"/>
      <c r="T1202" s="5"/>
    </row>
    <row r="1203" spans="18:20" x14ac:dyDescent="0.25">
      <c r="R1203" s="5"/>
      <c r="S1203" s="5"/>
      <c r="T1203" s="5"/>
    </row>
    <row r="1204" spans="18:20" x14ac:dyDescent="0.25">
      <c r="R1204" s="5"/>
      <c r="S1204" s="5"/>
      <c r="T1204" s="5"/>
    </row>
    <row r="1205" spans="18:20" x14ac:dyDescent="0.25">
      <c r="R1205" s="5"/>
      <c r="S1205" s="5"/>
      <c r="T1205" s="5"/>
    </row>
    <row r="1206" spans="18:20" x14ac:dyDescent="0.25">
      <c r="R1206" s="5"/>
      <c r="S1206" s="5"/>
      <c r="T1206" s="5"/>
    </row>
    <row r="1207" spans="18:20" x14ac:dyDescent="0.25">
      <c r="R1207" s="5"/>
      <c r="S1207" s="5"/>
      <c r="T1207" s="5"/>
    </row>
    <row r="1208" spans="18:20" x14ac:dyDescent="0.25">
      <c r="R1208" s="5"/>
      <c r="S1208" s="5"/>
      <c r="T1208" s="5"/>
    </row>
    <row r="1209" spans="18:20" x14ac:dyDescent="0.25">
      <c r="R1209" s="5"/>
      <c r="S1209" s="5"/>
      <c r="T1209" s="5"/>
    </row>
    <row r="1210" spans="18:20" x14ac:dyDescent="0.25">
      <c r="R1210" s="5"/>
      <c r="S1210" s="5"/>
      <c r="T1210" s="5"/>
    </row>
    <row r="1211" spans="18:20" x14ac:dyDescent="0.25">
      <c r="R1211" s="5"/>
      <c r="S1211" s="5"/>
      <c r="T1211" s="5"/>
    </row>
    <row r="1212" spans="18:20" x14ac:dyDescent="0.25">
      <c r="R1212" s="5"/>
      <c r="S1212" s="5"/>
      <c r="T1212" s="5"/>
    </row>
    <row r="1213" spans="18:20" x14ac:dyDescent="0.25">
      <c r="R1213" s="5"/>
      <c r="S1213" s="5"/>
      <c r="T1213" s="5"/>
    </row>
    <row r="1214" spans="18:20" x14ac:dyDescent="0.25">
      <c r="R1214" s="5"/>
      <c r="S1214" s="5"/>
      <c r="T1214" s="5"/>
    </row>
    <row r="1215" spans="18:20" x14ac:dyDescent="0.25">
      <c r="R1215" s="5"/>
      <c r="S1215" s="5"/>
      <c r="T1215" s="5"/>
    </row>
    <row r="1216" spans="18:20" x14ac:dyDescent="0.25">
      <c r="R1216" s="5"/>
      <c r="S1216" s="5"/>
      <c r="T1216" s="5"/>
    </row>
    <row r="1217" spans="18:20" x14ac:dyDescent="0.25">
      <c r="R1217" s="5"/>
      <c r="S1217" s="5"/>
      <c r="T1217" s="5"/>
    </row>
    <row r="1218" spans="18:20" x14ac:dyDescent="0.25">
      <c r="R1218" s="5"/>
      <c r="S1218" s="5"/>
      <c r="T1218" s="5"/>
    </row>
    <row r="1219" spans="18:20" x14ac:dyDescent="0.25">
      <c r="R1219" s="5"/>
      <c r="S1219" s="5"/>
      <c r="T1219" s="5"/>
    </row>
    <row r="1220" spans="18:20" x14ac:dyDescent="0.25">
      <c r="R1220" s="5"/>
      <c r="S1220" s="5"/>
      <c r="T1220" s="5"/>
    </row>
    <row r="1221" spans="18:20" x14ac:dyDescent="0.25">
      <c r="R1221" s="5"/>
      <c r="S1221" s="5"/>
      <c r="T1221" s="5"/>
    </row>
    <row r="1222" spans="18:20" x14ac:dyDescent="0.25">
      <c r="R1222" s="5"/>
      <c r="S1222" s="5"/>
      <c r="T1222" s="5"/>
    </row>
    <row r="1223" spans="18:20" x14ac:dyDescent="0.25">
      <c r="R1223" s="5"/>
      <c r="S1223" s="5"/>
      <c r="T1223" s="5"/>
    </row>
    <row r="1224" spans="18:20" x14ac:dyDescent="0.25">
      <c r="R1224" s="5"/>
      <c r="S1224" s="5"/>
      <c r="T1224" s="5"/>
    </row>
    <row r="1225" spans="18:20" x14ac:dyDescent="0.25">
      <c r="R1225" s="5"/>
      <c r="S1225" s="5"/>
      <c r="T1225" s="5"/>
    </row>
    <row r="1226" spans="18:20" x14ac:dyDescent="0.25">
      <c r="R1226" s="5"/>
      <c r="S1226" s="5"/>
      <c r="T1226" s="5"/>
    </row>
    <row r="1227" spans="18:20" x14ac:dyDescent="0.25">
      <c r="R1227" s="5"/>
      <c r="S1227" s="5"/>
      <c r="T1227" s="5"/>
    </row>
    <row r="1228" spans="18:20" x14ac:dyDescent="0.25">
      <c r="R1228" s="5"/>
      <c r="S1228" s="5"/>
      <c r="T1228" s="5"/>
    </row>
    <row r="1229" spans="18:20" x14ac:dyDescent="0.25">
      <c r="R1229" s="5"/>
      <c r="S1229" s="5"/>
      <c r="T1229" s="5"/>
    </row>
    <row r="1230" spans="18:20" x14ac:dyDescent="0.25">
      <c r="R1230" s="5"/>
      <c r="S1230" s="5"/>
      <c r="T1230" s="5"/>
    </row>
    <row r="1231" spans="18:20" x14ac:dyDescent="0.25">
      <c r="R1231" s="5"/>
      <c r="S1231" s="5"/>
      <c r="T1231" s="5"/>
    </row>
    <row r="1232" spans="18:20" x14ac:dyDescent="0.25">
      <c r="R1232" s="5"/>
      <c r="S1232" s="5"/>
      <c r="T1232" s="5"/>
    </row>
    <row r="1233" spans="18:20" x14ac:dyDescent="0.25">
      <c r="R1233" s="5"/>
      <c r="S1233" s="5"/>
      <c r="T1233" s="5"/>
    </row>
    <row r="1234" spans="18:20" x14ac:dyDescent="0.25">
      <c r="R1234" s="5"/>
      <c r="S1234" s="5"/>
      <c r="T1234" s="5"/>
    </row>
    <row r="1235" spans="18:20" x14ac:dyDescent="0.25">
      <c r="R1235" s="5"/>
      <c r="S1235" s="5"/>
      <c r="T1235" s="5"/>
    </row>
    <row r="1236" spans="18:20" x14ac:dyDescent="0.25">
      <c r="R1236" s="5"/>
      <c r="S1236" s="5"/>
      <c r="T1236" s="5"/>
    </row>
    <row r="1237" spans="18:20" x14ac:dyDescent="0.25">
      <c r="R1237" s="5"/>
      <c r="S1237" s="5"/>
      <c r="T1237" s="5"/>
    </row>
    <row r="1238" spans="18:20" x14ac:dyDescent="0.25">
      <c r="R1238" s="5"/>
      <c r="S1238" s="5"/>
      <c r="T1238" s="5"/>
    </row>
    <row r="1239" spans="18:20" x14ac:dyDescent="0.25">
      <c r="R1239" s="5"/>
      <c r="S1239" s="5"/>
      <c r="T1239" s="5"/>
    </row>
    <row r="1240" spans="18:20" x14ac:dyDescent="0.25">
      <c r="R1240" s="5"/>
      <c r="S1240" s="5"/>
      <c r="T1240" s="5"/>
    </row>
    <row r="1241" spans="18:20" x14ac:dyDescent="0.25">
      <c r="R1241" s="5"/>
      <c r="S1241" s="5"/>
      <c r="T1241" s="5"/>
    </row>
    <row r="1242" spans="18:20" x14ac:dyDescent="0.25">
      <c r="R1242" s="5"/>
      <c r="S1242" s="5"/>
      <c r="T1242" s="5"/>
    </row>
    <row r="1243" spans="18:20" x14ac:dyDescent="0.25">
      <c r="R1243" s="5"/>
      <c r="S1243" s="5"/>
      <c r="T1243" s="5"/>
    </row>
    <row r="1244" spans="18:20" x14ac:dyDescent="0.25">
      <c r="R1244" s="5"/>
      <c r="S1244" s="5"/>
      <c r="T1244" s="5"/>
    </row>
    <row r="1245" spans="18:20" x14ac:dyDescent="0.25">
      <c r="R1245" s="5"/>
      <c r="S1245" s="5"/>
      <c r="T1245" s="5"/>
    </row>
    <row r="1246" spans="18:20" x14ac:dyDescent="0.25">
      <c r="R1246" s="5"/>
      <c r="S1246" s="5"/>
      <c r="T1246" s="5"/>
    </row>
    <row r="1247" spans="18:20" x14ac:dyDescent="0.25">
      <c r="R1247" s="5"/>
      <c r="S1247" s="5"/>
      <c r="T1247" s="5"/>
    </row>
    <row r="1248" spans="18:20" x14ac:dyDescent="0.25">
      <c r="R1248" s="5"/>
      <c r="S1248" s="5"/>
      <c r="T1248" s="5"/>
    </row>
    <row r="1249" spans="18:20" x14ac:dyDescent="0.25">
      <c r="R1249" s="5"/>
      <c r="S1249" s="5"/>
      <c r="T1249" s="5"/>
    </row>
    <row r="1250" spans="18:20" x14ac:dyDescent="0.25">
      <c r="R1250" s="5"/>
      <c r="S1250" s="5"/>
      <c r="T1250" s="5"/>
    </row>
    <row r="1251" spans="18:20" x14ac:dyDescent="0.25">
      <c r="R1251" s="5"/>
      <c r="S1251" s="5"/>
      <c r="T1251" s="5"/>
    </row>
    <row r="1252" spans="18:20" x14ac:dyDescent="0.25">
      <c r="R1252" s="5"/>
      <c r="S1252" s="5"/>
      <c r="T1252" s="5"/>
    </row>
    <row r="1253" spans="18:20" x14ac:dyDescent="0.25">
      <c r="R1253" s="5"/>
      <c r="S1253" s="5"/>
      <c r="T1253" s="5"/>
    </row>
    <row r="1254" spans="18:20" x14ac:dyDescent="0.25">
      <c r="R1254" s="5"/>
      <c r="S1254" s="5"/>
      <c r="T1254" s="5"/>
    </row>
    <row r="1255" spans="18:20" x14ac:dyDescent="0.25">
      <c r="R1255" s="5"/>
      <c r="S1255" s="5"/>
      <c r="T1255" s="5"/>
    </row>
    <row r="1256" spans="18:20" x14ac:dyDescent="0.25">
      <c r="R1256" s="5"/>
      <c r="S1256" s="5"/>
      <c r="T1256" s="5"/>
    </row>
    <row r="1257" spans="18:20" x14ac:dyDescent="0.25">
      <c r="R1257" s="5"/>
      <c r="S1257" s="5"/>
      <c r="T1257" s="5"/>
    </row>
    <row r="1258" spans="18:20" x14ac:dyDescent="0.25">
      <c r="R1258" s="5"/>
      <c r="S1258" s="5"/>
      <c r="T1258" s="5"/>
    </row>
    <row r="1259" spans="18:20" x14ac:dyDescent="0.25">
      <c r="R1259" s="5"/>
      <c r="S1259" s="5"/>
      <c r="T1259" s="5"/>
    </row>
    <row r="1260" spans="18:20" x14ac:dyDescent="0.25">
      <c r="R1260" s="5"/>
      <c r="S1260" s="5"/>
      <c r="T1260" s="5"/>
    </row>
    <row r="1261" spans="18:20" x14ac:dyDescent="0.25">
      <c r="R1261" s="5"/>
      <c r="S1261" s="5"/>
      <c r="T1261" s="5"/>
    </row>
    <row r="1262" spans="18:20" x14ac:dyDescent="0.25">
      <c r="R1262" s="5"/>
      <c r="S1262" s="5"/>
      <c r="T1262" s="5"/>
    </row>
    <row r="1263" spans="18:20" x14ac:dyDescent="0.25">
      <c r="R1263" s="5"/>
      <c r="S1263" s="5"/>
      <c r="T1263" s="5"/>
    </row>
    <row r="1264" spans="18:20" x14ac:dyDescent="0.25">
      <c r="R1264" s="5"/>
      <c r="S1264" s="5"/>
      <c r="T1264" s="5"/>
    </row>
    <row r="1265" spans="18:20" x14ac:dyDescent="0.25">
      <c r="R1265" s="5"/>
      <c r="S1265" s="5"/>
      <c r="T1265" s="5"/>
    </row>
    <row r="1266" spans="18:20" x14ac:dyDescent="0.25">
      <c r="R1266" s="5"/>
      <c r="S1266" s="5"/>
      <c r="T1266" s="5"/>
    </row>
    <row r="1267" spans="18:20" x14ac:dyDescent="0.25">
      <c r="R1267" s="5"/>
      <c r="S1267" s="5"/>
      <c r="T1267" s="5"/>
    </row>
    <row r="1268" spans="18:20" x14ac:dyDescent="0.25">
      <c r="R1268" s="5"/>
      <c r="S1268" s="5"/>
      <c r="T1268" s="5"/>
    </row>
    <row r="1269" spans="18:20" x14ac:dyDescent="0.25">
      <c r="R1269" s="5"/>
      <c r="S1269" s="5"/>
      <c r="T1269" s="5"/>
    </row>
    <row r="1270" spans="18:20" x14ac:dyDescent="0.25">
      <c r="R1270" s="5"/>
      <c r="S1270" s="5"/>
      <c r="T1270" s="5"/>
    </row>
    <row r="1271" spans="18:20" x14ac:dyDescent="0.25">
      <c r="R1271" s="5"/>
      <c r="S1271" s="5"/>
      <c r="T1271" s="5"/>
    </row>
    <row r="1272" spans="18:20" x14ac:dyDescent="0.25">
      <c r="R1272" s="5"/>
      <c r="S1272" s="5"/>
      <c r="T1272" s="5"/>
    </row>
    <row r="1273" spans="18:20" x14ac:dyDescent="0.25">
      <c r="R1273" s="5"/>
      <c r="S1273" s="5"/>
      <c r="T1273" s="5"/>
    </row>
    <row r="1274" spans="18:20" x14ac:dyDescent="0.25">
      <c r="R1274" s="5"/>
      <c r="S1274" s="5"/>
      <c r="T1274" s="5"/>
    </row>
    <row r="1275" spans="18:20" x14ac:dyDescent="0.25">
      <c r="R1275" s="5"/>
      <c r="S1275" s="5"/>
      <c r="T1275" s="5"/>
    </row>
    <row r="1276" spans="18:20" x14ac:dyDescent="0.25">
      <c r="R1276" s="5"/>
      <c r="S1276" s="5"/>
      <c r="T1276" s="5"/>
    </row>
    <row r="1277" spans="18:20" x14ac:dyDescent="0.25">
      <c r="R1277" s="5"/>
      <c r="S1277" s="5"/>
      <c r="T1277" s="5"/>
    </row>
    <row r="1278" spans="18:20" x14ac:dyDescent="0.25">
      <c r="R1278" s="5"/>
      <c r="S1278" s="5"/>
      <c r="T1278" s="5"/>
    </row>
    <row r="1279" spans="18:20" x14ac:dyDescent="0.25">
      <c r="R1279" s="5"/>
      <c r="S1279" s="5"/>
      <c r="T1279" s="5"/>
    </row>
    <row r="1280" spans="18:20" x14ac:dyDescent="0.25">
      <c r="R1280" s="5"/>
      <c r="S1280" s="5"/>
      <c r="T1280" s="5"/>
    </row>
    <row r="1281" spans="18:20" x14ac:dyDescent="0.25">
      <c r="R1281" s="5"/>
      <c r="S1281" s="5"/>
      <c r="T1281" s="5"/>
    </row>
    <row r="1282" spans="18:20" x14ac:dyDescent="0.25">
      <c r="R1282" s="5"/>
      <c r="S1282" s="5"/>
      <c r="T1282" s="5"/>
    </row>
    <row r="1283" spans="18:20" x14ac:dyDescent="0.25">
      <c r="R1283" s="5"/>
      <c r="S1283" s="5"/>
      <c r="T1283" s="5"/>
    </row>
    <row r="1284" spans="18:20" x14ac:dyDescent="0.25">
      <c r="R1284" s="5"/>
      <c r="S1284" s="5"/>
      <c r="T1284" s="5"/>
    </row>
    <row r="1285" spans="18:20" x14ac:dyDescent="0.25">
      <c r="R1285" s="5"/>
      <c r="S1285" s="5"/>
      <c r="T1285" s="5"/>
    </row>
    <row r="1286" spans="18:20" x14ac:dyDescent="0.25">
      <c r="R1286" s="5"/>
      <c r="S1286" s="5"/>
      <c r="T1286" s="5"/>
    </row>
    <row r="1287" spans="18:20" x14ac:dyDescent="0.25">
      <c r="R1287" s="5"/>
      <c r="S1287" s="5"/>
      <c r="T1287" s="5"/>
    </row>
    <row r="1288" spans="18:20" x14ac:dyDescent="0.25">
      <c r="R1288" s="5"/>
      <c r="S1288" s="5"/>
      <c r="T1288" s="5"/>
    </row>
    <row r="1289" spans="18:20" x14ac:dyDescent="0.25">
      <c r="R1289" s="5"/>
      <c r="S1289" s="5"/>
      <c r="T1289" s="5"/>
    </row>
    <row r="1290" spans="18:20" x14ac:dyDescent="0.25">
      <c r="R1290" s="5"/>
      <c r="S1290" s="5"/>
      <c r="T1290" s="5"/>
    </row>
    <row r="1291" spans="18:20" x14ac:dyDescent="0.25">
      <c r="R1291" s="5"/>
      <c r="S1291" s="5"/>
      <c r="T1291" s="5"/>
    </row>
    <row r="1292" spans="18:20" x14ac:dyDescent="0.25">
      <c r="R1292" s="5"/>
      <c r="S1292" s="5"/>
      <c r="T1292" s="5"/>
    </row>
    <row r="1293" spans="18:20" x14ac:dyDescent="0.25">
      <c r="R1293" s="5"/>
      <c r="S1293" s="5"/>
      <c r="T1293" s="5"/>
    </row>
    <row r="1294" spans="18:20" x14ac:dyDescent="0.25">
      <c r="R1294" s="5"/>
      <c r="S1294" s="5"/>
      <c r="T1294" s="5"/>
    </row>
    <row r="1295" spans="18:20" x14ac:dyDescent="0.25">
      <c r="R1295" s="5"/>
      <c r="S1295" s="5"/>
      <c r="T1295" s="5"/>
    </row>
    <row r="1296" spans="18:20" x14ac:dyDescent="0.25">
      <c r="R1296" s="5"/>
      <c r="S1296" s="5"/>
      <c r="T1296" s="5"/>
    </row>
    <row r="1297" spans="18:20" x14ac:dyDescent="0.25">
      <c r="R1297" s="5"/>
      <c r="S1297" s="5"/>
      <c r="T1297" s="5"/>
    </row>
    <row r="1298" spans="18:20" x14ac:dyDescent="0.25">
      <c r="R1298" s="5"/>
      <c r="S1298" s="5"/>
      <c r="T1298" s="5"/>
    </row>
    <row r="1299" spans="18:20" x14ac:dyDescent="0.25">
      <c r="R1299" s="5"/>
      <c r="S1299" s="5"/>
      <c r="T1299" s="5"/>
    </row>
    <row r="1300" spans="18:20" x14ac:dyDescent="0.25">
      <c r="R1300" s="5"/>
      <c r="S1300" s="5"/>
      <c r="T1300" s="5"/>
    </row>
    <row r="1301" spans="18:20" x14ac:dyDescent="0.25">
      <c r="R1301" s="5"/>
      <c r="S1301" s="5"/>
      <c r="T1301" s="5"/>
    </row>
    <row r="1302" spans="18:20" x14ac:dyDescent="0.25">
      <c r="R1302" s="5"/>
      <c r="S1302" s="5"/>
      <c r="T1302" s="5"/>
    </row>
    <row r="1303" spans="18:20" x14ac:dyDescent="0.25">
      <c r="R1303" s="5"/>
      <c r="S1303" s="5"/>
      <c r="T1303" s="5"/>
    </row>
    <row r="1304" spans="18:20" x14ac:dyDescent="0.25">
      <c r="R1304" s="5"/>
      <c r="S1304" s="5"/>
      <c r="T1304" s="5"/>
    </row>
    <row r="1305" spans="18:20" x14ac:dyDescent="0.25">
      <c r="R1305" s="5"/>
      <c r="S1305" s="5"/>
      <c r="T1305" s="5"/>
    </row>
    <row r="1306" spans="18:20" x14ac:dyDescent="0.25">
      <c r="R1306" s="5"/>
      <c r="S1306" s="5"/>
      <c r="T1306" s="5"/>
    </row>
    <row r="1307" spans="18:20" x14ac:dyDescent="0.25">
      <c r="R1307" s="5"/>
      <c r="S1307" s="5"/>
      <c r="T1307" s="5"/>
    </row>
    <row r="1308" spans="18:20" x14ac:dyDescent="0.25">
      <c r="R1308" s="5"/>
      <c r="S1308" s="5"/>
      <c r="T1308" s="5"/>
    </row>
    <row r="1309" spans="18:20" x14ac:dyDescent="0.25">
      <c r="R1309" s="5"/>
      <c r="S1309" s="5"/>
      <c r="T1309" s="5"/>
    </row>
    <row r="1310" spans="18:20" x14ac:dyDescent="0.25">
      <c r="R1310" s="5"/>
      <c r="S1310" s="5"/>
      <c r="T1310" s="5"/>
    </row>
    <row r="1311" spans="18:20" x14ac:dyDescent="0.25">
      <c r="R1311" s="5"/>
      <c r="S1311" s="5"/>
      <c r="T1311" s="5"/>
    </row>
    <row r="1312" spans="18:20" x14ac:dyDescent="0.25">
      <c r="R1312" s="5"/>
      <c r="S1312" s="5"/>
      <c r="T1312" s="5"/>
    </row>
    <row r="1313" spans="18:20" x14ac:dyDescent="0.25">
      <c r="R1313" s="5"/>
      <c r="S1313" s="5"/>
      <c r="T1313" s="5"/>
    </row>
    <row r="1314" spans="18:20" x14ac:dyDescent="0.25">
      <c r="R1314" s="5"/>
      <c r="S1314" s="5"/>
      <c r="T1314" s="5"/>
    </row>
    <row r="1315" spans="18:20" x14ac:dyDescent="0.25">
      <c r="R1315" s="5"/>
      <c r="S1315" s="5"/>
      <c r="T1315" s="5"/>
    </row>
    <row r="1316" spans="18:20" x14ac:dyDescent="0.25">
      <c r="R1316" s="5"/>
      <c r="S1316" s="5"/>
      <c r="T1316" s="5"/>
    </row>
    <row r="1317" spans="18:20" x14ac:dyDescent="0.25">
      <c r="R1317" s="5"/>
      <c r="S1317" s="5"/>
      <c r="T1317" s="5"/>
    </row>
    <row r="1318" spans="18:20" x14ac:dyDescent="0.25">
      <c r="R1318" s="5"/>
      <c r="S1318" s="5"/>
      <c r="T1318" s="5"/>
    </row>
    <row r="1319" spans="18:20" x14ac:dyDescent="0.25">
      <c r="R1319" s="5"/>
      <c r="S1319" s="5"/>
      <c r="T1319" s="5"/>
    </row>
    <row r="1320" spans="18:20" x14ac:dyDescent="0.25">
      <c r="R1320" s="5"/>
      <c r="S1320" s="5"/>
      <c r="T1320" s="5"/>
    </row>
    <row r="1321" spans="18:20" x14ac:dyDescent="0.25">
      <c r="R1321" s="5"/>
      <c r="S1321" s="5"/>
      <c r="T1321" s="5"/>
    </row>
    <row r="1322" spans="18:20" x14ac:dyDescent="0.25">
      <c r="R1322" s="5"/>
      <c r="S1322" s="5"/>
      <c r="T1322" s="5"/>
    </row>
    <row r="1323" spans="18:20" x14ac:dyDescent="0.25">
      <c r="R1323" s="5"/>
      <c r="S1323" s="5"/>
      <c r="T1323" s="5"/>
    </row>
    <row r="1324" spans="18:20" x14ac:dyDescent="0.25">
      <c r="R1324" s="5"/>
      <c r="S1324" s="5"/>
      <c r="T1324" s="5"/>
    </row>
    <row r="1325" spans="18:20" x14ac:dyDescent="0.25">
      <c r="R1325" s="5"/>
      <c r="S1325" s="5"/>
      <c r="T1325" s="5"/>
    </row>
    <row r="1326" spans="18:20" x14ac:dyDescent="0.25">
      <c r="R1326" s="5"/>
      <c r="S1326" s="5"/>
      <c r="T1326" s="5"/>
    </row>
    <row r="1327" spans="18:20" x14ac:dyDescent="0.25">
      <c r="R1327" s="5"/>
      <c r="S1327" s="5"/>
      <c r="T1327" s="5"/>
    </row>
    <row r="1328" spans="18:20" x14ac:dyDescent="0.25">
      <c r="R1328" s="5"/>
      <c r="S1328" s="5"/>
      <c r="T1328" s="5"/>
    </row>
    <row r="1329" spans="18:20" x14ac:dyDescent="0.25">
      <c r="R1329" s="5"/>
      <c r="S1329" s="5"/>
      <c r="T1329" s="5"/>
    </row>
    <row r="1330" spans="18:20" x14ac:dyDescent="0.25">
      <c r="R1330" s="5"/>
      <c r="S1330" s="5"/>
      <c r="T1330" s="5"/>
    </row>
    <row r="1331" spans="18:20" x14ac:dyDescent="0.25">
      <c r="R1331" s="5"/>
      <c r="S1331" s="5"/>
      <c r="T1331" s="5"/>
    </row>
    <row r="1332" spans="18:20" x14ac:dyDescent="0.25">
      <c r="R1332" s="5"/>
      <c r="S1332" s="5"/>
      <c r="T1332" s="5"/>
    </row>
    <row r="1333" spans="18:20" x14ac:dyDescent="0.25">
      <c r="R1333" s="5"/>
      <c r="S1333" s="5"/>
      <c r="T1333" s="5"/>
    </row>
    <row r="1334" spans="18:20" x14ac:dyDescent="0.25">
      <c r="R1334" s="5"/>
      <c r="S1334" s="5"/>
      <c r="T1334" s="5"/>
    </row>
    <row r="1335" spans="18:20" x14ac:dyDescent="0.25">
      <c r="R1335" s="5"/>
      <c r="S1335" s="5"/>
      <c r="T1335" s="5"/>
    </row>
    <row r="1336" spans="18:20" x14ac:dyDescent="0.25">
      <c r="R1336" s="5"/>
      <c r="S1336" s="5"/>
      <c r="T1336" s="5"/>
    </row>
    <row r="1337" spans="18:20" x14ac:dyDescent="0.25">
      <c r="R1337" s="5"/>
      <c r="S1337" s="5"/>
      <c r="T1337" s="5"/>
    </row>
    <row r="1338" spans="18:20" x14ac:dyDescent="0.25">
      <c r="R1338" s="5"/>
      <c r="S1338" s="5"/>
      <c r="T1338" s="5"/>
    </row>
    <row r="1339" spans="18:20" x14ac:dyDescent="0.25">
      <c r="R1339" s="5"/>
      <c r="S1339" s="5"/>
      <c r="T1339" s="5"/>
    </row>
    <row r="1340" spans="18:20" x14ac:dyDescent="0.25">
      <c r="R1340" s="5"/>
      <c r="S1340" s="5"/>
      <c r="T1340" s="5"/>
    </row>
    <row r="1341" spans="18:20" x14ac:dyDescent="0.25">
      <c r="R1341" s="5"/>
      <c r="S1341" s="5"/>
      <c r="T1341" s="5"/>
    </row>
    <row r="1342" spans="18:20" x14ac:dyDescent="0.25">
      <c r="R1342" s="5"/>
      <c r="S1342" s="5"/>
      <c r="T1342" s="5"/>
    </row>
    <row r="1343" spans="18:20" x14ac:dyDescent="0.25">
      <c r="R1343" s="5"/>
      <c r="S1343" s="5"/>
      <c r="T1343" s="5"/>
    </row>
    <row r="1344" spans="18:20" x14ac:dyDescent="0.25">
      <c r="R1344" s="5"/>
      <c r="S1344" s="5"/>
      <c r="T1344" s="5"/>
    </row>
    <row r="1345" spans="18:20" x14ac:dyDescent="0.25">
      <c r="R1345" s="5"/>
      <c r="S1345" s="5"/>
      <c r="T1345" s="5"/>
    </row>
    <row r="1346" spans="18:20" x14ac:dyDescent="0.25">
      <c r="R1346" s="5"/>
      <c r="S1346" s="5"/>
      <c r="T1346" s="5"/>
    </row>
    <row r="1347" spans="18:20" x14ac:dyDescent="0.25">
      <c r="R1347" s="5"/>
      <c r="S1347" s="5"/>
      <c r="T1347" s="5"/>
    </row>
    <row r="1348" spans="18:20" x14ac:dyDescent="0.25">
      <c r="R1348" s="5"/>
      <c r="S1348" s="5"/>
      <c r="T1348" s="5"/>
    </row>
    <row r="1349" spans="18:20" x14ac:dyDescent="0.25">
      <c r="R1349" s="5"/>
      <c r="S1349" s="5"/>
      <c r="T1349" s="5"/>
    </row>
    <row r="1350" spans="18:20" x14ac:dyDescent="0.25">
      <c r="R1350" s="5"/>
      <c r="S1350" s="5"/>
      <c r="T1350" s="5"/>
    </row>
    <row r="1351" spans="18:20" x14ac:dyDescent="0.25">
      <c r="R1351" s="5"/>
      <c r="S1351" s="5"/>
      <c r="T1351" s="5"/>
    </row>
    <row r="1352" spans="18:20" x14ac:dyDescent="0.25">
      <c r="R1352" s="5"/>
      <c r="S1352" s="5"/>
      <c r="T1352" s="5"/>
    </row>
    <row r="1353" spans="18:20" x14ac:dyDescent="0.25">
      <c r="R1353" s="5"/>
      <c r="S1353" s="5"/>
      <c r="T1353" s="5"/>
    </row>
    <row r="1354" spans="18:20" x14ac:dyDescent="0.25">
      <c r="R1354" s="5"/>
      <c r="S1354" s="5"/>
      <c r="T1354" s="5"/>
    </row>
    <row r="1355" spans="18:20" x14ac:dyDescent="0.25">
      <c r="R1355" s="5"/>
      <c r="S1355" s="5"/>
      <c r="T1355" s="5"/>
    </row>
    <row r="1356" spans="18:20" x14ac:dyDescent="0.25">
      <c r="R1356" s="5"/>
      <c r="S1356" s="5"/>
      <c r="T1356" s="5"/>
    </row>
    <row r="1357" spans="18:20" x14ac:dyDescent="0.25">
      <c r="R1357" s="5"/>
      <c r="S1357" s="5"/>
      <c r="T1357" s="5"/>
    </row>
    <row r="1358" spans="18:20" x14ac:dyDescent="0.25">
      <c r="R1358" s="5"/>
      <c r="S1358" s="5"/>
      <c r="T1358" s="5"/>
    </row>
    <row r="1359" spans="18:20" x14ac:dyDescent="0.25">
      <c r="R1359" s="5"/>
      <c r="S1359" s="5"/>
      <c r="T1359" s="5"/>
    </row>
    <row r="1360" spans="18:20" x14ac:dyDescent="0.25">
      <c r="R1360" s="5"/>
      <c r="S1360" s="5"/>
      <c r="T1360" s="5"/>
    </row>
    <row r="1361" spans="18:20" x14ac:dyDescent="0.25">
      <c r="R1361" s="5"/>
      <c r="S1361" s="5"/>
      <c r="T1361" s="5"/>
    </row>
    <row r="1362" spans="18:20" x14ac:dyDescent="0.25">
      <c r="R1362" s="5"/>
      <c r="S1362" s="5"/>
      <c r="T1362" s="5"/>
    </row>
    <row r="1363" spans="18:20" x14ac:dyDescent="0.25">
      <c r="R1363" s="5"/>
      <c r="S1363" s="5"/>
      <c r="T1363" s="5"/>
    </row>
    <row r="1364" spans="18:20" x14ac:dyDescent="0.25">
      <c r="R1364" s="5"/>
      <c r="S1364" s="5"/>
      <c r="T1364" s="5"/>
    </row>
    <row r="1365" spans="18:20" x14ac:dyDescent="0.25">
      <c r="R1365" s="5"/>
      <c r="S1365" s="5"/>
      <c r="T1365" s="5"/>
    </row>
    <row r="1366" spans="18:20" x14ac:dyDescent="0.25">
      <c r="R1366" s="5"/>
      <c r="S1366" s="5"/>
      <c r="T1366" s="5"/>
    </row>
    <row r="1367" spans="18:20" x14ac:dyDescent="0.25">
      <c r="R1367" s="5"/>
      <c r="S1367" s="5"/>
      <c r="T1367" s="5"/>
    </row>
    <row r="1368" spans="18:20" x14ac:dyDescent="0.25">
      <c r="R1368" s="5"/>
      <c r="S1368" s="5"/>
      <c r="T1368" s="5"/>
    </row>
    <row r="1369" spans="18:20" x14ac:dyDescent="0.25">
      <c r="R1369" s="5"/>
      <c r="S1369" s="5"/>
      <c r="T1369" s="5"/>
    </row>
    <row r="1370" spans="18:20" x14ac:dyDescent="0.25">
      <c r="R1370" s="5"/>
      <c r="S1370" s="5"/>
      <c r="T1370" s="5"/>
    </row>
    <row r="1371" spans="18:20" x14ac:dyDescent="0.25">
      <c r="R1371" s="5"/>
      <c r="S1371" s="5"/>
      <c r="T1371" s="5"/>
    </row>
    <row r="1372" spans="18:20" x14ac:dyDescent="0.25">
      <c r="R1372" s="5"/>
      <c r="S1372" s="5"/>
      <c r="T1372" s="5"/>
    </row>
    <row r="1373" spans="18:20" x14ac:dyDescent="0.25">
      <c r="R1373" s="5"/>
      <c r="S1373" s="5"/>
      <c r="T1373" s="5"/>
    </row>
    <row r="1374" spans="18:20" x14ac:dyDescent="0.25">
      <c r="R1374" s="5"/>
      <c r="S1374" s="5"/>
      <c r="T1374" s="5"/>
    </row>
    <row r="1375" spans="18:20" x14ac:dyDescent="0.25">
      <c r="R1375" s="5"/>
      <c r="S1375" s="5"/>
      <c r="T1375" s="5"/>
    </row>
    <row r="1376" spans="18:20" x14ac:dyDescent="0.25">
      <c r="R1376" s="5"/>
      <c r="S1376" s="5"/>
      <c r="T1376" s="5"/>
    </row>
    <row r="1377" spans="18:20" x14ac:dyDescent="0.25">
      <c r="R1377" s="5"/>
      <c r="S1377" s="5"/>
      <c r="T1377" s="5"/>
    </row>
    <row r="1378" spans="18:20" x14ac:dyDescent="0.25">
      <c r="R1378" s="5"/>
      <c r="S1378" s="5"/>
      <c r="T1378" s="5"/>
    </row>
    <row r="1379" spans="18:20" x14ac:dyDescent="0.25">
      <c r="R1379" s="5"/>
      <c r="S1379" s="5"/>
      <c r="T1379" s="5"/>
    </row>
    <row r="1380" spans="18:20" x14ac:dyDescent="0.25">
      <c r="R1380" s="5"/>
      <c r="S1380" s="5"/>
      <c r="T1380" s="5"/>
    </row>
    <row r="1381" spans="18:20" x14ac:dyDescent="0.25">
      <c r="R1381" s="5"/>
      <c r="S1381" s="5"/>
      <c r="T1381" s="5"/>
    </row>
    <row r="1382" spans="18:20" x14ac:dyDescent="0.25">
      <c r="R1382" s="5"/>
      <c r="S1382" s="5"/>
      <c r="T1382" s="5"/>
    </row>
    <row r="1383" spans="18:20" x14ac:dyDescent="0.25">
      <c r="R1383" s="5"/>
      <c r="S1383" s="5"/>
      <c r="T1383" s="5"/>
    </row>
    <row r="1384" spans="18:20" x14ac:dyDescent="0.25">
      <c r="R1384" s="5"/>
      <c r="S1384" s="5"/>
      <c r="T1384" s="5"/>
    </row>
    <row r="1385" spans="18:20" x14ac:dyDescent="0.25">
      <c r="R1385" s="5"/>
      <c r="S1385" s="5"/>
      <c r="T1385" s="5"/>
    </row>
    <row r="1386" spans="18:20" x14ac:dyDescent="0.25">
      <c r="R1386" s="5"/>
      <c r="S1386" s="5"/>
      <c r="T1386" s="5"/>
    </row>
    <row r="1387" spans="18:20" x14ac:dyDescent="0.25">
      <c r="R1387" s="5"/>
      <c r="S1387" s="5"/>
      <c r="T1387" s="5"/>
    </row>
    <row r="1388" spans="18:20" x14ac:dyDescent="0.25">
      <c r="R1388" s="5"/>
      <c r="S1388" s="5"/>
      <c r="T1388" s="5"/>
    </row>
    <row r="1389" spans="18:20" x14ac:dyDescent="0.25">
      <c r="R1389" s="5"/>
      <c r="S1389" s="5"/>
      <c r="T1389" s="5"/>
    </row>
    <row r="1390" spans="18:20" x14ac:dyDescent="0.25">
      <c r="R1390" s="5"/>
      <c r="S1390" s="5"/>
      <c r="T1390" s="5"/>
    </row>
    <row r="1391" spans="18:20" x14ac:dyDescent="0.25">
      <c r="R1391" s="5"/>
      <c r="S1391" s="5"/>
      <c r="T1391" s="5"/>
    </row>
    <row r="1392" spans="18:20" x14ac:dyDescent="0.25">
      <c r="R1392" s="5"/>
      <c r="S1392" s="5"/>
      <c r="T1392" s="5"/>
    </row>
    <row r="1393" spans="18:20" x14ac:dyDescent="0.25">
      <c r="R1393" s="5"/>
      <c r="S1393" s="5"/>
      <c r="T1393" s="5"/>
    </row>
    <row r="1394" spans="18:20" x14ac:dyDescent="0.25">
      <c r="R1394" s="5"/>
      <c r="S1394" s="5"/>
      <c r="T1394" s="5"/>
    </row>
    <row r="1395" spans="18:20" x14ac:dyDescent="0.25">
      <c r="R1395" s="5"/>
      <c r="S1395" s="5"/>
      <c r="T1395" s="5"/>
    </row>
    <row r="1396" spans="18:20" x14ac:dyDescent="0.25">
      <c r="R1396" s="5"/>
      <c r="S1396" s="5"/>
      <c r="T1396" s="5"/>
    </row>
    <row r="1397" spans="18:20" x14ac:dyDescent="0.25">
      <c r="R1397" s="5"/>
      <c r="S1397" s="5"/>
      <c r="T1397" s="5"/>
    </row>
    <row r="1398" spans="18:20" x14ac:dyDescent="0.25">
      <c r="R1398" s="5"/>
      <c r="S1398" s="5"/>
      <c r="T1398" s="5"/>
    </row>
    <row r="1399" spans="18:20" x14ac:dyDescent="0.25">
      <c r="R1399" s="5"/>
      <c r="S1399" s="5"/>
      <c r="T1399" s="5"/>
    </row>
    <row r="1400" spans="18:20" x14ac:dyDescent="0.25">
      <c r="R1400" s="5"/>
      <c r="S1400" s="5"/>
      <c r="T1400" s="5"/>
    </row>
    <row r="1401" spans="18:20" x14ac:dyDescent="0.25">
      <c r="R1401" s="5"/>
      <c r="S1401" s="5"/>
      <c r="T1401" s="5"/>
    </row>
    <row r="1402" spans="18:20" x14ac:dyDescent="0.25">
      <c r="R1402" s="5"/>
      <c r="S1402" s="5"/>
      <c r="T1402" s="5"/>
    </row>
    <row r="1403" spans="18:20" x14ac:dyDescent="0.25">
      <c r="R1403" s="5"/>
      <c r="S1403" s="5"/>
      <c r="T1403" s="5"/>
    </row>
    <row r="1404" spans="18:20" x14ac:dyDescent="0.25">
      <c r="R1404" s="5"/>
      <c r="S1404" s="5"/>
      <c r="T1404" s="5"/>
    </row>
    <row r="1405" spans="18:20" x14ac:dyDescent="0.25">
      <c r="R1405" s="5"/>
      <c r="S1405" s="5"/>
      <c r="T1405" s="5"/>
    </row>
    <row r="1406" spans="18:20" x14ac:dyDescent="0.25">
      <c r="R1406" s="5"/>
      <c r="S1406" s="5"/>
      <c r="T1406" s="5"/>
    </row>
    <row r="1407" spans="18:20" x14ac:dyDescent="0.25">
      <c r="R1407" s="5"/>
      <c r="S1407" s="5"/>
      <c r="T1407" s="5"/>
    </row>
    <row r="1408" spans="18:20" x14ac:dyDescent="0.25">
      <c r="R1408" s="5"/>
      <c r="S1408" s="5"/>
      <c r="T1408" s="5"/>
    </row>
    <row r="1409" spans="18:20" x14ac:dyDescent="0.25">
      <c r="R1409" s="5"/>
      <c r="S1409" s="5"/>
      <c r="T1409" s="5"/>
    </row>
    <row r="1410" spans="18:20" x14ac:dyDescent="0.25">
      <c r="R1410" s="5"/>
      <c r="S1410" s="5"/>
      <c r="T1410" s="5"/>
    </row>
    <row r="1411" spans="18:20" x14ac:dyDescent="0.25">
      <c r="R1411" s="5"/>
      <c r="S1411" s="5"/>
      <c r="T1411" s="5"/>
    </row>
    <row r="1412" spans="18:20" x14ac:dyDescent="0.25">
      <c r="R1412" s="5"/>
      <c r="S1412" s="5"/>
      <c r="T1412" s="5"/>
    </row>
    <row r="1413" spans="18:20" x14ac:dyDescent="0.25">
      <c r="R1413" s="5"/>
      <c r="S1413" s="5"/>
      <c r="T1413" s="5"/>
    </row>
    <row r="1414" spans="18:20" x14ac:dyDescent="0.25">
      <c r="R1414" s="5"/>
      <c r="S1414" s="5"/>
      <c r="T1414" s="5"/>
    </row>
    <row r="1415" spans="18:20" x14ac:dyDescent="0.25">
      <c r="R1415" s="5"/>
      <c r="S1415" s="5"/>
      <c r="T1415" s="5"/>
    </row>
    <row r="1416" spans="18:20" x14ac:dyDescent="0.25">
      <c r="R1416" s="5"/>
      <c r="S1416" s="5"/>
      <c r="T1416" s="5"/>
    </row>
    <row r="1417" spans="18:20" x14ac:dyDescent="0.25">
      <c r="R1417" s="5"/>
      <c r="S1417" s="5"/>
      <c r="T1417" s="5"/>
    </row>
    <row r="1418" spans="18:20" x14ac:dyDescent="0.25">
      <c r="R1418" s="5"/>
      <c r="S1418" s="5"/>
      <c r="T1418" s="5"/>
    </row>
    <row r="1419" spans="18:20" x14ac:dyDescent="0.25">
      <c r="R1419" s="5"/>
      <c r="S1419" s="5"/>
      <c r="T1419" s="5"/>
    </row>
    <row r="1420" spans="18:20" x14ac:dyDescent="0.25">
      <c r="R1420" s="5"/>
      <c r="S1420" s="5"/>
      <c r="T1420" s="5"/>
    </row>
    <row r="1421" spans="18:20" x14ac:dyDescent="0.25">
      <c r="R1421" s="5"/>
      <c r="S1421" s="5"/>
      <c r="T1421" s="5"/>
    </row>
    <row r="1422" spans="18:20" x14ac:dyDescent="0.25">
      <c r="R1422" s="5"/>
      <c r="S1422" s="5"/>
      <c r="T1422" s="5"/>
    </row>
    <row r="1423" spans="18:20" x14ac:dyDescent="0.25">
      <c r="R1423" s="5"/>
      <c r="S1423" s="5"/>
      <c r="T1423" s="5"/>
    </row>
    <row r="1424" spans="18:20" x14ac:dyDescent="0.25">
      <c r="R1424" s="5"/>
      <c r="S1424" s="5"/>
      <c r="T1424" s="5"/>
    </row>
    <row r="1425" spans="18:20" x14ac:dyDescent="0.25">
      <c r="R1425" s="5"/>
      <c r="S1425" s="5"/>
      <c r="T1425" s="5"/>
    </row>
    <row r="1426" spans="18:20" x14ac:dyDescent="0.25">
      <c r="R1426" s="5"/>
      <c r="S1426" s="5"/>
      <c r="T1426" s="5"/>
    </row>
    <row r="1427" spans="18:20" x14ac:dyDescent="0.25">
      <c r="R1427" s="5"/>
      <c r="S1427" s="5"/>
      <c r="T1427" s="5"/>
    </row>
    <row r="1428" spans="18:20" x14ac:dyDescent="0.25">
      <c r="R1428" s="5"/>
      <c r="S1428" s="5"/>
      <c r="T1428" s="5"/>
    </row>
    <row r="1429" spans="18:20" x14ac:dyDescent="0.25">
      <c r="R1429" s="5"/>
      <c r="S1429" s="5"/>
      <c r="T1429" s="5"/>
    </row>
    <row r="1430" spans="18:20" x14ac:dyDescent="0.25">
      <c r="R1430" s="5"/>
      <c r="S1430" s="5"/>
      <c r="T1430" s="5"/>
    </row>
    <row r="1431" spans="18:20" x14ac:dyDescent="0.25">
      <c r="R1431" s="5"/>
      <c r="S1431" s="5"/>
      <c r="T1431" s="5"/>
    </row>
    <row r="1432" spans="18:20" x14ac:dyDescent="0.25">
      <c r="R1432" s="5"/>
      <c r="S1432" s="5"/>
      <c r="T1432" s="5"/>
    </row>
    <row r="1433" spans="18:20" x14ac:dyDescent="0.25">
      <c r="R1433" s="5"/>
      <c r="S1433" s="5"/>
      <c r="T1433" s="5"/>
    </row>
    <row r="1434" spans="18:20" x14ac:dyDescent="0.25">
      <c r="R1434" s="5"/>
      <c r="S1434" s="5"/>
      <c r="T1434" s="5"/>
    </row>
    <row r="1435" spans="18:20" x14ac:dyDescent="0.25">
      <c r="R1435" s="5"/>
      <c r="S1435" s="5"/>
      <c r="T1435" s="5"/>
    </row>
    <row r="1436" spans="18:20" x14ac:dyDescent="0.25">
      <c r="R1436" s="5"/>
      <c r="S1436" s="5"/>
      <c r="T1436" s="5"/>
    </row>
    <row r="1437" spans="18:20" x14ac:dyDescent="0.25">
      <c r="R1437" s="5"/>
      <c r="S1437" s="5"/>
      <c r="T1437" s="5"/>
    </row>
    <row r="1438" spans="18:20" x14ac:dyDescent="0.25">
      <c r="R1438" s="5"/>
      <c r="S1438" s="5"/>
      <c r="T1438" s="5"/>
    </row>
    <row r="1439" spans="18:20" x14ac:dyDescent="0.25">
      <c r="R1439" s="5"/>
      <c r="S1439" s="5"/>
      <c r="T1439" s="5"/>
    </row>
    <row r="1440" spans="18:20" x14ac:dyDescent="0.25">
      <c r="R1440" s="5"/>
      <c r="S1440" s="5"/>
      <c r="T1440" s="5"/>
    </row>
    <row r="1441" spans="18:20" x14ac:dyDescent="0.25">
      <c r="R1441" s="5"/>
      <c r="S1441" s="5"/>
      <c r="T1441" s="5"/>
    </row>
    <row r="1442" spans="18:20" x14ac:dyDescent="0.25">
      <c r="R1442" s="5"/>
      <c r="S1442" s="5"/>
      <c r="T1442" s="5"/>
    </row>
    <row r="1443" spans="18:20" x14ac:dyDescent="0.25">
      <c r="R1443" s="5"/>
      <c r="S1443" s="5"/>
      <c r="T1443" s="5"/>
    </row>
    <row r="1444" spans="18:20" x14ac:dyDescent="0.25">
      <c r="R1444" s="5"/>
      <c r="S1444" s="5"/>
      <c r="T1444" s="5"/>
    </row>
    <row r="1445" spans="18:20" x14ac:dyDescent="0.25">
      <c r="R1445" s="5"/>
      <c r="S1445" s="5"/>
      <c r="T1445" s="5"/>
    </row>
    <row r="1446" spans="18:20" x14ac:dyDescent="0.25">
      <c r="R1446" s="5"/>
      <c r="S1446" s="5"/>
      <c r="T1446" s="5"/>
    </row>
    <row r="1447" spans="18:20" x14ac:dyDescent="0.25">
      <c r="R1447" s="5"/>
      <c r="S1447" s="5"/>
      <c r="T1447" s="5"/>
    </row>
    <row r="1448" spans="18:20" x14ac:dyDescent="0.25">
      <c r="R1448" s="5"/>
      <c r="S1448" s="5"/>
      <c r="T1448" s="5"/>
    </row>
    <row r="1449" spans="18:20" x14ac:dyDescent="0.25">
      <c r="R1449" s="5"/>
      <c r="S1449" s="5"/>
      <c r="T1449" s="5"/>
    </row>
    <row r="1450" spans="18:20" x14ac:dyDescent="0.25">
      <c r="R1450" s="5"/>
      <c r="S1450" s="5"/>
      <c r="T1450" s="5"/>
    </row>
    <row r="1451" spans="18:20" x14ac:dyDescent="0.25">
      <c r="R1451" s="5"/>
      <c r="S1451" s="5"/>
      <c r="T1451" s="5"/>
    </row>
    <row r="1452" spans="18:20" x14ac:dyDescent="0.25">
      <c r="R1452" s="5"/>
      <c r="S1452" s="5"/>
      <c r="T1452" s="5"/>
    </row>
    <row r="1453" spans="18:20" x14ac:dyDescent="0.25">
      <c r="R1453" s="5"/>
      <c r="S1453" s="5"/>
      <c r="T1453" s="5"/>
    </row>
    <row r="1454" spans="18:20" x14ac:dyDescent="0.25">
      <c r="R1454" s="5"/>
      <c r="S1454" s="5"/>
      <c r="T1454" s="5"/>
    </row>
    <row r="1455" spans="18:20" x14ac:dyDescent="0.25">
      <c r="R1455" s="5"/>
      <c r="S1455" s="5"/>
      <c r="T1455" s="5"/>
    </row>
    <row r="1456" spans="18:20" x14ac:dyDescent="0.25">
      <c r="R1456" s="5"/>
      <c r="S1456" s="5"/>
      <c r="T1456" s="5"/>
    </row>
    <row r="1457" spans="18:20" x14ac:dyDescent="0.25">
      <c r="R1457" s="5"/>
      <c r="S1457" s="5"/>
      <c r="T1457" s="5"/>
    </row>
    <row r="1458" spans="18:20" x14ac:dyDescent="0.25">
      <c r="R1458" s="5"/>
      <c r="S1458" s="5"/>
      <c r="T1458" s="5"/>
    </row>
    <row r="1459" spans="18:20" x14ac:dyDescent="0.25">
      <c r="R1459" s="5"/>
      <c r="S1459" s="5"/>
      <c r="T1459" s="5"/>
    </row>
    <row r="1460" spans="18:20" x14ac:dyDescent="0.25">
      <c r="R1460" s="5"/>
      <c r="S1460" s="5"/>
      <c r="T1460" s="5"/>
    </row>
    <row r="1461" spans="18:20" x14ac:dyDescent="0.25">
      <c r="R1461" s="5"/>
      <c r="S1461" s="5"/>
      <c r="T1461" s="5"/>
    </row>
    <row r="1462" spans="18:20" x14ac:dyDescent="0.25">
      <c r="R1462" s="5"/>
      <c r="S1462" s="5"/>
      <c r="T1462" s="5"/>
    </row>
    <row r="1463" spans="18:20" x14ac:dyDescent="0.25">
      <c r="R1463" s="5"/>
      <c r="S1463" s="5"/>
      <c r="T1463" s="5"/>
    </row>
    <row r="1464" spans="18:20" x14ac:dyDescent="0.25">
      <c r="R1464" s="5"/>
      <c r="S1464" s="5"/>
      <c r="T1464" s="5"/>
    </row>
    <row r="1465" spans="18:20" x14ac:dyDescent="0.25">
      <c r="R1465" s="5"/>
      <c r="S1465" s="5"/>
      <c r="T1465" s="5"/>
    </row>
    <row r="1466" spans="18:20" x14ac:dyDescent="0.25">
      <c r="R1466" s="5"/>
      <c r="S1466" s="5"/>
      <c r="T1466" s="5"/>
    </row>
    <row r="1467" spans="18:20" x14ac:dyDescent="0.25">
      <c r="R1467" s="5"/>
      <c r="S1467" s="5"/>
      <c r="T1467" s="5"/>
    </row>
    <row r="1468" spans="18:20" x14ac:dyDescent="0.25">
      <c r="R1468" s="5"/>
      <c r="S1468" s="5"/>
      <c r="T1468" s="5"/>
    </row>
    <row r="1469" spans="18:20" x14ac:dyDescent="0.25">
      <c r="R1469" s="5"/>
      <c r="S1469" s="5"/>
      <c r="T1469" s="5"/>
    </row>
    <row r="1470" spans="18:20" x14ac:dyDescent="0.25">
      <c r="R1470" s="5"/>
      <c r="S1470" s="5"/>
      <c r="T1470" s="5"/>
    </row>
    <row r="1471" spans="18:20" x14ac:dyDescent="0.25">
      <c r="R1471" s="5"/>
      <c r="S1471" s="5"/>
      <c r="T1471" s="5"/>
    </row>
    <row r="1472" spans="18:20" x14ac:dyDescent="0.25">
      <c r="R1472" s="5"/>
      <c r="S1472" s="5"/>
      <c r="T1472" s="5"/>
    </row>
    <row r="1473" spans="18:20" x14ac:dyDescent="0.25">
      <c r="R1473" s="5"/>
      <c r="S1473" s="5"/>
      <c r="T1473" s="5"/>
    </row>
    <row r="1474" spans="18:20" x14ac:dyDescent="0.25">
      <c r="R1474" s="5"/>
      <c r="S1474" s="5"/>
      <c r="T1474" s="5"/>
    </row>
    <row r="1475" spans="18:20" x14ac:dyDescent="0.25">
      <c r="R1475" s="5"/>
      <c r="S1475" s="5"/>
      <c r="T1475" s="5"/>
    </row>
    <row r="1476" spans="18:20" x14ac:dyDescent="0.25">
      <c r="R1476" s="5"/>
      <c r="S1476" s="5"/>
      <c r="T1476" s="5"/>
    </row>
    <row r="1477" spans="18:20" x14ac:dyDescent="0.25">
      <c r="R1477" s="5"/>
      <c r="S1477" s="5"/>
      <c r="T1477" s="5"/>
    </row>
    <row r="1478" spans="18:20" x14ac:dyDescent="0.25">
      <c r="R1478" s="5"/>
      <c r="S1478" s="5"/>
      <c r="T1478" s="5"/>
    </row>
    <row r="1479" spans="18:20" x14ac:dyDescent="0.25">
      <c r="R1479" s="5"/>
      <c r="S1479" s="5"/>
      <c r="T1479" s="5"/>
    </row>
    <row r="1480" spans="18:20" x14ac:dyDescent="0.25">
      <c r="R1480" s="5"/>
      <c r="S1480" s="5"/>
      <c r="T1480" s="5"/>
    </row>
    <row r="1481" spans="18:20" x14ac:dyDescent="0.25">
      <c r="R1481" s="5"/>
      <c r="S1481" s="5"/>
      <c r="T1481" s="5"/>
    </row>
    <row r="1482" spans="18:20" x14ac:dyDescent="0.25">
      <c r="R1482" s="5"/>
      <c r="S1482" s="5"/>
      <c r="T1482" s="5"/>
    </row>
    <row r="1483" spans="18:20" x14ac:dyDescent="0.25">
      <c r="R1483" s="5"/>
      <c r="S1483" s="5"/>
      <c r="T1483" s="5"/>
    </row>
    <row r="1484" spans="18:20" x14ac:dyDescent="0.25">
      <c r="R1484" s="5"/>
      <c r="S1484" s="5"/>
      <c r="T1484" s="5"/>
    </row>
    <row r="1485" spans="18:20" x14ac:dyDescent="0.25">
      <c r="R1485" s="5"/>
      <c r="S1485" s="5"/>
      <c r="T1485" s="5"/>
    </row>
    <row r="1486" spans="18:20" x14ac:dyDescent="0.25">
      <c r="R1486" s="5"/>
      <c r="S1486" s="5"/>
      <c r="T1486" s="5"/>
    </row>
    <row r="1487" spans="18:20" x14ac:dyDescent="0.25">
      <c r="R1487" s="5"/>
      <c r="S1487" s="5"/>
      <c r="T1487" s="5"/>
    </row>
    <row r="1488" spans="18:20" x14ac:dyDescent="0.25">
      <c r="R1488" s="5"/>
      <c r="S1488" s="5"/>
      <c r="T1488" s="5"/>
    </row>
    <row r="1489" spans="18:20" x14ac:dyDescent="0.25">
      <c r="R1489" s="5"/>
      <c r="S1489" s="5"/>
      <c r="T1489" s="5"/>
    </row>
    <row r="1490" spans="18:20" x14ac:dyDescent="0.25">
      <c r="R1490" s="5"/>
      <c r="S1490" s="5"/>
      <c r="T1490" s="5"/>
    </row>
    <row r="1491" spans="18:20" x14ac:dyDescent="0.25">
      <c r="R1491" s="5"/>
      <c r="S1491" s="5"/>
      <c r="T1491" s="5"/>
    </row>
    <row r="1492" spans="18:20" x14ac:dyDescent="0.25">
      <c r="R1492" s="5"/>
      <c r="S1492" s="5"/>
      <c r="T1492" s="5"/>
    </row>
    <row r="1493" spans="18:20" x14ac:dyDescent="0.25">
      <c r="R1493" s="5"/>
      <c r="S1493" s="5"/>
      <c r="T1493" s="5"/>
    </row>
    <row r="1494" spans="18:20" x14ac:dyDescent="0.25">
      <c r="R1494" s="5"/>
      <c r="S1494" s="5"/>
      <c r="T1494" s="5"/>
    </row>
    <row r="1495" spans="18:20" x14ac:dyDescent="0.25">
      <c r="R1495" s="5"/>
      <c r="S1495" s="5"/>
      <c r="T1495" s="5"/>
    </row>
    <row r="1496" spans="18:20" x14ac:dyDescent="0.25">
      <c r="R1496" s="5"/>
      <c r="S1496" s="5"/>
      <c r="T1496" s="5"/>
    </row>
    <row r="1497" spans="18:20" x14ac:dyDescent="0.25">
      <c r="R1497" s="5"/>
      <c r="S1497" s="5"/>
      <c r="T1497" s="5"/>
    </row>
    <row r="1498" spans="18:20" x14ac:dyDescent="0.25">
      <c r="R1498" s="5"/>
      <c r="S1498" s="5"/>
      <c r="T1498" s="5"/>
    </row>
    <row r="1499" spans="18:20" x14ac:dyDescent="0.25">
      <c r="R1499" s="5"/>
      <c r="S1499" s="5"/>
      <c r="T1499" s="5"/>
    </row>
    <row r="1500" spans="18:20" x14ac:dyDescent="0.25">
      <c r="R1500" s="5"/>
      <c r="S1500" s="5"/>
      <c r="T1500" s="5"/>
    </row>
    <row r="1501" spans="18:20" x14ac:dyDescent="0.25">
      <c r="R1501" s="5"/>
      <c r="S1501" s="5"/>
      <c r="T1501" s="5"/>
    </row>
    <row r="1502" spans="18:20" x14ac:dyDescent="0.25">
      <c r="R1502" s="5"/>
      <c r="S1502" s="5"/>
      <c r="T1502" s="5"/>
    </row>
    <row r="1503" spans="18:20" x14ac:dyDescent="0.25">
      <c r="R1503" s="5"/>
      <c r="S1503" s="5"/>
      <c r="T1503" s="5"/>
    </row>
    <row r="1504" spans="18:20" x14ac:dyDescent="0.25">
      <c r="R1504" s="5"/>
      <c r="S1504" s="5"/>
      <c r="T1504" s="5"/>
    </row>
    <row r="1505" spans="18:20" x14ac:dyDescent="0.25">
      <c r="R1505" s="5"/>
      <c r="S1505" s="5"/>
      <c r="T1505" s="5"/>
    </row>
    <row r="1506" spans="18:20" x14ac:dyDescent="0.25">
      <c r="R1506" s="5"/>
      <c r="S1506" s="5"/>
      <c r="T1506" s="5"/>
    </row>
    <row r="1507" spans="18:20" x14ac:dyDescent="0.25">
      <c r="R1507" s="5"/>
      <c r="S1507" s="5"/>
      <c r="T1507" s="5"/>
    </row>
    <row r="1508" spans="18:20" x14ac:dyDescent="0.25">
      <c r="R1508" s="5"/>
      <c r="S1508" s="5"/>
      <c r="T1508" s="5"/>
    </row>
    <row r="1509" spans="18:20" x14ac:dyDescent="0.25">
      <c r="R1509" s="5"/>
      <c r="S1509" s="5"/>
      <c r="T1509" s="5"/>
    </row>
    <row r="1510" spans="18:20" x14ac:dyDescent="0.25">
      <c r="R1510" s="5"/>
      <c r="S1510" s="5"/>
      <c r="T1510" s="5"/>
    </row>
    <row r="1511" spans="18:20" x14ac:dyDescent="0.25">
      <c r="R1511" s="5"/>
      <c r="S1511" s="5"/>
      <c r="T1511" s="5"/>
    </row>
    <row r="1512" spans="18:20" x14ac:dyDescent="0.25">
      <c r="R1512" s="5"/>
      <c r="S1512" s="5"/>
      <c r="T1512" s="5"/>
    </row>
    <row r="1513" spans="18:20" x14ac:dyDescent="0.25">
      <c r="R1513" s="5"/>
      <c r="S1513" s="5"/>
      <c r="T1513" s="5"/>
    </row>
    <row r="1514" spans="18:20" x14ac:dyDescent="0.25">
      <c r="R1514" s="5"/>
      <c r="S1514" s="5"/>
      <c r="T1514" s="5"/>
    </row>
    <row r="1515" spans="18:20" x14ac:dyDescent="0.25">
      <c r="R1515" s="5"/>
      <c r="S1515" s="5"/>
      <c r="T1515" s="5"/>
    </row>
    <row r="1516" spans="18:20" x14ac:dyDescent="0.25">
      <c r="R1516" s="5"/>
      <c r="S1516" s="5"/>
      <c r="T1516" s="5"/>
    </row>
    <row r="1517" spans="18:20" x14ac:dyDescent="0.25">
      <c r="R1517" s="5"/>
      <c r="S1517" s="5"/>
      <c r="T1517" s="5"/>
    </row>
    <row r="1518" spans="18:20" x14ac:dyDescent="0.25">
      <c r="R1518" s="5"/>
      <c r="S1518" s="5"/>
      <c r="T1518" s="5"/>
    </row>
    <row r="1519" spans="18:20" x14ac:dyDescent="0.25">
      <c r="R1519" s="5"/>
      <c r="S1519" s="5"/>
      <c r="T1519" s="5"/>
    </row>
    <row r="1520" spans="18:20" x14ac:dyDescent="0.25">
      <c r="R1520" s="5"/>
      <c r="S1520" s="5"/>
      <c r="T1520" s="5"/>
    </row>
    <row r="1521" spans="18:20" x14ac:dyDescent="0.25">
      <c r="R1521" s="5"/>
      <c r="S1521" s="5"/>
      <c r="T1521" s="5"/>
    </row>
    <row r="1522" spans="18:20" x14ac:dyDescent="0.25">
      <c r="R1522" s="5"/>
      <c r="S1522" s="5"/>
      <c r="T1522" s="5"/>
    </row>
    <row r="1523" spans="18:20" x14ac:dyDescent="0.25">
      <c r="R1523" s="5"/>
      <c r="S1523" s="5"/>
      <c r="T1523" s="5"/>
    </row>
    <row r="1524" spans="18:20" x14ac:dyDescent="0.25">
      <c r="R1524" s="5"/>
      <c r="S1524" s="5"/>
      <c r="T1524" s="5"/>
    </row>
    <row r="1525" spans="18:20" x14ac:dyDescent="0.25">
      <c r="R1525" s="5"/>
      <c r="S1525" s="5"/>
      <c r="T1525" s="5"/>
    </row>
    <row r="1526" spans="18:20" x14ac:dyDescent="0.25">
      <c r="R1526" s="5"/>
      <c r="S1526" s="5"/>
      <c r="T1526" s="5"/>
    </row>
    <row r="1527" spans="18:20" x14ac:dyDescent="0.25">
      <c r="R1527" s="5"/>
      <c r="S1527" s="5"/>
      <c r="T1527" s="5"/>
    </row>
    <row r="1528" spans="18:20" x14ac:dyDescent="0.25">
      <c r="R1528" s="5"/>
      <c r="S1528" s="5"/>
      <c r="T1528" s="5"/>
    </row>
    <row r="1529" spans="18:20" x14ac:dyDescent="0.25">
      <c r="R1529" s="5"/>
      <c r="S1529" s="5"/>
      <c r="T1529" s="5"/>
    </row>
    <row r="1530" spans="18:20" x14ac:dyDescent="0.25">
      <c r="R1530" s="5"/>
      <c r="S1530" s="5"/>
      <c r="T1530" s="5"/>
    </row>
    <row r="1531" spans="18:20" x14ac:dyDescent="0.25">
      <c r="R1531" s="5"/>
      <c r="S1531" s="5"/>
      <c r="T1531" s="5"/>
    </row>
    <row r="1532" spans="18:20" x14ac:dyDescent="0.25">
      <c r="R1532" s="5"/>
      <c r="S1532" s="5"/>
      <c r="T1532" s="5"/>
    </row>
    <row r="1533" spans="18:20" x14ac:dyDescent="0.25">
      <c r="R1533" s="5"/>
      <c r="S1533" s="5"/>
      <c r="T1533" s="5"/>
    </row>
    <row r="1534" spans="18:20" x14ac:dyDescent="0.25">
      <c r="R1534" s="5"/>
      <c r="S1534" s="5"/>
      <c r="T1534" s="5"/>
    </row>
    <row r="1535" spans="18:20" x14ac:dyDescent="0.25">
      <c r="R1535" s="5"/>
      <c r="S1535" s="5"/>
      <c r="T1535" s="5"/>
    </row>
    <row r="1536" spans="18:20" x14ac:dyDescent="0.25">
      <c r="R1536" s="5"/>
      <c r="S1536" s="5"/>
      <c r="T1536" s="5"/>
    </row>
    <row r="1537" spans="18:20" x14ac:dyDescent="0.25">
      <c r="R1537" s="5"/>
      <c r="S1537" s="5"/>
      <c r="T1537" s="5"/>
    </row>
    <row r="1538" spans="18:20" x14ac:dyDescent="0.25">
      <c r="R1538" s="5"/>
      <c r="S1538" s="5"/>
      <c r="T1538" s="5"/>
    </row>
    <row r="1539" spans="18:20" x14ac:dyDescent="0.25">
      <c r="R1539" s="5"/>
      <c r="S1539" s="5"/>
      <c r="T1539" s="5"/>
    </row>
    <row r="1540" spans="18:20" x14ac:dyDescent="0.25">
      <c r="R1540" s="5"/>
      <c r="S1540" s="5"/>
      <c r="T1540" s="5"/>
    </row>
    <row r="1541" spans="18:20" x14ac:dyDescent="0.25">
      <c r="R1541" s="5"/>
      <c r="S1541" s="5"/>
      <c r="T1541" s="5"/>
    </row>
    <row r="1542" spans="18:20" x14ac:dyDescent="0.25">
      <c r="R1542" s="5"/>
      <c r="S1542" s="5"/>
      <c r="T1542" s="5"/>
    </row>
    <row r="1543" spans="18:20" x14ac:dyDescent="0.25">
      <c r="R1543" s="5"/>
      <c r="S1543" s="5"/>
      <c r="T1543" s="5"/>
    </row>
    <row r="1544" spans="18:20" x14ac:dyDescent="0.25">
      <c r="R1544" s="5"/>
      <c r="S1544" s="5"/>
      <c r="T1544" s="5"/>
    </row>
    <row r="1545" spans="18:20" x14ac:dyDescent="0.25">
      <c r="R1545" s="5"/>
      <c r="S1545" s="5"/>
      <c r="T1545" s="5"/>
    </row>
    <row r="1546" spans="18:20" x14ac:dyDescent="0.25">
      <c r="R1546" s="5"/>
      <c r="S1546" s="5"/>
      <c r="T1546" s="5"/>
    </row>
    <row r="1547" spans="18:20" x14ac:dyDescent="0.25">
      <c r="R1547" s="5"/>
      <c r="S1547" s="5"/>
      <c r="T1547" s="5"/>
    </row>
    <row r="1548" spans="18:20" x14ac:dyDescent="0.25">
      <c r="R1548" s="5"/>
      <c r="S1548" s="5"/>
      <c r="T1548" s="5"/>
    </row>
    <row r="1549" spans="18:20" x14ac:dyDescent="0.25">
      <c r="R1549" s="5"/>
      <c r="S1549" s="5"/>
      <c r="T1549" s="5"/>
    </row>
    <row r="1550" spans="18:20" x14ac:dyDescent="0.25">
      <c r="R1550" s="5"/>
      <c r="S1550" s="5"/>
      <c r="T1550" s="5"/>
    </row>
    <row r="1551" spans="18:20" x14ac:dyDescent="0.25">
      <c r="R1551" s="5"/>
      <c r="S1551" s="5"/>
      <c r="T1551" s="5"/>
    </row>
    <row r="1552" spans="18:20" x14ac:dyDescent="0.25">
      <c r="R1552" s="5"/>
      <c r="S1552" s="5"/>
      <c r="T1552" s="5"/>
    </row>
    <row r="1553" spans="18:20" x14ac:dyDescent="0.25">
      <c r="R1553" s="5"/>
      <c r="S1553" s="5"/>
      <c r="T1553" s="5"/>
    </row>
    <row r="1554" spans="18:20" x14ac:dyDescent="0.25">
      <c r="R1554" s="5"/>
      <c r="S1554" s="5"/>
      <c r="T1554" s="5"/>
    </row>
    <row r="1555" spans="18:20" x14ac:dyDescent="0.25">
      <c r="R1555" s="5"/>
      <c r="S1555" s="5"/>
      <c r="T1555" s="5"/>
    </row>
    <row r="1556" spans="18:20" x14ac:dyDescent="0.25">
      <c r="R1556" s="5"/>
      <c r="S1556" s="5"/>
      <c r="T1556" s="5"/>
    </row>
    <row r="1557" spans="18:20" x14ac:dyDescent="0.25">
      <c r="R1557" s="5"/>
      <c r="S1557" s="5"/>
      <c r="T1557" s="5"/>
    </row>
    <row r="1558" spans="18:20" x14ac:dyDescent="0.25">
      <c r="R1558" s="5"/>
      <c r="S1558" s="5"/>
      <c r="T1558" s="5"/>
    </row>
    <row r="1559" spans="18:20" x14ac:dyDescent="0.25">
      <c r="R1559" s="5"/>
      <c r="S1559" s="5"/>
      <c r="T1559" s="5"/>
    </row>
    <row r="1560" spans="18:20" x14ac:dyDescent="0.25">
      <c r="R1560" s="5"/>
      <c r="S1560" s="5"/>
      <c r="T1560" s="5"/>
    </row>
    <row r="1561" spans="18:20" x14ac:dyDescent="0.25">
      <c r="R1561" s="5"/>
      <c r="S1561" s="5"/>
      <c r="T1561" s="5"/>
    </row>
    <row r="1562" spans="18:20" x14ac:dyDescent="0.25">
      <c r="R1562" s="5"/>
      <c r="S1562" s="5"/>
      <c r="T1562" s="5"/>
    </row>
    <row r="1563" spans="18:20" x14ac:dyDescent="0.25">
      <c r="R1563" s="5"/>
      <c r="S1563" s="5"/>
      <c r="T1563" s="5"/>
    </row>
    <row r="1564" spans="18:20" x14ac:dyDescent="0.25">
      <c r="R1564" s="5"/>
      <c r="S1564" s="5"/>
      <c r="T1564" s="5"/>
    </row>
    <row r="1565" spans="18:20" x14ac:dyDescent="0.25">
      <c r="R1565" s="5"/>
      <c r="S1565" s="5"/>
      <c r="T1565" s="5"/>
    </row>
    <row r="1566" spans="18:20" x14ac:dyDescent="0.25">
      <c r="R1566" s="5"/>
      <c r="S1566" s="5"/>
      <c r="T1566" s="5"/>
    </row>
    <row r="1567" spans="18:20" x14ac:dyDescent="0.25">
      <c r="R1567" s="5"/>
      <c r="S1567" s="5"/>
      <c r="T1567" s="5"/>
    </row>
    <row r="1568" spans="18:20" x14ac:dyDescent="0.25">
      <c r="R1568" s="5"/>
      <c r="S1568" s="5"/>
      <c r="T1568" s="5"/>
    </row>
    <row r="1569" spans="18:20" x14ac:dyDescent="0.25">
      <c r="R1569" s="5"/>
      <c r="S1569" s="5"/>
      <c r="T1569" s="5"/>
    </row>
    <row r="1570" spans="18:20" x14ac:dyDescent="0.25">
      <c r="R1570" s="5"/>
      <c r="S1570" s="5"/>
      <c r="T1570" s="5"/>
    </row>
    <row r="1571" spans="18:20" x14ac:dyDescent="0.25">
      <c r="R1571" s="5"/>
      <c r="S1571" s="5"/>
      <c r="T1571" s="5"/>
    </row>
    <row r="1572" spans="18:20" x14ac:dyDescent="0.25">
      <c r="R1572" s="5"/>
      <c r="S1572" s="5"/>
      <c r="T1572" s="5"/>
    </row>
    <row r="1573" spans="18:20" x14ac:dyDescent="0.25">
      <c r="R1573" s="5"/>
      <c r="S1573" s="5"/>
      <c r="T1573" s="5"/>
    </row>
    <row r="1574" spans="18:20" x14ac:dyDescent="0.25">
      <c r="R1574" s="5"/>
      <c r="S1574" s="5"/>
      <c r="T1574" s="5"/>
    </row>
    <row r="1575" spans="18:20" x14ac:dyDescent="0.25">
      <c r="R1575" s="5"/>
      <c r="S1575" s="5"/>
      <c r="T1575" s="5"/>
    </row>
    <row r="1576" spans="18:20" x14ac:dyDescent="0.25">
      <c r="R1576" s="5"/>
      <c r="S1576" s="5"/>
      <c r="T1576" s="5"/>
    </row>
    <row r="1577" spans="18:20" x14ac:dyDescent="0.25">
      <c r="R1577" s="5"/>
      <c r="S1577" s="5"/>
      <c r="T1577" s="5"/>
    </row>
    <row r="1578" spans="18:20" x14ac:dyDescent="0.25">
      <c r="R1578" s="5"/>
      <c r="S1578" s="5"/>
      <c r="T1578" s="5"/>
    </row>
    <row r="1579" spans="18:20" x14ac:dyDescent="0.25">
      <c r="R1579" s="5"/>
      <c r="S1579" s="5"/>
      <c r="T1579" s="5"/>
    </row>
    <row r="1580" spans="18:20" x14ac:dyDescent="0.25">
      <c r="R1580" s="5"/>
      <c r="S1580" s="5"/>
      <c r="T1580" s="5"/>
    </row>
    <row r="1581" spans="18:20" x14ac:dyDescent="0.25">
      <c r="R1581" s="5"/>
      <c r="S1581" s="5"/>
      <c r="T1581" s="5"/>
    </row>
    <row r="1582" spans="18:20" x14ac:dyDescent="0.25">
      <c r="R1582" s="5"/>
      <c r="S1582" s="5"/>
      <c r="T1582" s="5"/>
    </row>
    <row r="1583" spans="18:20" x14ac:dyDescent="0.25">
      <c r="R1583" s="5"/>
      <c r="S1583" s="5"/>
      <c r="T1583" s="5"/>
    </row>
    <row r="1584" spans="18:20" x14ac:dyDescent="0.25">
      <c r="R1584" s="5"/>
      <c r="S1584" s="5"/>
      <c r="T1584" s="5"/>
    </row>
    <row r="1585" spans="18:20" x14ac:dyDescent="0.25">
      <c r="R1585" s="5"/>
      <c r="S1585" s="5"/>
      <c r="T1585" s="5"/>
    </row>
    <row r="1586" spans="18:20" x14ac:dyDescent="0.25">
      <c r="R1586" s="5"/>
      <c r="S1586" s="5"/>
      <c r="T1586" s="5"/>
    </row>
    <row r="1587" spans="18:20" x14ac:dyDescent="0.25">
      <c r="R1587" s="5"/>
      <c r="S1587" s="5"/>
      <c r="T1587" s="5"/>
    </row>
    <row r="1588" spans="18:20" x14ac:dyDescent="0.25">
      <c r="R1588" s="5"/>
      <c r="S1588" s="5"/>
      <c r="T1588" s="5"/>
    </row>
    <row r="1589" spans="18:20" x14ac:dyDescent="0.25">
      <c r="R1589" s="5"/>
      <c r="S1589" s="5"/>
      <c r="T1589" s="5"/>
    </row>
    <row r="1590" spans="18:20" x14ac:dyDescent="0.25">
      <c r="R1590" s="5"/>
      <c r="S1590" s="5"/>
      <c r="T1590" s="5"/>
    </row>
    <row r="1591" spans="18:20" x14ac:dyDescent="0.25">
      <c r="R1591" s="5"/>
      <c r="S1591" s="5"/>
      <c r="T1591" s="5"/>
    </row>
    <row r="1592" spans="18:20" x14ac:dyDescent="0.25">
      <c r="R1592" s="5"/>
      <c r="S1592" s="5"/>
      <c r="T1592" s="5"/>
    </row>
    <row r="1593" spans="18:20" x14ac:dyDescent="0.25">
      <c r="R1593" s="5"/>
      <c r="S1593" s="5"/>
      <c r="T1593" s="5"/>
    </row>
    <row r="1594" spans="18:20" x14ac:dyDescent="0.25">
      <c r="R1594" s="5"/>
      <c r="S1594" s="5"/>
      <c r="T1594" s="5"/>
    </row>
    <row r="1595" spans="18:20" x14ac:dyDescent="0.25">
      <c r="R1595" s="5"/>
      <c r="S1595" s="5"/>
      <c r="T1595" s="5"/>
    </row>
    <row r="1596" spans="18:20" x14ac:dyDescent="0.25">
      <c r="R1596" s="5"/>
      <c r="S1596" s="5"/>
      <c r="T1596" s="5"/>
    </row>
    <row r="1597" spans="18:20" x14ac:dyDescent="0.25">
      <c r="R1597" s="5"/>
      <c r="S1597" s="5"/>
      <c r="T1597" s="5"/>
    </row>
    <row r="1598" spans="18:20" x14ac:dyDescent="0.25">
      <c r="R1598" s="5"/>
      <c r="S1598" s="5"/>
      <c r="T1598" s="5"/>
    </row>
    <row r="1599" spans="18:20" x14ac:dyDescent="0.25">
      <c r="R1599" s="5"/>
      <c r="S1599" s="5"/>
      <c r="T1599" s="5"/>
    </row>
    <row r="1600" spans="18:20" x14ac:dyDescent="0.25">
      <c r="R1600" s="5"/>
      <c r="S1600" s="5"/>
      <c r="T1600" s="5"/>
    </row>
    <row r="1601" spans="18:20" x14ac:dyDescent="0.25">
      <c r="R1601" s="5"/>
      <c r="S1601" s="5"/>
      <c r="T1601" s="5"/>
    </row>
    <row r="1602" spans="18:20" x14ac:dyDescent="0.25">
      <c r="R1602" s="5"/>
      <c r="S1602" s="5"/>
      <c r="T1602" s="5"/>
    </row>
    <row r="1603" spans="18:20" x14ac:dyDescent="0.25">
      <c r="R1603" s="5"/>
      <c r="S1603" s="5"/>
      <c r="T1603" s="5"/>
    </row>
    <row r="1604" spans="18:20" x14ac:dyDescent="0.25">
      <c r="R1604" s="5"/>
      <c r="S1604" s="5"/>
      <c r="T1604" s="5"/>
    </row>
    <row r="1605" spans="18:20" x14ac:dyDescent="0.25">
      <c r="R1605" s="5"/>
      <c r="S1605" s="5"/>
      <c r="T1605" s="5"/>
    </row>
    <row r="1606" spans="18:20" x14ac:dyDescent="0.25">
      <c r="R1606" s="5"/>
      <c r="S1606" s="5"/>
      <c r="T1606" s="5"/>
    </row>
    <row r="1607" spans="18:20" x14ac:dyDescent="0.25">
      <c r="R1607" s="5"/>
      <c r="S1607" s="5"/>
      <c r="T1607" s="5"/>
    </row>
    <row r="1608" spans="18:20" x14ac:dyDescent="0.25">
      <c r="R1608" s="5"/>
      <c r="S1608" s="5"/>
      <c r="T1608" s="5"/>
    </row>
    <row r="1609" spans="18:20" x14ac:dyDescent="0.25">
      <c r="R1609" s="5"/>
      <c r="S1609" s="5"/>
      <c r="T1609" s="5"/>
    </row>
    <row r="1610" spans="18:20" x14ac:dyDescent="0.25">
      <c r="R1610" s="5"/>
      <c r="S1610" s="5"/>
      <c r="T1610" s="5"/>
    </row>
    <row r="1611" spans="18:20" x14ac:dyDescent="0.25">
      <c r="R1611" s="5"/>
      <c r="S1611" s="5"/>
      <c r="T1611" s="5"/>
    </row>
    <row r="1612" spans="18:20" x14ac:dyDescent="0.25">
      <c r="R1612" s="5"/>
      <c r="S1612" s="5"/>
      <c r="T1612" s="5"/>
    </row>
    <row r="1613" spans="18:20" x14ac:dyDescent="0.25">
      <c r="R1613" s="5"/>
      <c r="S1613" s="5"/>
      <c r="T1613" s="5"/>
    </row>
    <row r="1614" spans="18:20" x14ac:dyDescent="0.25">
      <c r="R1614" s="5"/>
      <c r="S1614" s="5"/>
      <c r="T1614" s="5"/>
    </row>
    <row r="1615" spans="18:20" x14ac:dyDescent="0.25">
      <c r="R1615" s="5"/>
      <c r="S1615" s="5"/>
      <c r="T1615" s="5"/>
    </row>
    <row r="1616" spans="18:20" x14ac:dyDescent="0.25">
      <c r="R1616" s="5"/>
      <c r="S1616" s="5"/>
      <c r="T1616" s="5"/>
    </row>
    <row r="1617" spans="18:20" x14ac:dyDescent="0.25">
      <c r="R1617" s="5"/>
      <c r="S1617" s="5"/>
      <c r="T1617" s="5"/>
    </row>
    <row r="1618" spans="18:20" x14ac:dyDescent="0.25">
      <c r="R1618" s="5"/>
      <c r="S1618" s="5"/>
      <c r="T1618" s="5"/>
    </row>
    <row r="1619" spans="18:20" x14ac:dyDescent="0.25">
      <c r="R1619" s="5"/>
      <c r="S1619" s="5"/>
      <c r="T1619" s="5"/>
    </row>
    <row r="1620" spans="18:20" x14ac:dyDescent="0.25">
      <c r="R1620" s="5"/>
      <c r="S1620" s="5"/>
      <c r="T1620" s="5"/>
    </row>
    <row r="1621" spans="18:20" x14ac:dyDescent="0.25">
      <c r="R1621" s="5"/>
      <c r="S1621" s="5"/>
      <c r="T1621" s="5"/>
    </row>
    <row r="1622" spans="18:20" x14ac:dyDescent="0.25">
      <c r="R1622" s="5"/>
      <c r="S1622" s="5"/>
      <c r="T1622" s="5"/>
    </row>
    <row r="1623" spans="18:20" x14ac:dyDescent="0.25">
      <c r="R1623" s="5"/>
      <c r="S1623" s="5"/>
      <c r="T1623" s="5"/>
    </row>
    <row r="1624" spans="18:20" x14ac:dyDescent="0.25">
      <c r="R1624" s="5"/>
      <c r="S1624" s="5"/>
      <c r="T1624" s="5"/>
    </row>
    <row r="1625" spans="18:20" x14ac:dyDescent="0.25">
      <c r="R1625" s="5"/>
      <c r="S1625" s="5"/>
      <c r="T1625" s="5"/>
    </row>
    <row r="1626" spans="18:20" x14ac:dyDescent="0.25">
      <c r="R1626" s="5"/>
      <c r="S1626" s="5"/>
      <c r="T1626" s="5"/>
    </row>
    <row r="1627" spans="18:20" x14ac:dyDescent="0.25">
      <c r="R1627" s="5"/>
      <c r="S1627" s="5"/>
      <c r="T1627" s="5"/>
    </row>
    <row r="1628" spans="18:20" x14ac:dyDescent="0.25">
      <c r="R1628" s="5"/>
      <c r="S1628" s="5"/>
      <c r="T1628" s="5"/>
    </row>
    <row r="1629" spans="18:20" x14ac:dyDescent="0.25">
      <c r="R1629" s="5"/>
      <c r="S1629" s="5"/>
      <c r="T1629" s="5"/>
    </row>
    <row r="1630" spans="18:20" x14ac:dyDescent="0.25">
      <c r="R1630" s="5"/>
      <c r="S1630" s="5"/>
      <c r="T1630" s="5"/>
    </row>
    <row r="1631" spans="18:20" x14ac:dyDescent="0.25">
      <c r="R1631" s="5"/>
      <c r="S1631" s="5"/>
      <c r="T1631" s="5"/>
    </row>
    <row r="1632" spans="18:20" x14ac:dyDescent="0.25">
      <c r="R1632" s="5"/>
      <c r="S1632" s="5"/>
      <c r="T1632" s="5"/>
    </row>
    <row r="1633" spans="18:20" x14ac:dyDescent="0.25">
      <c r="R1633" s="5"/>
      <c r="S1633" s="5"/>
      <c r="T1633" s="5"/>
    </row>
    <row r="1634" spans="18:20" x14ac:dyDescent="0.25">
      <c r="R1634" s="5"/>
      <c r="S1634" s="5"/>
      <c r="T1634" s="5"/>
    </row>
    <row r="1635" spans="18:20" x14ac:dyDescent="0.25">
      <c r="R1635" s="5"/>
      <c r="S1635" s="5"/>
      <c r="T1635" s="5"/>
    </row>
    <row r="1636" spans="18:20" x14ac:dyDescent="0.25">
      <c r="R1636" s="5"/>
      <c r="S1636" s="5"/>
      <c r="T1636" s="5"/>
    </row>
    <row r="1637" spans="18:20" x14ac:dyDescent="0.25">
      <c r="R1637" s="5"/>
      <c r="S1637" s="5"/>
      <c r="T1637" s="5"/>
    </row>
    <row r="1638" spans="18:20" x14ac:dyDescent="0.25">
      <c r="R1638" s="5"/>
      <c r="S1638" s="5"/>
      <c r="T1638" s="5"/>
    </row>
    <row r="1639" spans="18:20" x14ac:dyDescent="0.25">
      <c r="R1639" s="5"/>
      <c r="S1639" s="5"/>
      <c r="T1639" s="5"/>
    </row>
    <row r="1640" spans="18:20" x14ac:dyDescent="0.25">
      <c r="R1640" s="5"/>
      <c r="S1640" s="5"/>
      <c r="T1640" s="5"/>
    </row>
    <row r="1641" spans="18:20" x14ac:dyDescent="0.25">
      <c r="R1641" s="5"/>
      <c r="S1641" s="5"/>
      <c r="T1641" s="5"/>
    </row>
    <row r="1642" spans="18:20" x14ac:dyDescent="0.25">
      <c r="R1642" s="5"/>
      <c r="S1642" s="5"/>
      <c r="T1642" s="5"/>
    </row>
    <row r="1643" spans="18:20" x14ac:dyDescent="0.25">
      <c r="R1643" s="5"/>
      <c r="S1643" s="5"/>
      <c r="T1643" s="5"/>
    </row>
    <row r="1644" spans="18:20" x14ac:dyDescent="0.25">
      <c r="R1644" s="5"/>
      <c r="S1644" s="5"/>
      <c r="T1644" s="5"/>
    </row>
    <row r="1645" spans="18:20" x14ac:dyDescent="0.25">
      <c r="R1645" s="5"/>
      <c r="S1645" s="5"/>
      <c r="T1645" s="5"/>
    </row>
    <row r="1646" spans="18:20" x14ac:dyDescent="0.25">
      <c r="R1646" s="5"/>
      <c r="S1646" s="5"/>
      <c r="T1646" s="5"/>
    </row>
    <row r="1647" spans="18:20" x14ac:dyDescent="0.25">
      <c r="R1647" s="5"/>
      <c r="S1647" s="5"/>
      <c r="T1647" s="5"/>
    </row>
    <row r="1648" spans="18:20" x14ac:dyDescent="0.25">
      <c r="R1648" s="5"/>
      <c r="S1648" s="5"/>
      <c r="T1648" s="5"/>
    </row>
    <row r="1649" spans="18:20" x14ac:dyDescent="0.25">
      <c r="R1649" s="5"/>
      <c r="S1649" s="5"/>
      <c r="T1649" s="5"/>
    </row>
    <row r="1650" spans="18:20" x14ac:dyDescent="0.25">
      <c r="R1650" s="5"/>
      <c r="S1650" s="5"/>
      <c r="T1650" s="5"/>
    </row>
    <row r="1651" spans="18:20" x14ac:dyDescent="0.25">
      <c r="R1651" s="5"/>
      <c r="S1651" s="5"/>
      <c r="T1651" s="5"/>
    </row>
    <row r="1652" spans="18:20" x14ac:dyDescent="0.25">
      <c r="R1652" s="5"/>
      <c r="S1652" s="5"/>
      <c r="T1652" s="5"/>
    </row>
    <row r="1653" spans="18:20" x14ac:dyDescent="0.25">
      <c r="R1653" s="5"/>
      <c r="S1653" s="5"/>
      <c r="T1653" s="5"/>
    </row>
    <row r="1654" spans="18:20" x14ac:dyDescent="0.25">
      <c r="R1654" s="5"/>
      <c r="S1654" s="5"/>
      <c r="T1654" s="5"/>
    </row>
    <row r="1655" spans="18:20" x14ac:dyDescent="0.25">
      <c r="R1655" s="5"/>
      <c r="S1655" s="5"/>
      <c r="T1655" s="5"/>
    </row>
    <row r="1656" spans="18:20" x14ac:dyDescent="0.25">
      <c r="R1656" s="5"/>
      <c r="S1656" s="5"/>
      <c r="T1656" s="5"/>
    </row>
    <row r="1657" spans="18:20" x14ac:dyDescent="0.25">
      <c r="R1657" s="5"/>
      <c r="S1657" s="5"/>
      <c r="T1657" s="5"/>
    </row>
    <row r="1658" spans="18:20" x14ac:dyDescent="0.25">
      <c r="R1658" s="5"/>
      <c r="S1658" s="5"/>
      <c r="T1658" s="5"/>
    </row>
    <row r="1659" spans="18:20" x14ac:dyDescent="0.25">
      <c r="R1659" s="5"/>
      <c r="S1659" s="5"/>
      <c r="T1659" s="5"/>
    </row>
    <row r="1660" spans="18:20" x14ac:dyDescent="0.25">
      <c r="R1660" s="5"/>
      <c r="S1660" s="5"/>
      <c r="T1660" s="5"/>
    </row>
    <row r="1661" spans="18:20" x14ac:dyDescent="0.25">
      <c r="R1661" s="5"/>
      <c r="S1661" s="5"/>
      <c r="T1661" s="5"/>
    </row>
    <row r="1662" spans="18:20" x14ac:dyDescent="0.25">
      <c r="R1662" s="5"/>
      <c r="S1662" s="5"/>
      <c r="T1662" s="5"/>
    </row>
    <row r="1663" spans="18:20" x14ac:dyDescent="0.25">
      <c r="R1663" s="5"/>
      <c r="S1663" s="5"/>
      <c r="T1663" s="5"/>
    </row>
    <row r="1664" spans="18:20" x14ac:dyDescent="0.25">
      <c r="R1664" s="5"/>
      <c r="S1664" s="5"/>
      <c r="T1664" s="5"/>
    </row>
    <row r="1665" spans="18:20" x14ac:dyDescent="0.25">
      <c r="R1665" s="5"/>
      <c r="S1665" s="5"/>
      <c r="T1665" s="5"/>
    </row>
    <row r="1666" spans="18:20" x14ac:dyDescent="0.25">
      <c r="R1666" s="5"/>
      <c r="S1666" s="5"/>
      <c r="T1666" s="5"/>
    </row>
    <row r="1667" spans="18:20" x14ac:dyDescent="0.25">
      <c r="R1667" s="5"/>
      <c r="S1667" s="5"/>
      <c r="T1667" s="5"/>
    </row>
    <row r="1668" spans="18:20" x14ac:dyDescent="0.25">
      <c r="R1668" s="5"/>
      <c r="S1668" s="5"/>
      <c r="T1668" s="5"/>
    </row>
    <row r="1669" spans="18:20" x14ac:dyDescent="0.25">
      <c r="R1669" s="5"/>
      <c r="S1669" s="5"/>
      <c r="T1669" s="5"/>
    </row>
    <row r="1670" spans="18:20" x14ac:dyDescent="0.25">
      <c r="R1670" s="5"/>
      <c r="S1670" s="5"/>
      <c r="T1670" s="5"/>
    </row>
    <row r="1671" spans="18:20" x14ac:dyDescent="0.25">
      <c r="R1671" s="5"/>
      <c r="S1671" s="5"/>
      <c r="T1671" s="5"/>
    </row>
    <row r="1672" spans="18:20" x14ac:dyDescent="0.25">
      <c r="R1672" s="5"/>
      <c r="S1672" s="5"/>
      <c r="T1672" s="5"/>
    </row>
    <row r="1673" spans="18:20" x14ac:dyDescent="0.25">
      <c r="R1673" s="5"/>
      <c r="S1673" s="5"/>
      <c r="T1673" s="5"/>
    </row>
    <row r="1674" spans="18:20" x14ac:dyDescent="0.25">
      <c r="R1674" s="5"/>
      <c r="S1674" s="5"/>
      <c r="T1674" s="5"/>
    </row>
    <row r="1675" spans="18:20" x14ac:dyDescent="0.25">
      <c r="R1675" s="5"/>
      <c r="S1675" s="5"/>
      <c r="T1675" s="5"/>
    </row>
    <row r="1676" spans="18:20" x14ac:dyDescent="0.25">
      <c r="R1676" s="5"/>
      <c r="S1676" s="5"/>
      <c r="T1676" s="5"/>
    </row>
    <row r="1677" spans="18:20" x14ac:dyDescent="0.25">
      <c r="R1677" s="5"/>
      <c r="S1677" s="5"/>
      <c r="T1677" s="5"/>
    </row>
    <row r="1678" spans="18:20" x14ac:dyDescent="0.25">
      <c r="R1678" s="5"/>
      <c r="S1678" s="5"/>
      <c r="T1678" s="5"/>
    </row>
    <row r="1679" spans="18:20" x14ac:dyDescent="0.25">
      <c r="R1679" s="5"/>
      <c r="S1679" s="5"/>
      <c r="T1679" s="5"/>
    </row>
    <row r="1680" spans="18:20" x14ac:dyDescent="0.25">
      <c r="R1680" s="5"/>
      <c r="S1680" s="5"/>
      <c r="T1680" s="5"/>
    </row>
    <row r="1681" spans="18:20" x14ac:dyDescent="0.25">
      <c r="R1681" s="5"/>
      <c r="S1681" s="5"/>
      <c r="T1681" s="5"/>
    </row>
    <row r="1682" spans="18:20" x14ac:dyDescent="0.25">
      <c r="R1682" s="5"/>
      <c r="S1682" s="5"/>
      <c r="T1682" s="5"/>
    </row>
    <row r="1683" spans="18:20" x14ac:dyDescent="0.25">
      <c r="R1683" s="5"/>
      <c r="S1683" s="5"/>
      <c r="T1683" s="5"/>
    </row>
    <row r="1684" spans="18:20" x14ac:dyDescent="0.25">
      <c r="R1684" s="5"/>
      <c r="S1684" s="5"/>
      <c r="T1684" s="5"/>
    </row>
    <row r="1685" spans="18:20" x14ac:dyDescent="0.25">
      <c r="R1685" s="5"/>
      <c r="S1685" s="5"/>
      <c r="T1685" s="5"/>
    </row>
    <row r="1686" spans="18:20" x14ac:dyDescent="0.25">
      <c r="R1686" s="5"/>
      <c r="S1686" s="5"/>
      <c r="T1686" s="5"/>
    </row>
    <row r="1687" spans="18:20" x14ac:dyDescent="0.25">
      <c r="R1687" s="5"/>
      <c r="S1687" s="5"/>
      <c r="T1687" s="5"/>
    </row>
    <row r="1688" spans="18:20" x14ac:dyDescent="0.25">
      <c r="R1688" s="5"/>
      <c r="S1688" s="5"/>
      <c r="T1688" s="5"/>
    </row>
    <row r="1689" spans="18:20" x14ac:dyDescent="0.25">
      <c r="R1689" s="5"/>
      <c r="S1689" s="5"/>
      <c r="T1689" s="5"/>
    </row>
    <row r="1690" spans="18:20" x14ac:dyDescent="0.25">
      <c r="R1690" s="5"/>
      <c r="S1690" s="5"/>
      <c r="T1690" s="5"/>
    </row>
    <row r="1691" spans="18:20" x14ac:dyDescent="0.25">
      <c r="R1691" s="5"/>
      <c r="S1691" s="5"/>
      <c r="T1691" s="5"/>
    </row>
    <row r="1692" spans="18:20" x14ac:dyDescent="0.25">
      <c r="R1692" s="5"/>
      <c r="S1692" s="5"/>
      <c r="T1692" s="5"/>
    </row>
    <row r="1693" spans="18:20" x14ac:dyDescent="0.25">
      <c r="R1693" s="5"/>
      <c r="S1693" s="5"/>
      <c r="T1693" s="5"/>
    </row>
    <row r="1694" spans="18:20" x14ac:dyDescent="0.25">
      <c r="R1694" s="5"/>
      <c r="S1694" s="5"/>
      <c r="T1694" s="5"/>
    </row>
    <row r="1695" spans="18:20" x14ac:dyDescent="0.25">
      <c r="R1695" s="5"/>
      <c r="S1695" s="5"/>
      <c r="T1695" s="5"/>
    </row>
    <row r="1696" spans="18:20" x14ac:dyDescent="0.25">
      <c r="R1696" s="5"/>
      <c r="S1696" s="5"/>
      <c r="T1696" s="5"/>
    </row>
    <row r="1697" spans="18:20" x14ac:dyDescent="0.25">
      <c r="R1697" s="5"/>
      <c r="S1697" s="5"/>
      <c r="T1697" s="5"/>
    </row>
    <row r="1698" spans="18:20" x14ac:dyDescent="0.25">
      <c r="R1698" s="5"/>
      <c r="S1698" s="5"/>
      <c r="T1698" s="5"/>
    </row>
    <row r="1699" spans="18:20" x14ac:dyDescent="0.25">
      <c r="R1699" s="5"/>
      <c r="S1699" s="5"/>
      <c r="T1699" s="5"/>
    </row>
    <row r="1700" spans="18:20" x14ac:dyDescent="0.25">
      <c r="R1700" s="5"/>
      <c r="S1700" s="5"/>
      <c r="T1700" s="5"/>
    </row>
    <row r="1701" spans="18:20" x14ac:dyDescent="0.25">
      <c r="R1701" s="5"/>
      <c r="S1701" s="5"/>
      <c r="T1701" s="5"/>
    </row>
    <row r="1702" spans="18:20" x14ac:dyDescent="0.25">
      <c r="R1702" s="5"/>
      <c r="S1702" s="5"/>
      <c r="T1702" s="5"/>
    </row>
    <row r="1703" spans="18:20" x14ac:dyDescent="0.25">
      <c r="R1703" s="5"/>
      <c r="S1703" s="5"/>
      <c r="T1703" s="5"/>
    </row>
    <row r="1704" spans="18:20" x14ac:dyDescent="0.25">
      <c r="R1704" s="5"/>
      <c r="S1704" s="5"/>
      <c r="T1704" s="5"/>
    </row>
    <row r="1705" spans="18:20" x14ac:dyDescent="0.25">
      <c r="R1705" s="5"/>
      <c r="S1705" s="5"/>
      <c r="T1705" s="5"/>
    </row>
    <row r="1706" spans="18:20" x14ac:dyDescent="0.25">
      <c r="R1706" s="5"/>
      <c r="S1706" s="5"/>
      <c r="T1706" s="5"/>
    </row>
    <row r="1707" spans="18:20" x14ac:dyDescent="0.25">
      <c r="R1707" s="5"/>
      <c r="S1707" s="5"/>
      <c r="T1707" s="5"/>
    </row>
    <row r="1708" spans="18:20" x14ac:dyDescent="0.25">
      <c r="R1708" s="5"/>
      <c r="S1708" s="5"/>
      <c r="T1708" s="5"/>
    </row>
    <row r="1709" spans="18:20" x14ac:dyDescent="0.25">
      <c r="R1709" s="5"/>
      <c r="S1709" s="5"/>
      <c r="T1709" s="5"/>
    </row>
    <row r="1710" spans="18:20" x14ac:dyDescent="0.25">
      <c r="R1710" s="5"/>
      <c r="S1710" s="5"/>
      <c r="T1710" s="5"/>
    </row>
    <row r="1711" spans="18:20" x14ac:dyDescent="0.25">
      <c r="R1711" s="5"/>
      <c r="S1711" s="5"/>
      <c r="T1711" s="5"/>
    </row>
    <row r="1712" spans="18:20" x14ac:dyDescent="0.25">
      <c r="R1712" s="5"/>
      <c r="S1712" s="5"/>
      <c r="T1712" s="5"/>
    </row>
    <row r="1713" spans="18:20" x14ac:dyDescent="0.25">
      <c r="R1713" s="5"/>
      <c r="S1713" s="5"/>
      <c r="T1713" s="5"/>
    </row>
    <row r="1714" spans="18:20" x14ac:dyDescent="0.25">
      <c r="R1714" s="5"/>
      <c r="S1714" s="5"/>
      <c r="T1714" s="5"/>
    </row>
    <row r="1715" spans="18:20" x14ac:dyDescent="0.25">
      <c r="R1715" s="5"/>
      <c r="S1715" s="5"/>
      <c r="T1715" s="5"/>
    </row>
    <row r="1716" spans="18:20" x14ac:dyDescent="0.25">
      <c r="R1716" s="5"/>
      <c r="S1716" s="5"/>
      <c r="T1716" s="5"/>
    </row>
    <row r="1717" spans="18:20" x14ac:dyDescent="0.25">
      <c r="R1717" s="5"/>
      <c r="S1717" s="5"/>
      <c r="T1717" s="5"/>
    </row>
    <row r="1718" spans="18:20" x14ac:dyDescent="0.25">
      <c r="R1718" s="5"/>
      <c r="S1718" s="5"/>
      <c r="T1718" s="5"/>
    </row>
    <row r="1719" spans="18:20" x14ac:dyDescent="0.25">
      <c r="R1719" s="5"/>
      <c r="S1719" s="5"/>
      <c r="T1719" s="5"/>
    </row>
    <row r="1720" spans="18:20" x14ac:dyDescent="0.25">
      <c r="R1720" s="5"/>
      <c r="S1720" s="5"/>
      <c r="T1720" s="5"/>
    </row>
    <row r="1721" spans="18:20" x14ac:dyDescent="0.25">
      <c r="R1721" s="5"/>
      <c r="S1721" s="5"/>
      <c r="T1721" s="5"/>
    </row>
    <row r="1722" spans="18:20" x14ac:dyDescent="0.25">
      <c r="R1722" s="5"/>
      <c r="S1722" s="5"/>
      <c r="T1722" s="5"/>
    </row>
    <row r="1723" spans="18:20" x14ac:dyDescent="0.25">
      <c r="R1723" s="5"/>
      <c r="S1723" s="5"/>
      <c r="T1723" s="5"/>
    </row>
    <row r="1724" spans="18:20" x14ac:dyDescent="0.25">
      <c r="R1724" s="5"/>
      <c r="S1724" s="5"/>
      <c r="T1724" s="5"/>
    </row>
    <row r="1725" spans="18:20" x14ac:dyDescent="0.25">
      <c r="R1725" s="5"/>
      <c r="S1725" s="5"/>
      <c r="T1725" s="5"/>
    </row>
    <row r="1726" spans="18:20" x14ac:dyDescent="0.25">
      <c r="R1726" s="5"/>
      <c r="S1726" s="5"/>
      <c r="T1726" s="5"/>
    </row>
    <row r="1727" spans="18:20" x14ac:dyDescent="0.25">
      <c r="R1727" s="5"/>
      <c r="S1727" s="5"/>
      <c r="T1727" s="5"/>
    </row>
    <row r="1728" spans="18:20" x14ac:dyDescent="0.25">
      <c r="R1728" s="5"/>
      <c r="S1728" s="5"/>
      <c r="T1728" s="5"/>
    </row>
    <row r="1729" spans="18:20" x14ac:dyDescent="0.25">
      <c r="R1729" s="5"/>
      <c r="S1729" s="5"/>
      <c r="T1729" s="5"/>
    </row>
    <row r="1730" spans="18:20" x14ac:dyDescent="0.25">
      <c r="R1730" s="5"/>
      <c r="S1730" s="5"/>
      <c r="T1730" s="5"/>
    </row>
    <row r="1731" spans="18:20" x14ac:dyDescent="0.25">
      <c r="R1731" s="5"/>
      <c r="S1731" s="5"/>
      <c r="T1731" s="5"/>
    </row>
    <row r="1732" spans="18:20" x14ac:dyDescent="0.25">
      <c r="R1732" s="5"/>
      <c r="S1732" s="5"/>
      <c r="T1732" s="5"/>
    </row>
    <row r="1733" spans="18:20" x14ac:dyDescent="0.25">
      <c r="R1733" s="5"/>
      <c r="S1733" s="5"/>
      <c r="T1733" s="5"/>
    </row>
    <row r="1734" spans="18:20" x14ac:dyDescent="0.25">
      <c r="R1734" s="5"/>
      <c r="S1734" s="5"/>
      <c r="T1734" s="5"/>
    </row>
    <row r="1735" spans="18:20" x14ac:dyDescent="0.25">
      <c r="R1735" s="5"/>
      <c r="S1735" s="5"/>
      <c r="T1735" s="5"/>
    </row>
    <row r="1736" spans="18:20" x14ac:dyDescent="0.25">
      <c r="R1736" s="5"/>
      <c r="S1736" s="5"/>
      <c r="T1736" s="5"/>
    </row>
    <row r="1737" spans="18:20" x14ac:dyDescent="0.25">
      <c r="R1737" s="5"/>
      <c r="S1737" s="5"/>
      <c r="T1737" s="5"/>
    </row>
    <row r="1738" spans="18:20" x14ac:dyDescent="0.25">
      <c r="R1738" s="5"/>
      <c r="S1738" s="5"/>
      <c r="T1738" s="5"/>
    </row>
    <row r="1739" spans="18:20" x14ac:dyDescent="0.25">
      <c r="R1739" s="5"/>
      <c r="S1739" s="5"/>
      <c r="T1739" s="5"/>
    </row>
    <row r="1740" spans="18:20" x14ac:dyDescent="0.25">
      <c r="R1740" s="5"/>
      <c r="S1740" s="5"/>
      <c r="T1740" s="5"/>
    </row>
    <row r="1741" spans="18:20" x14ac:dyDescent="0.25">
      <c r="R1741" s="5"/>
      <c r="S1741" s="5"/>
      <c r="T1741" s="5"/>
    </row>
    <row r="1742" spans="18:20" x14ac:dyDescent="0.25">
      <c r="R1742" s="5"/>
      <c r="S1742" s="5"/>
      <c r="T1742" s="5"/>
    </row>
    <row r="1743" spans="18:20" x14ac:dyDescent="0.25">
      <c r="R1743" s="5"/>
      <c r="S1743" s="5"/>
      <c r="T1743" s="5"/>
    </row>
    <row r="1744" spans="18:20" x14ac:dyDescent="0.25">
      <c r="R1744" s="5"/>
      <c r="S1744" s="5"/>
      <c r="T1744" s="5"/>
    </row>
    <row r="1745" spans="18:20" x14ac:dyDescent="0.25">
      <c r="R1745" s="5"/>
      <c r="S1745" s="5"/>
      <c r="T1745" s="5"/>
    </row>
    <row r="1746" spans="18:20" x14ac:dyDescent="0.25">
      <c r="R1746" s="5"/>
      <c r="S1746" s="5"/>
      <c r="T1746" s="5"/>
    </row>
    <row r="1747" spans="18:20" x14ac:dyDescent="0.25">
      <c r="R1747" s="5"/>
      <c r="S1747" s="5"/>
      <c r="T1747" s="5"/>
    </row>
    <row r="1748" spans="18:20" x14ac:dyDescent="0.25">
      <c r="R1748" s="5"/>
      <c r="S1748" s="5"/>
      <c r="T1748" s="5"/>
    </row>
    <row r="1749" spans="18:20" x14ac:dyDescent="0.25">
      <c r="R1749" s="5"/>
      <c r="S1749" s="5"/>
      <c r="T1749" s="5"/>
    </row>
    <row r="1750" spans="18:20" x14ac:dyDescent="0.25">
      <c r="R1750" s="5"/>
      <c r="S1750" s="5"/>
      <c r="T1750" s="5"/>
    </row>
    <row r="1751" spans="18:20" x14ac:dyDescent="0.25">
      <c r="R1751" s="5"/>
      <c r="S1751" s="5"/>
      <c r="T1751" s="5"/>
    </row>
    <row r="1752" spans="18:20" x14ac:dyDescent="0.25">
      <c r="R1752" s="5"/>
      <c r="S1752" s="5"/>
      <c r="T1752" s="5"/>
    </row>
    <row r="1753" spans="18:20" x14ac:dyDescent="0.25">
      <c r="R1753" s="5"/>
      <c r="S1753" s="5"/>
      <c r="T1753" s="5"/>
    </row>
    <row r="1754" spans="18:20" x14ac:dyDescent="0.25">
      <c r="R1754" s="5"/>
      <c r="S1754" s="5"/>
      <c r="T1754" s="5"/>
    </row>
    <row r="1755" spans="18:20" x14ac:dyDescent="0.25">
      <c r="R1755" s="5"/>
      <c r="S1755" s="5"/>
      <c r="T1755" s="5"/>
    </row>
    <row r="1756" spans="18:20" x14ac:dyDescent="0.25">
      <c r="R1756" s="5"/>
      <c r="S1756" s="5"/>
      <c r="T1756" s="5"/>
    </row>
    <row r="1757" spans="18:20" x14ac:dyDescent="0.25">
      <c r="R1757" s="5"/>
      <c r="S1757" s="5"/>
      <c r="T1757" s="5"/>
    </row>
    <row r="1758" spans="18:20" x14ac:dyDescent="0.25">
      <c r="R1758" s="5"/>
      <c r="S1758" s="5"/>
      <c r="T1758" s="5"/>
    </row>
    <row r="1759" spans="18:20" x14ac:dyDescent="0.25">
      <c r="R1759" s="5"/>
      <c r="S1759" s="5"/>
      <c r="T1759" s="5"/>
    </row>
    <row r="1760" spans="18:20" x14ac:dyDescent="0.25">
      <c r="R1760" s="5"/>
      <c r="S1760" s="5"/>
      <c r="T1760" s="5"/>
    </row>
    <row r="1761" spans="18:20" x14ac:dyDescent="0.25">
      <c r="R1761" s="5"/>
      <c r="S1761" s="5"/>
      <c r="T1761" s="5"/>
    </row>
    <row r="1762" spans="18:20" x14ac:dyDescent="0.25">
      <c r="R1762" s="5"/>
      <c r="S1762" s="5"/>
      <c r="T1762" s="5"/>
    </row>
    <row r="1763" spans="18:20" x14ac:dyDescent="0.25">
      <c r="R1763" s="5"/>
      <c r="S1763" s="5"/>
      <c r="T1763" s="5"/>
    </row>
    <row r="1764" spans="18:20" x14ac:dyDescent="0.25">
      <c r="R1764" s="5"/>
      <c r="S1764" s="5"/>
      <c r="T1764" s="5"/>
    </row>
    <row r="1765" spans="18:20" x14ac:dyDescent="0.25">
      <c r="R1765" s="5"/>
      <c r="S1765" s="5"/>
      <c r="T1765" s="5"/>
    </row>
    <row r="1766" spans="18:20" x14ac:dyDescent="0.25">
      <c r="R1766" s="5"/>
      <c r="S1766" s="5"/>
      <c r="T1766" s="5"/>
    </row>
    <row r="1767" spans="18:20" x14ac:dyDescent="0.25">
      <c r="R1767" s="5"/>
      <c r="S1767" s="5"/>
      <c r="T1767" s="5"/>
    </row>
    <row r="1768" spans="18:20" x14ac:dyDescent="0.25">
      <c r="R1768" s="5"/>
      <c r="S1768" s="5"/>
      <c r="T1768" s="5"/>
    </row>
    <row r="1769" spans="18:20" x14ac:dyDescent="0.25">
      <c r="R1769" s="5"/>
      <c r="S1769" s="5"/>
      <c r="T1769" s="5"/>
    </row>
    <row r="1770" spans="18:20" x14ac:dyDescent="0.25">
      <c r="R1770" s="5"/>
      <c r="S1770" s="5"/>
      <c r="T1770" s="5"/>
    </row>
    <row r="1771" spans="18:20" x14ac:dyDescent="0.25">
      <c r="R1771" s="5"/>
      <c r="S1771" s="5"/>
      <c r="T1771" s="5"/>
    </row>
    <row r="1772" spans="18:20" x14ac:dyDescent="0.25">
      <c r="R1772" s="5"/>
      <c r="S1772" s="5"/>
      <c r="T1772" s="5"/>
    </row>
    <row r="1773" spans="18:20" x14ac:dyDescent="0.25">
      <c r="R1773" s="5"/>
      <c r="S1773" s="5"/>
      <c r="T1773" s="5"/>
    </row>
    <row r="1774" spans="18:20" x14ac:dyDescent="0.25">
      <c r="R1774" s="5"/>
      <c r="S1774" s="5"/>
      <c r="T1774" s="5"/>
    </row>
    <row r="1775" spans="18:20" x14ac:dyDescent="0.25">
      <c r="R1775" s="5"/>
      <c r="S1775" s="5"/>
      <c r="T1775" s="5"/>
    </row>
    <row r="1776" spans="18:20" x14ac:dyDescent="0.25">
      <c r="R1776" s="5"/>
      <c r="S1776" s="5"/>
      <c r="T1776" s="5"/>
    </row>
    <row r="1777" spans="18:20" x14ac:dyDescent="0.25">
      <c r="R1777" s="5"/>
      <c r="S1777" s="5"/>
      <c r="T1777" s="5"/>
    </row>
    <row r="1778" spans="18:20" x14ac:dyDescent="0.25">
      <c r="R1778" s="5"/>
      <c r="S1778" s="5"/>
      <c r="T1778" s="5"/>
    </row>
    <row r="1779" spans="18:20" x14ac:dyDescent="0.25">
      <c r="R1779" s="5"/>
      <c r="S1779" s="5"/>
      <c r="T1779" s="5"/>
    </row>
    <row r="1780" spans="18:20" x14ac:dyDescent="0.25">
      <c r="R1780" s="5"/>
      <c r="S1780" s="5"/>
      <c r="T1780" s="5"/>
    </row>
    <row r="1781" spans="18:20" x14ac:dyDescent="0.25">
      <c r="R1781" s="5"/>
      <c r="S1781" s="5"/>
      <c r="T1781" s="5"/>
    </row>
    <row r="1782" spans="18:20" x14ac:dyDescent="0.25">
      <c r="R1782" s="5"/>
      <c r="S1782" s="5"/>
      <c r="T1782" s="5"/>
    </row>
    <row r="1783" spans="18:20" x14ac:dyDescent="0.25">
      <c r="R1783" s="5"/>
      <c r="S1783" s="5"/>
      <c r="T1783" s="5"/>
    </row>
    <row r="1784" spans="18:20" x14ac:dyDescent="0.25">
      <c r="R1784" s="5"/>
      <c r="S1784" s="5"/>
      <c r="T1784" s="5"/>
    </row>
    <row r="1785" spans="18:20" x14ac:dyDescent="0.25">
      <c r="R1785" s="5"/>
      <c r="S1785" s="5"/>
      <c r="T1785" s="5"/>
    </row>
    <row r="1786" spans="18:20" x14ac:dyDescent="0.25">
      <c r="R1786" s="5"/>
      <c r="S1786" s="5"/>
      <c r="T1786" s="5"/>
    </row>
    <row r="1787" spans="18:20" x14ac:dyDescent="0.25">
      <c r="R1787" s="5"/>
      <c r="S1787" s="5"/>
      <c r="T1787" s="5"/>
    </row>
    <row r="1788" spans="18:20" x14ac:dyDescent="0.25">
      <c r="R1788" s="5"/>
      <c r="S1788" s="5"/>
      <c r="T1788" s="5"/>
    </row>
    <row r="1789" spans="18:20" x14ac:dyDescent="0.25">
      <c r="R1789" s="5"/>
      <c r="S1789" s="5"/>
      <c r="T1789" s="5"/>
    </row>
    <row r="1790" spans="18:20" x14ac:dyDescent="0.25">
      <c r="R1790" s="5"/>
      <c r="S1790" s="5"/>
      <c r="T1790" s="5"/>
    </row>
    <row r="1791" spans="18:20" x14ac:dyDescent="0.25">
      <c r="R1791" s="5"/>
      <c r="S1791" s="5"/>
      <c r="T1791" s="5"/>
    </row>
    <row r="1792" spans="18:20" x14ac:dyDescent="0.25">
      <c r="R1792" s="5"/>
      <c r="S1792" s="5"/>
      <c r="T1792" s="5"/>
    </row>
    <row r="1793" spans="18:20" x14ac:dyDescent="0.25">
      <c r="R1793" s="5"/>
      <c r="S1793" s="5"/>
      <c r="T1793" s="5"/>
    </row>
    <row r="1794" spans="18:20" x14ac:dyDescent="0.25">
      <c r="R1794" s="5"/>
      <c r="S1794" s="5"/>
      <c r="T1794" s="5"/>
    </row>
    <row r="1795" spans="18:20" x14ac:dyDescent="0.25">
      <c r="R1795" s="5"/>
      <c r="S1795" s="5"/>
      <c r="T1795" s="5"/>
    </row>
    <row r="1796" spans="18:20" x14ac:dyDescent="0.25">
      <c r="R1796" s="5"/>
      <c r="S1796" s="5"/>
      <c r="T1796" s="5"/>
    </row>
    <row r="1797" spans="18:20" x14ac:dyDescent="0.25">
      <c r="R1797" s="5"/>
      <c r="S1797" s="5"/>
      <c r="T1797" s="5"/>
    </row>
    <row r="1798" spans="18:20" x14ac:dyDescent="0.25">
      <c r="R1798" s="5"/>
      <c r="S1798" s="5"/>
      <c r="T1798" s="5"/>
    </row>
    <row r="1799" spans="18:20" x14ac:dyDescent="0.25">
      <c r="R1799" s="5"/>
      <c r="S1799" s="5"/>
      <c r="T1799" s="5"/>
    </row>
    <row r="1800" spans="18:20" x14ac:dyDescent="0.25">
      <c r="R1800" s="5"/>
      <c r="S1800" s="5"/>
      <c r="T1800" s="5"/>
    </row>
    <row r="1801" spans="18:20" x14ac:dyDescent="0.25">
      <c r="R1801" s="5"/>
      <c r="S1801" s="5"/>
      <c r="T1801" s="5"/>
    </row>
    <row r="1802" spans="18:20" x14ac:dyDescent="0.25">
      <c r="R1802" s="5"/>
      <c r="S1802" s="5"/>
      <c r="T1802" s="5"/>
    </row>
    <row r="1803" spans="18:20" x14ac:dyDescent="0.25">
      <c r="R1803" s="5"/>
      <c r="S1803" s="5"/>
      <c r="T1803" s="5"/>
    </row>
    <row r="1804" spans="18:20" x14ac:dyDescent="0.25">
      <c r="R1804" s="5"/>
      <c r="S1804" s="5"/>
      <c r="T1804" s="5"/>
    </row>
    <row r="1805" spans="18:20" x14ac:dyDescent="0.25">
      <c r="R1805" s="5"/>
      <c r="S1805" s="5"/>
      <c r="T1805" s="5"/>
    </row>
    <row r="1806" spans="18:20" x14ac:dyDescent="0.25">
      <c r="R1806" s="5"/>
      <c r="S1806" s="5"/>
      <c r="T1806" s="5"/>
    </row>
    <row r="1807" spans="18:20" x14ac:dyDescent="0.25">
      <c r="R1807" s="5"/>
      <c r="S1807" s="5"/>
      <c r="T1807" s="5"/>
    </row>
    <row r="1808" spans="18:20" x14ac:dyDescent="0.25">
      <c r="R1808" s="5"/>
      <c r="S1808" s="5"/>
      <c r="T1808" s="5"/>
    </row>
    <row r="1809" spans="18:20" x14ac:dyDescent="0.25">
      <c r="R1809" s="5"/>
      <c r="S1809" s="5"/>
      <c r="T1809" s="5"/>
    </row>
    <row r="1810" spans="18:20" x14ac:dyDescent="0.25">
      <c r="R1810" s="5"/>
      <c r="S1810" s="5"/>
      <c r="T1810" s="5"/>
    </row>
    <row r="1811" spans="18:20" x14ac:dyDescent="0.25">
      <c r="R1811" s="5"/>
      <c r="S1811" s="5"/>
      <c r="T1811" s="5"/>
    </row>
    <row r="1812" spans="18:20" x14ac:dyDescent="0.25">
      <c r="R1812" s="5"/>
      <c r="S1812" s="5"/>
      <c r="T1812" s="5"/>
    </row>
    <row r="1813" spans="18:20" x14ac:dyDescent="0.25">
      <c r="R1813" s="5"/>
      <c r="S1813" s="5"/>
      <c r="T1813" s="5"/>
    </row>
    <row r="1814" spans="18:20" x14ac:dyDescent="0.25">
      <c r="R1814" s="5"/>
      <c r="S1814" s="5"/>
      <c r="T1814" s="5"/>
    </row>
    <row r="1815" spans="18:20" x14ac:dyDescent="0.25">
      <c r="R1815" s="5"/>
      <c r="S1815" s="5"/>
      <c r="T1815" s="5"/>
    </row>
    <row r="1816" spans="18:20" x14ac:dyDescent="0.25">
      <c r="R1816" s="5"/>
      <c r="S1816" s="5"/>
      <c r="T1816" s="5"/>
    </row>
    <row r="1817" spans="18:20" x14ac:dyDescent="0.25">
      <c r="R1817" s="5"/>
      <c r="S1817" s="5"/>
      <c r="T1817" s="5"/>
    </row>
    <row r="1818" spans="18:20" x14ac:dyDescent="0.25">
      <c r="R1818" s="5"/>
      <c r="S1818" s="5"/>
      <c r="T1818" s="5"/>
    </row>
    <row r="1819" spans="18:20" x14ac:dyDescent="0.25">
      <c r="R1819" s="5"/>
      <c r="S1819" s="5"/>
      <c r="T1819" s="5"/>
    </row>
    <row r="1820" spans="18:20" x14ac:dyDescent="0.25">
      <c r="R1820" s="5"/>
      <c r="S1820" s="5"/>
      <c r="T1820" s="5"/>
    </row>
    <row r="1821" spans="18:20" x14ac:dyDescent="0.25">
      <c r="R1821" s="5"/>
      <c r="S1821" s="5"/>
      <c r="T1821" s="5"/>
    </row>
    <row r="1822" spans="18:20" x14ac:dyDescent="0.25">
      <c r="R1822" s="5"/>
      <c r="S1822" s="5"/>
      <c r="T1822" s="5"/>
    </row>
    <row r="1823" spans="18:20" x14ac:dyDescent="0.25">
      <c r="R1823" s="5"/>
      <c r="S1823" s="5"/>
      <c r="T1823" s="5"/>
    </row>
    <row r="1824" spans="18:20" x14ac:dyDescent="0.25">
      <c r="R1824" s="5"/>
      <c r="S1824" s="5"/>
      <c r="T1824" s="5"/>
    </row>
    <row r="1825" spans="18:20" x14ac:dyDescent="0.25">
      <c r="R1825" s="5"/>
      <c r="S1825" s="5"/>
      <c r="T1825" s="5"/>
    </row>
    <row r="1826" spans="18:20" x14ac:dyDescent="0.25">
      <c r="R1826" s="5"/>
      <c r="S1826" s="5"/>
      <c r="T1826" s="5"/>
    </row>
    <row r="1827" spans="18:20" x14ac:dyDescent="0.25">
      <c r="R1827" s="5"/>
      <c r="S1827" s="5"/>
      <c r="T1827" s="5"/>
    </row>
    <row r="1828" spans="18:20" x14ac:dyDescent="0.25">
      <c r="R1828" s="5"/>
      <c r="S1828" s="5"/>
      <c r="T1828" s="5"/>
    </row>
    <row r="1829" spans="18:20" x14ac:dyDescent="0.25">
      <c r="R1829" s="5"/>
      <c r="S1829" s="5"/>
      <c r="T1829" s="5"/>
    </row>
    <row r="1830" spans="18:20" x14ac:dyDescent="0.25">
      <c r="R1830" s="5"/>
      <c r="S1830" s="5"/>
      <c r="T1830" s="5"/>
    </row>
    <row r="1831" spans="18:20" x14ac:dyDescent="0.25">
      <c r="R1831" s="5"/>
      <c r="S1831" s="5"/>
      <c r="T1831" s="5"/>
    </row>
    <row r="1832" spans="18:20" x14ac:dyDescent="0.25">
      <c r="R1832" s="5"/>
      <c r="S1832" s="5"/>
      <c r="T1832" s="5"/>
    </row>
    <row r="1833" spans="18:20" x14ac:dyDescent="0.25">
      <c r="R1833" s="5"/>
      <c r="S1833" s="5"/>
      <c r="T1833" s="5"/>
    </row>
    <row r="1834" spans="18:20" x14ac:dyDescent="0.25">
      <c r="R1834" s="5"/>
      <c r="S1834" s="5"/>
      <c r="T1834" s="5"/>
    </row>
    <row r="1835" spans="18:20" x14ac:dyDescent="0.25">
      <c r="R1835" s="5"/>
      <c r="S1835" s="5"/>
      <c r="T1835" s="5"/>
    </row>
    <row r="1836" spans="18:20" x14ac:dyDescent="0.25">
      <c r="R1836" s="5"/>
      <c r="S1836" s="5"/>
      <c r="T1836" s="5"/>
    </row>
    <row r="1837" spans="18:20" x14ac:dyDescent="0.25">
      <c r="R1837" s="5"/>
      <c r="S1837" s="5"/>
      <c r="T1837" s="5"/>
    </row>
    <row r="1838" spans="18:20" x14ac:dyDescent="0.25">
      <c r="R1838" s="5"/>
      <c r="S1838" s="5"/>
      <c r="T1838" s="5"/>
    </row>
    <row r="1839" spans="18:20" x14ac:dyDescent="0.25">
      <c r="R1839" s="5"/>
      <c r="S1839" s="5"/>
      <c r="T1839" s="5"/>
    </row>
    <row r="1840" spans="18:20" x14ac:dyDescent="0.25">
      <c r="R1840" s="5"/>
      <c r="S1840" s="5"/>
      <c r="T1840" s="5"/>
    </row>
    <row r="1841" spans="18:20" x14ac:dyDescent="0.25">
      <c r="R1841" s="5"/>
      <c r="S1841" s="5"/>
      <c r="T1841" s="5"/>
    </row>
    <row r="1842" spans="18:20" x14ac:dyDescent="0.25">
      <c r="R1842" s="5"/>
      <c r="S1842" s="5"/>
      <c r="T1842" s="5"/>
    </row>
    <row r="1843" spans="18:20" x14ac:dyDescent="0.25">
      <c r="R1843" s="5"/>
      <c r="S1843" s="5"/>
      <c r="T1843" s="5"/>
    </row>
    <row r="1844" spans="18:20" x14ac:dyDescent="0.25">
      <c r="R1844" s="5"/>
      <c r="S1844" s="5"/>
      <c r="T1844" s="5"/>
    </row>
    <row r="1845" spans="18:20" x14ac:dyDescent="0.25">
      <c r="R1845" s="5"/>
      <c r="S1845" s="5"/>
      <c r="T1845" s="5"/>
    </row>
    <row r="1846" spans="18:20" x14ac:dyDescent="0.25">
      <c r="R1846" s="5"/>
      <c r="S1846" s="5"/>
      <c r="T1846" s="5"/>
    </row>
    <row r="1847" spans="18:20" x14ac:dyDescent="0.25">
      <c r="R1847" s="5"/>
      <c r="S1847" s="5"/>
      <c r="T1847" s="5"/>
    </row>
    <row r="1848" spans="18:20" x14ac:dyDescent="0.25">
      <c r="R1848" s="5"/>
      <c r="S1848" s="5"/>
      <c r="T1848" s="5"/>
    </row>
    <row r="1849" spans="18:20" x14ac:dyDescent="0.25">
      <c r="R1849" s="5"/>
      <c r="S1849" s="5"/>
      <c r="T1849" s="5"/>
    </row>
    <row r="1850" spans="18:20" x14ac:dyDescent="0.25">
      <c r="R1850" s="5"/>
      <c r="S1850" s="5"/>
      <c r="T1850" s="5"/>
    </row>
    <row r="1851" spans="18:20" x14ac:dyDescent="0.25">
      <c r="R1851" s="5"/>
      <c r="S1851" s="5"/>
      <c r="T1851" s="5"/>
    </row>
    <row r="1852" spans="18:20" x14ac:dyDescent="0.25">
      <c r="R1852" s="5"/>
      <c r="S1852" s="5"/>
      <c r="T1852" s="5"/>
    </row>
    <row r="1853" spans="18:20" x14ac:dyDescent="0.25">
      <c r="R1853" s="5"/>
      <c r="S1853" s="5"/>
      <c r="T1853" s="5"/>
    </row>
    <row r="1854" spans="18:20" x14ac:dyDescent="0.25">
      <c r="R1854" s="5"/>
      <c r="S1854" s="5"/>
      <c r="T1854" s="5"/>
    </row>
    <row r="1855" spans="18:20" x14ac:dyDescent="0.25">
      <c r="R1855" s="5"/>
      <c r="S1855" s="5"/>
      <c r="T1855" s="5"/>
    </row>
    <row r="1856" spans="18:20" x14ac:dyDescent="0.25">
      <c r="R1856" s="5"/>
      <c r="S1856" s="5"/>
      <c r="T1856" s="5"/>
    </row>
    <row r="1857" spans="18:20" x14ac:dyDescent="0.25">
      <c r="R1857" s="5"/>
      <c r="S1857" s="5"/>
      <c r="T1857" s="5"/>
    </row>
    <row r="1858" spans="18:20" x14ac:dyDescent="0.25">
      <c r="R1858" s="5"/>
      <c r="S1858" s="5"/>
      <c r="T1858" s="5"/>
    </row>
    <row r="1859" spans="18:20" x14ac:dyDescent="0.25">
      <c r="R1859" s="5"/>
      <c r="S1859" s="5"/>
      <c r="T1859" s="5"/>
    </row>
    <row r="1860" spans="18:20" x14ac:dyDescent="0.25">
      <c r="R1860" s="5"/>
      <c r="S1860" s="5"/>
      <c r="T1860" s="5"/>
    </row>
    <row r="1861" spans="18:20" x14ac:dyDescent="0.25">
      <c r="R1861" s="5"/>
      <c r="S1861" s="5"/>
      <c r="T1861" s="5"/>
    </row>
    <row r="1862" spans="18:20" x14ac:dyDescent="0.25">
      <c r="R1862" s="5"/>
      <c r="S1862" s="5"/>
      <c r="T1862" s="5"/>
    </row>
    <row r="1863" spans="18:20" x14ac:dyDescent="0.25">
      <c r="R1863" s="5"/>
      <c r="S1863" s="5"/>
      <c r="T1863" s="5"/>
    </row>
    <row r="1864" spans="18:20" x14ac:dyDescent="0.25">
      <c r="R1864" s="5"/>
      <c r="S1864" s="5"/>
      <c r="T1864" s="5"/>
    </row>
    <row r="1865" spans="18:20" x14ac:dyDescent="0.25">
      <c r="R1865" s="5"/>
      <c r="S1865" s="5"/>
      <c r="T1865" s="5"/>
    </row>
    <row r="1866" spans="18:20" x14ac:dyDescent="0.25">
      <c r="R1866" s="5"/>
      <c r="S1866" s="5"/>
      <c r="T1866" s="5"/>
    </row>
    <row r="1867" spans="18:20" x14ac:dyDescent="0.25">
      <c r="R1867" s="5"/>
      <c r="S1867" s="5"/>
      <c r="T1867" s="5"/>
    </row>
    <row r="1868" spans="18:20" x14ac:dyDescent="0.25">
      <c r="R1868" s="5"/>
      <c r="S1868" s="5"/>
      <c r="T1868" s="5"/>
    </row>
    <row r="1869" spans="18:20" x14ac:dyDescent="0.25">
      <c r="R1869" s="5"/>
      <c r="S1869" s="5"/>
      <c r="T1869" s="5"/>
    </row>
    <row r="1870" spans="18:20" x14ac:dyDescent="0.25">
      <c r="R1870" s="5"/>
      <c r="S1870" s="5"/>
      <c r="T1870" s="5"/>
    </row>
    <row r="1871" spans="18:20" x14ac:dyDescent="0.25">
      <c r="R1871" s="5"/>
      <c r="S1871" s="5"/>
      <c r="T1871" s="5"/>
    </row>
    <row r="1872" spans="18:20" x14ac:dyDescent="0.25">
      <c r="R1872" s="5"/>
      <c r="S1872" s="5"/>
      <c r="T1872" s="5"/>
    </row>
    <row r="1873" spans="18:20" x14ac:dyDescent="0.25">
      <c r="R1873" s="5"/>
      <c r="S1873" s="5"/>
      <c r="T1873" s="5"/>
    </row>
    <row r="1874" spans="18:20" x14ac:dyDescent="0.25">
      <c r="R1874" s="5"/>
      <c r="S1874" s="5"/>
      <c r="T1874" s="5"/>
    </row>
    <row r="1875" spans="18:20" x14ac:dyDescent="0.25">
      <c r="R1875" s="5"/>
      <c r="S1875" s="5"/>
      <c r="T1875" s="5"/>
    </row>
    <row r="1876" spans="18:20" x14ac:dyDescent="0.25">
      <c r="R1876" s="5"/>
      <c r="S1876" s="5"/>
      <c r="T1876" s="5"/>
    </row>
    <row r="1877" spans="18:20" x14ac:dyDescent="0.25">
      <c r="R1877" s="5"/>
      <c r="S1877" s="5"/>
      <c r="T1877" s="5"/>
    </row>
    <row r="1878" spans="18:20" x14ac:dyDescent="0.25">
      <c r="R1878" s="5"/>
      <c r="S1878" s="5"/>
      <c r="T1878" s="5"/>
    </row>
    <row r="1879" spans="18:20" x14ac:dyDescent="0.25">
      <c r="R1879" s="5"/>
      <c r="S1879" s="5"/>
      <c r="T1879" s="5"/>
    </row>
    <row r="1880" spans="18:20" x14ac:dyDescent="0.25">
      <c r="R1880" s="5"/>
      <c r="S1880" s="5"/>
      <c r="T1880" s="5"/>
    </row>
    <row r="1881" spans="18:20" x14ac:dyDescent="0.25">
      <c r="R1881" s="5"/>
      <c r="S1881" s="5"/>
      <c r="T1881" s="5"/>
    </row>
    <row r="1882" spans="18:20" x14ac:dyDescent="0.25">
      <c r="R1882" s="5"/>
      <c r="S1882" s="5"/>
      <c r="T1882" s="5"/>
    </row>
    <row r="1883" spans="18:20" x14ac:dyDescent="0.25">
      <c r="R1883" s="5"/>
      <c r="S1883" s="5"/>
      <c r="T1883" s="5"/>
    </row>
    <row r="1884" spans="18:20" x14ac:dyDescent="0.25">
      <c r="R1884" s="5"/>
      <c r="S1884" s="5"/>
      <c r="T1884" s="5"/>
    </row>
    <row r="1885" spans="18:20" x14ac:dyDescent="0.25">
      <c r="R1885" s="5"/>
      <c r="S1885" s="5"/>
      <c r="T1885" s="5"/>
    </row>
    <row r="1886" spans="18:20" x14ac:dyDescent="0.25">
      <c r="R1886" s="5"/>
      <c r="S1886" s="5"/>
      <c r="T1886" s="5"/>
    </row>
    <row r="1887" spans="18:20" x14ac:dyDescent="0.25">
      <c r="R1887" s="5"/>
      <c r="S1887" s="5"/>
      <c r="T1887" s="5"/>
    </row>
    <row r="1888" spans="18:20" x14ac:dyDescent="0.25">
      <c r="R1888" s="5"/>
      <c r="S1888" s="5"/>
      <c r="T1888" s="5"/>
    </row>
    <row r="1889" spans="18:20" x14ac:dyDescent="0.25">
      <c r="R1889" s="5"/>
      <c r="S1889" s="5"/>
      <c r="T1889" s="5"/>
    </row>
    <row r="1890" spans="18:20" x14ac:dyDescent="0.25">
      <c r="R1890" s="5"/>
      <c r="S1890" s="5"/>
      <c r="T1890" s="5"/>
    </row>
    <row r="1891" spans="18:20" x14ac:dyDescent="0.25">
      <c r="R1891" s="5"/>
      <c r="S1891" s="5"/>
      <c r="T1891" s="5"/>
    </row>
    <row r="1892" spans="18:20" x14ac:dyDescent="0.25">
      <c r="R1892" s="5"/>
      <c r="S1892" s="5"/>
      <c r="T1892" s="5"/>
    </row>
    <row r="1893" spans="18:20" x14ac:dyDescent="0.25">
      <c r="R1893" s="5"/>
      <c r="S1893" s="5"/>
      <c r="T1893" s="5"/>
    </row>
    <row r="1894" spans="18:20" x14ac:dyDescent="0.25">
      <c r="R1894" s="5"/>
      <c r="S1894" s="5"/>
      <c r="T1894" s="5"/>
    </row>
    <row r="1895" spans="18:20" x14ac:dyDescent="0.25">
      <c r="R1895" s="5"/>
      <c r="S1895" s="5"/>
      <c r="T1895" s="5"/>
    </row>
    <row r="1896" spans="18:20" x14ac:dyDescent="0.25">
      <c r="R1896" s="5"/>
      <c r="S1896" s="5"/>
      <c r="T1896" s="5"/>
    </row>
    <row r="1897" spans="18:20" x14ac:dyDescent="0.25">
      <c r="R1897" s="5"/>
      <c r="S1897" s="5"/>
      <c r="T1897" s="5"/>
    </row>
    <row r="1898" spans="18:20" x14ac:dyDescent="0.25">
      <c r="R1898" s="5"/>
      <c r="S1898" s="5"/>
      <c r="T1898" s="5"/>
    </row>
    <row r="1899" spans="18:20" x14ac:dyDescent="0.25">
      <c r="R1899" s="5"/>
      <c r="S1899" s="5"/>
      <c r="T1899" s="5"/>
    </row>
    <row r="1900" spans="18:20" x14ac:dyDescent="0.25">
      <c r="R1900" s="5"/>
      <c r="S1900" s="5"/>
      <c r="T1900" s="5"/>
    </row>
    <row r="1901" spans="18:20" x14ac:dyDescent="0.25">
      <c r="R1901" s="5"/>
      <c r="S1901" s="5"/>
      <c r="T1901" s="5"/>
    </row>
    <row r="1902" spans="18:20" x14ac:dyDescent="0.25">
      <c r="R1902" s="5"/>
      <c r="S1902" s="5"/>
      <c r="T1902" s="5"/>
    </row>
    <row r="1903" spans="18:20" x14ac:dyDescent="0.25">
      <c r="R1903" s="5"/>
      <c r="S1903" s="5"/>
      <c r="T1903" s="5"/>
    </row>
    <row r="1904" spans="18:20" x14ac:dyDescent="0.25">
      <c r="R1904" s="5"/>
      <c r="S1904" s="5"/>
      <c r="T1904" s="5"/>
    </row>
    <row r="1905" spans="18:20" x14ac:dyDescent="0.25">
      <c r="R1905" s="5"/>
      <c r="S1905" s="5"/>
      <c r="T1905" s="5"/>
    </row>
    <row r="1906" spans="18:20" x14ac:dyDescent="0.25">
      <c r="R1906" s="5"/>
      <c r="S1906" s="5"/>
      <c r="T1906" s="5"/>
    </row>
    <row r="1907" spans="18:20" x14ac:dyDescent="0.25">
      <c r="R1907" s="5"/>
      <c r="S1907" s="5"/>
      <c r="T1907" s="5"/>
    </row>
    <row r="1908" spans="18:20" x14ac:dyDescent="0.25">
      <c r="R1908" s="5"/>
      <c r="S1908" s="5"/>
      <c r="T1908" s="5"/>
    </row>
    <row r="1909" spans="18:20" x14ac:dyDescent="0.25">
      <c r="R1909" s="5"/>
      <c r="S1909" s="5"/>
      <c r="T1909" s="5"/>
    </row>
    <row r="1910" spans="18:20" x14ac:dyDescent="0.25">
      <c r="R1910" s="5"/>
      <c r="S1910" s="5"/>
      <c r="T1910" s="5"/>
    </row>
    <row r="1911" spans="18:20" x14ac:dyDescent="0.25">
      <c r="R1911" s="5"/>
      <c r="S1911" s="5"/>
      <c r="T1911" s="5"/>
    </row>
    <row r="1912" spans="18:20" x14ac:dyDescent="0.25">
      <c r="R1912" s="5"/>
      <c r="S1912" s="5"/>
      <c r="T1912" s="5"/>
    </row>
    <row r="1913" spans="18:20" x14ac:dyDescent="0.25">
      <c r="R1913" s="5"/>
      <c r="S1913" s="5"/>
      <c r="T1913" s="5"/>
    </row>
    <row r="1914" spans="18:20" x14ac:dyDescent="0.25">
      <c r="R1914" s="5"/>
      <c r="S1914" s="5"/>
      <c r="T1914" s="5"/>
    </row>
    <row r="1915" spans="18:20" x14ac:dyDescent="0.25">
      <c r="R1915" s="5"/>
      <c r="S1915" s="5"/>
      <c r="T1915" s="5"/>
    </row>
    <row r="1916" spans="18:20" x14ac:dyDescent="0.25">
      <c r="R1916" s="5"/>
      <c r="S1916" s="5"/>
      <c r="T1916" s="5"/>
    </row>
    <row r="1917" spans="18:20" x14ac:dyDescent="0.25">
      <c r="R1917" s="5"/>
      <c r="S1917" s="5"/>
      <c r="T1917" s="5"/>
    </row>
    <row r="1918" spans="18:20" x14ac:dyDescent="0.25">
      <c r="R1918" s="5"/>
      <c r="S1918" s="5"/>
      <c r="T1918" s="5"/>
    </row>
    <row r="1919" spans="18:20" x14ac:dyDescent="0.25">
      <c r="R1919" s="5"/>
      <c r="S1919" s="5"/>
      <c r="T1919" s="5"/>
    </row>
    <row r="1920" spans="18:20" x14ac:dyDescent="0.25">
      <c r="R1920" s="5"/>
      <c r="S1920" s="5"/>
      <c r="T1920" s="5"/>
    </row>
    <row r="1921" spans="18:20" x14ac:dyDescent="0.25">
      <c r="R1921" s="5"/>
      <c r="S1921" s="5"/>
      <c r="T1921" s="5"/>
    </row>
    <row r="1922" spans="18:20" x14ac:dyDescent="0.25">
      <c r="R1922" s="5"/>
      <c r="S1922" s="5"/>
      <c r="T1922" s="5"/>
    </row>
    <row r="1923" spans="18:20" x14ac:dyDescent="0.25">
      <c r="R1923" s="5"/>
      <c r="S1923" s="5"/>
      <c r="T1923" s="5"/>
    </row>
    <row r="1924" spans="18:20" x14ac:dyDescent="0.25">
      <c r="R1924" s="5"/>
      <c r="S1924" s="5"/>
      <c r="T1924" s="5"/>
    </row>
    <row r="1925" spans="18:20" x14ac:dyDescent="0.25">
      <c r="R1925" s="5"/>
      <c r="S1925" s="5"/>
      <c r="T1925" s="5"/>
    </row>
    <row r="1926" spans="18:20" x14ac:dyDescent="0.25">
      <c r="R1926" s="5"/>
      <c r="S1926" s="5"/>
      <c r="T1926" s="5"/>
    </row>
    <row r="1927" spans="18:20" x14ac:dyDescent="0.25">
      <c r="R1927" s="5"/>
      <c r="S1927" s="5"/>
      <c r="T1927" s="5"/>
    </row>
    <row r="1928" spans="18:20" x14ac:dyDescent="0.25">
      <c r="R1928" s="5"/>
      <c r="S1928" s="5"/>
      <c r="T1928" s="5"/>
    </row>
    <row r="1929" spans="18:20" x14ac:dyDescent="0.25">
      <c r="R1929" s="5"/>
      <c r="S1929" s="5"/>
      <c r="T1929" s="5"/>
    </row>
    <row r="1930" spans="18:20" x14ac:dyDescent="0.25">
      <c r="R1930" s="5"/>
      <c r="S1930" s="5"/>
      <c r="T1930" s="5"/>
    </row>
    <row r="1931" spans="18:20" x14ac:dyDescent="0.25">
      <c r="R1931" s="5"/>
      <c r="S1931" s="5"/>
      <c r="T1931" s="5"/>
    </row>
    <row r="1932" spans="18:20" x14ac:dyDescent="0.25">
      <c r="R1932" s="5"/>
      <c r="S1932" s="5"/>
      <c r="T1932" s="5"/>
    </row>
    <row r="1933" spans="18:20" x14ac:dyDescent="0.25">
      <c r="R1933" s="5"/>
      <c r="S1933" s="5"/>
      <c r="T1933" s="5"/>
    </row>
    <row r="1934" spans="18:20" x14ac:dyDescent="0.25">
      <c r="R1934" s="5"/>
      <c r="S1934" s="5"/>
      <c r="T1934" s="5"/>
    </row>
    <row r="1935" spans="18:20" x14ac:dyDescent="0.25">
      <c r="R1935" s="5"/>
      <c r="S1935" s="5"/>
      <c r="T1935" s="5"/>
    </row>
    <row r="1936" spans="18:20" x14ac:dyDescent="0.25">
      <c r="R1936" s="5"/>
      <c r="S1936" s="5"/>
      <c r="T1936" s="5"/>
    </row>
    <row r="1937" spans="18:20" x14ac:dyDescent="0.25">
      <c r="R1937" s="5"/>
      <c r="S1937" s="5"/>
      <c r="T1937" s="5"/>
    </row>
    <row r="1938" spans="18:20" x14ac:dyDescent="0.25">
      <c r="R1938" s="5"/>
      <c r="S1938" s="5"/>
      <c r="T1938" s="5"/>
    </row>
    <row r="1939" spans="18:20" x14ac:dyDescent="0.25">
      <c r="R1939" s="5"/>
      <c r="S1939" s="5"/>
      <c r="T1939" s="5"/>
    </row>
    <row r="1940" spans="18:20" x14ac:dyDescent="0.25">
      <c r="R1940" s="5"/>
      <c r="S1940" s="5"/>
      <c r="T1940" s="5"/>
    </row>
    <row r="1941" spans="18:20" x14ac:dyDescent="0.25">
      <c r="R1941" s="5"/>
      <c r="S1941" s="5"/>
      <c r="T1941" s="5"/>
    </row>
    <row r="1942" spans="18:20" x14ac:dyDescent="0.25">
      <c r="R1942" s="5"/>
      <c r="S1942" s="5"/>
      <c r="T1942" s="5"/>
    </row>
    <row r="1943" spans="18:20" x14ac:dyDescent="0.25">
      <c r="R1943" s="5"/>
      <c r="S1943" s="5"/>
      <c r="T1943" s="5"/>
    </row>
    <row r="1944" spans="18:20" x14ac:dyDescent="0.25">
      <c r="R1944" s="5"/>
      <c r="S1944" s="5"/>
      <c r="T1944" s="5"/>
    </row>
    <row r="1945" spans="18:20" x14ac:dyDescent="0.25">
      <c r="R1945" s="5"/>
      <c r="S1945" s="5"/>
      <c r="T1945" s="5"/>
    </row>
    <row r="1946" spans="18:20" x14ac:dyDescent="0.25">
      <c r="R1946" s="5"/>
      <c r="S1946" s="5"/>
      <c r="T1946" s="5"/>
    </row>
    <row r="1947" spans="18:20" x14ac:dyDescent="0.25">
      <c r="R1947" s="5"/>
      <c r="S1947" s="5"/>
      <c r="T1947" s="5"/>
    </row>
    <row r="1948" spans="18:20" x14ac:dyDescent="0.25">
      <c r="R1948" s="5"/>
      <c r="S1948" s="5"/>
      <c r="T1948" s="5"/>
    </row>
    <row r="1949" spans="18:20" x14ac:dyDescent="0.25">
      <c r="R1949" s="5"/>
      <c r="S1949" s="5"/>
      <c r="T1949" s="5"/>
    </row>
    <row r="1950" spans="18:20" x14ac:dyDescent="0.25">
      <c r="R1950" s="5"/>
      <c r="S1950" s="5"/>
      <c r="T1950" s="5"/>
    </row>
    <row r="1951" spans="18:20" x14ac:dyDescent="0.25">
      <c r="R1951" s="5"/>
      <c r="S1951" s="5"/>
      <c r="T1951" s="5"/>
    </row>
    <row r="1952" spans="18:20" x14ac:dyDescent="0.25">
      <c r="R1952" s="5"/>
      <c r="S1952" s="5"/>
      <c r="T1952" s="5"/>
    </row>
    <row r="1953" spans="18:20" x14ac:dyDescent="0.25">
      <c r="R1953" s="5"/>
      <c r="S1953" s="5"/>
      <c r="T1953" s="5"/>
    </row>
    <row r="1954" spans="18:20" x14ac:dyDescent="0.25">
      <c r="R1954" s="5"/>
      <c r="S1954" s="5"/>
      <c r="T1954" s="5"/>
    </row>
    <row r="1955" spans="18:20" x14ac:dyDescent="0.25">
      <c r="R1955" s="5"/>
      <c r="S1955" s="5"/>
      <c r="T1955" s="5"/>
    </row>
    <row r="1956" spans="18:20" x14ac:dyDescent="0.25">
      <c r="R1956" s="5"/>
      <c r="S1956" s="5"/>
      <c r="T1956" s="5"/>
    </row>
    <row r="1957" spans="18:20" x14ac:dyDescent="0.25">
      <c r="R1957" s="5"/>
      <c r="S1957" s="5"/>
      <c r="T1957" s="5"/>
    </row>
    <row r="1958" spans="18:20" x14ac:dyDescent="0.25">
      <c r="R1958" s="5"/>
      <c r="S1958" s="5"/>
      <c r="T1958" s="5"/>
    </row>
    <row r="1959" spans="18:20" x14ac:dyDescent="0.25">
      <c r="R1959" s="5"/>
      <c r="S1959" s="5"/>
      <c r="T1959" s="5"/>
    </row>
    <row r="1960" spans="18:20" x14ac:dyDescent="0.25">
      <c r="R1960" s="5"/>
      <c r="S1960" s="5"/>
      <c r="T1960" s="5"/>
    </row>
    <row r="1961" spans="18:20" x14ac:dyDescent="0.25">
      <c r="R1961" s="5"/>
      <c r="S1961" s="5"/>
      <c r="T1961" s="5"/>
    </row>
    <row r="1962" spans="18:20" x14ac:dyDescent="0.25">
      <c r="R1962" s="5"/>
      <c r="S1962" s="5"/>
      <c r="T1962" s="5"/>
    </row>
    <row r="1963" spans="18:20" x14ac:dyDescent="0.25">
      <c r="R1963" s="5"/>
      <c r="S1963" s="5"/>
      <c r="T1963" s="5"/>
    </row>
    <row r="1964" spans="18:20" x14ac:dyDescent="0.25">
      <c r="R1964" s="5"/>
      <c r="S1964" s="5"/>
      <c r="T1964" s="5"/>
    </row>
    <row r="1965" spans="18:20" x14ac:dyDescent="0.25">
      <c r="R1965" s="5"/>
      <c r="S1965" s="5"/>
      <c r="T1965" s="5"/>
    </row>
    <row r="1966" spans="18:20" x14ac:dyDescent="0.25">
      <c r="R1966" s="5"/>
      <c r="S1966" s="5"/>
      <c r="T1966" s="5"/>
    </row>
    <row r="1967" spans="18:20" x14ac:dyDescent="0.25">
      <c r="R1967" s="5"/>
      <c r="S1967" s="5"/>
      <c r="T1967" s="5"/>
    </row>
    <row r="1968" spans="18:20" x14ac:dyDescent="0.25">
      <c r="R1968" s="5"/>
      <c r="S1968" s="5"/>
      <c r="T1968" s="5"/>
    </row>
    <row r="1969" spans="18:20" x14ac:dyDescent="0.25">
      <c r="R1969" s="5"/>
      <c r="S1969" s="5"/>
      <c r="T1969" s="5"/>
    </row>
    <row r="1970" spans="18:20" x14ac:dyDescent="0.25">
      <c r="R1970" s="5"/>
      <c r="S1970" s="5"/>
      <c r="T1970" s="5"/>
    </row>
    <row r="1971" spans="18:20" x14ac:dyDescent="0.25">
      <c r="R1971" s="5"/>
      <c r="S1971" s="5"/>
      <c r="T1971" s="5"/>
    </row>
    <row r="1972" spans="18:20" x14ac:dyDescent="0.25">
      <c r="R1972" s="5"/>
      <c r="S1972" s="5"/>
      <c r="T1972" s="5"/>
    </row>
    <row r="1973" spans="18:20" x14ac:dyDescent="0.25">
      <c r="R1973" s="5"/>
      <c r="S1973" s="5"/>
      <c r="T1973" s="5"/>
    </row>
    <row r="1974" spans="18:20" x14ac:dyDescent="0.25">
      <c r="R1974" s="5"/>
      <c r="S1974" s="5"/>
      <c r="T1974" s="5"/>
    </row>
    <row r="1975" spans="18:20" x14ac:dyDescent="0.25">
      <c r="R1975" s="5"/>
      <c r="S1975" s="5"/>
      <c r="T1975" s="5"/>
    </row>
    <row r="1976" spans="18:20" x14ac:dyDescent="0.25">
      <c r="R1976" s="5"/>
      <c r="S1976" s="5"/>
      <c r="T1976" s="5"/>
    </row>
    <row r="1977" spans="18:20" x14ac:dyDescent="0.25">
      <c r="R1977" s="5"/>
      <c r="S1977" s="5"/>
      <c r="T1977" s="5"/>
    </row>
    <row r="1978" spans="18:20" x14ac:dyDescent="0.25">
      <c r="R1978" s="5"/>
      <c r="S1978" s="5"/>
      <c r="T1978" s="5"/>
    </row>
    <row r="1979" spans="18:20" x14ac:dyDescent="0.25">
      <c r="R1979" s="5"/>
      <c r="S1979" s="5"/>
      <c r="T1979" s="5"/>
    </row>
    <row r="1980" spans="18:20" x14ac:dyDescent="0.25">
      <c r="R1980" s="5"/>
      <c r="S1980" s="5"/>
      <c r="T1980" s="5"/>
    </row>
    <row r="1981" spans="18:20" x14ac:dyDescent="0.25">
      <c r="R1981" s="5"/>
      <c r="S1981" s="5"/>
      <c r="T1981" s="5"/>
    </row>
    <row r="1982" spans="18:20" x14ac:dyDescent="0.25">
      <c r="R1982" s="5"/>
      <c r="S1982" s="5"/>
      <c r="T1982" s="5"/>
    </row>
    <row r="1983" spans="18:20" x14ac:dyDescent="0.25">
      <c r="R1983" s="5"/>
      <c r="S1983" s="5"/>
      <c r="T1983" s="5"/>
    </row>
    <row r="1984" spans="18:20" x14ac:dyDescent="0.25">
      <c r="R1984" s="5"/>
      <c r="S1984" s="5"/>
      <c r="T1984" s="5"/>
    </row>
    <row r="1985" spans="18:20" x14ac:dyDescent="0.25">
      <c r="R1985" s="5"/>
      <c r="S1985" s="5"/>
      <c r="T1985" s="5"/>
    </row>
    <row r="1986" spans="18:20" x14ac:dyDescent="0.25">
      <c r="R1986" s="5"/>
      <c r="S1986" s="5"/>
      <c r="T1986" s="5"/>
    </row>
    <row r="1987" spans="18:20" x14ac:dyDescent="0.25">
      <c r="R1987" s="5"/>
      <c r="S1987" s="5"/>
      <c r="T1987" s="5"/>
    </row>
    <row r="1988" spans="18:20" x14ac:dyDescent="0.25">
      <c r="R1988" s="5"/>
      <c r="S1988" s="5"/>
      <c r="T1988" s="5"/>
    </row>
    <row r="1989" spans="18:20" x14ac:dyDescent="0.25">
      <c r="R1989" s="5"/>
      <c r="S1989" s="5"/>
      <c r="T1989" s="5"/>
    </row>
    <row r="1990" spans="18:20" x14ac:dyDescent="0.25">
      <c r="R1990" s="5"/>
      <c r="S1990" s="5"/>
      <c r="T1990" s="5"/>
    </row>
    <row r="1991" spans="18:20" x14ac:dyDescent="0.25">
      <c r="R1991" s="5"/>
      <c r="S1991" s="5"/>
      <c r="T1991" s="5"/>
    </row>
    <row r="1992" spans="18:20" x14ac:dyDescent="0.25">
      <c r="R1992" s="5"/>
      <c r="S1992" s="5"/>
      <c r="T1992" s="5"/>
    </row>
    <row r="1993" spans="18:20" x14ac:dyDescent="0.25">
      <c r="R1993" s="5"/>
      <c r="S1993" s="5"/>
      <c r="T1993" s="5"/>
    </row>
    <row r="1994" spans="18:20" x14ac:dyDescent="0.25">
      <c r="R1994" s="5"/>
      <c r="S1994" s="5"/>
      <c r="T1994" s="5"/>
    </row>
    <row r="1995" spans="18:20" x14ac:dyDescent="0.25">
      <c r="R1995" s="5"/>
      <c r="S1995" s="5"/>
      <c r="T1995" s="5"/>
    </row>
    <row r="1996" spans="18:20" x14ac:dyDescent="0.25">
      <c r="R1996" s="5"/>
      <c r="S1996" s="5"/>
      <c r="T1996" s="5"/>
    </row>
    <row r="1997" spans="18:20" x14ac:dyDescent="0.25">
      <c r="R1997" s="5"/>
      <c r="S1997" s="5"/>
      <c r="T1997" s="5"/>
    </row>
  </sheetData>
  <autoFilter ref="C7:AF211" xr:uid="{A09DD3F6-DDA3-4DF2-885D-8344B23B3FE2}"/>
  <mergeCells count="25">
    <mergeCell ref="AD5:AF5"/>
    <mergeCell ref="C1:AF1"/>
    <mergeCell ref="C2:AF2"/>
    <mergeCell ref="C3:AF3"/>
    <mergeCell ref="C4:E6"/>
    <mergeCell ref="F4:N4"/>
    <mergeCell ref="O4:W4"/>
    <mergeCell ref="X4:AF4"/>
    <mergeCell ref="F5:H5"/>
    <mergeCell ref="I5:K5"/>
    <mergeCell ref="L5:N5"/>
    <mergeCell ref="O5:Q5"/>
    <mergeCell ref="R5:T5"/>
    <mergeCell ref="U5:W5"/>
    <mergeCell ref="X5:Z5"/>
    <mergeCell ref="AA5:AC5"/>
    <mergeCell ref="X6:Z6"/>
    <mergeCell ref="AA6:AC6"/>
    <mergeCell ref="AD6:AF6"/>
    <mergeCell ref="F6:H6"/>
    <mergeCell ref="I6:K6"/>
    <mergeCell ref="L6:N6"/>
    <mergeCell ref="O6:Q6"/>
    <mergeCell ref="R6:T6"/>
    <mergeCell ref="U6:W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LISTADO MACRO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Alba Rocio Cocoma Tabares</dc:creator>
  <cp:lastModifiedBy>MABC INGENIERIA SAS</cp:lastModifiedBy>
  <dcterms:created xsi:type="dcterms:W3CDTF">2020-02-19T19:37:10Z</dcterms:created>
  <dcterms:modified xsi:type="dcterms:W3CDTF">2026-01-19T18:20:44Z</dcterms:modified>
</cp:coreProperties>
</file>