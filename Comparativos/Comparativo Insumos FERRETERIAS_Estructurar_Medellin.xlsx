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tructurarsas.sharepoint.com/sites/IngenieraComercialInmobiliaria/Documentos compartidos/Proyectos/6. Registros/Infraestructura/En ejecución/NUTRESA/NOEL/MANTENIMIENTO 2026/03.COMPRAS Y ALMACEN/01.COMPRAS/10.Ferreteria/"/>
    </mc:Choice>
  </mc:AlternateContent>
  <xr:revisionPtr revIDLastSave="32" documentId="14_{EC918563-B46D-4730-ADA8-BBCCF2944EF4}" xr6:coauthVersionLast="47" xr6:coauthVersionMax="47" xr10:uidLastSave="{98454A2A-3FD5-4FBD-B894-991500323CE7}"/>
  <bookViews>
    <workbookView xWindow="-98" yWindow="-98" windowWidth="21795" windowHeight="12975" firstSheet="1" activeTab="4" xr2:uid="{00000000-000D-0000-FFFF-FFFF00000000}"/>
  </bookViews>
  <sheets>
    <sheet name="COMPARATIVO  CONTENEDORES" sheetId="8" state="hidden" r:id="rId1"/>
    <sheet name="COMPARATIVO ACERO" sheetId="11" state="hidden" r:id="rId2"/>
    <sheet name="COMPARATIVO  TACO MADERA" sheetId="13" state="hidden" r:id="rId3"/>
    <sheet name="COMPARATIVO  TELA SARAN" sheetId="14" state="hidden" r:id="rId4"/>
    <sheet name="COMPARATIVO FERRETERIA" sheetId="10" r:id="rId5"/>
  </sheets>
  <definedNames>
    <definedName name="_xlnm.Print_Area" localSheetId="0">'COMPARATIVO  CONTENEDORES'!$A$1:$V$36</definedName>
    <definedName name="_xlnm.Print_Area" localSheetId="2">'COMPARATIVO  TACO MADERA'!$A$1:$V$36</definedName>
    <definedName name="_xlnm.Print_Area" localSheetId="3">'COMPARATIVO  TELA SARAN'!$A$1:$V$36</definedName>
    <definedName name="_xlnm.Print_Area" localSheetId="1">'COMPARATIVO ACERO'!$A$1:$X$38</definedName>
    <definedName name="_xlnm.Print_Area" localSheetId="4">'COMPARATIVO FERRETERIA'!$A$1:$V$91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" i="10" l="1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10" i="10"/>
  <c r="G9" i="10"/>
  <c r="T65" i="10"/>
  <c r="U65" i="10" s="1"/>
  <c r="V65" i="10" s="1"/>
  <c r="T66" i="10"/>
  <c r="U66" i="10" s="1"/>
  <c r="V66" i="10" s="1"/>
  <c r="T67" i="10"/>
  <c r="U67" i="10" s="1"/>
  <c r="V67" i="10" s="1"/>
  <c r="Y63" i="10"/>
  <c r="Z63" i="10" s="1"/>
  <c r="AA63" i="10" s="1"/>
  <c r="Y64" i="10"/>
  <c r="Z64" i="10" s="1"/>
  <c r="AA64" i="10" s="1"/>
  <c r="Y65" i="10"/>
  <c r="Z65" i="10" s="1"/>
  <c r="AA65" i="10" s="1"/>
  <c r="Y66" i="10"/>
  <c r="Z66" i="10" s="1"/>
  <c r="AA66" i="10" s="1"/>
  <c r="Y67" i="10"/>
  <c r="Z67" i="10" s="1"/>
  <c r="AA67" i="10" s="1"/>
  <c r="Y40" i="10"/>
  <c r="Z40" i="10" s="1"/>
  <c r="AA40" i="10" s="1"/>
  <c r="Y41" i="10"/>
  <c r="Z41" i="10" s="1"/>
  <c r="AA41" i="10" s="1"/>
  <c r="Y42" i="10"/>
  <c r="Z42" i="10" s="1"/>
  <c r="AA42" i="10" s="1"/>
  <c r="Y43" i="10"/>
  <c r="Z43" i="10" s="1"/>
  <c r="AA43" i="10" s="1"/>
  <c r="Y44" i="10"/>
  <c r="Z44" i="10" s="1"/>
  <c r="AA44" i="10" s="1"/>
  <c r="Y45" i="10"/>
  <c r="Z45" i="10" s="1"/>
  <c r="AA45" i="10" s="1"/>
  <c r="Y46" i="10"/>
  <c r="Z46" i="10" s="1"/>
  <c r="AA46" i="10" s="1"/>
  <c r="Y47" i="10"/>
  <c r="Z47" i="10" s="1"/>
  <c r="AA47" i="10" s="1"/>
  <c r="Y48" i="10"/>
  <c r="Z48" i="10" s="1"/>
  <c r="AA48" i="10" s="1"/>
  <c r="Y49" i="10"/>
  <c r="Z49" i="10" s="1"/>
  <c r="AA49" i="10" s="1"/>
  <c r="Y50" i="10"/>
  <c r="Z50" i="10" s="1"/>
  <c r="AA50" i="10" s="1"/>
  <c r="Y51" i="10"/>
  <c r="Z51" i="10" s="1"/>
  <c r="AA51" i="10" s="1"/>
  <c r="Y52" i="10"/>
  <c r="Z52" i="10" s="1"/>
  <c r="AA52" i="10" s="1"/>
  <c r="Y53" i="10"/>
  <c r="Z53" i="10" s="1"/>
  <c r="AA53" i="10" s="1"/>
  <c r="Y54" i="10"/>
  <c r="Z54" i="10" s="1"/>
  <c r="AA54" i="10" s="1"/>
  <c r="Y55" i="10"/>
  <c r="Z55" i="10" s="1"/>
  <c r="AA55" i="10" s="1"/>
  <c r="Y56" i="10"/>
  <c r="Z56" i="10" s="1"/>
  <c r="AA56" i="10" s="1"/>
  <c r="Y57" i="10"/>
  <c r="Z57" i="10" s="1"/>
  <c r="AA57" i="10" s="1"/>
  <c r="Y58" i="10"/>
  <c r="Z58" i="10" s="1"/>
  <c r="AA58" i="10" s="1"/>
  <c r="Y59" i="10"/>
  <c r="Z59" i="10" s="1"/>
  <c r="AA59" i="10" s="1"/>
  <c r="Y60" i="10"/>
  <c r="Z60" i="10" s="1"/>
  <c r="AA60" i="10" s="1"/>
  <c r="Y61" i="10"/>
  <c r="Z61" i="10" s="1"/>
  <c r="AA61" i="10" s="1"/>
  <c r="Y62" i="10"/>
  <c r="Z62" i="10" s="1"/>
  <c r="AA62" i="10" s="1"/>
  <c r="T41" i="10"/>
  <c r="U41" i="10" s="1"/>
  <c r="V41" i="10" s="1"/>
  <c r="T42" i="10"/>
  <c r="U42" i="10" s="1"/>
  <c r="V42" i="10" s="1"/>
  <c r="T43" i="10"/>
  <c r="U43" i="10" s="1"/>
  <c r="V43" i="10" s="1"/>
  <c r="T44" i="10"/>
  <c r="U44" i="10" s="1"/>
  <c r="V44" i="10" s="1"/>
  <c r="T45" i="10"/>
  <c r="U45" i="10" s="1"/>
  <c r="V45" i="10" s="1"/>
  <c r="T46" i="10"/>
  <c r="U46" i="10" s="1"/>
  <c r="V46" i="10" s="1"/>
  <c r="T47" i="10"/>
  <c r="U47" i="10" s="1"/>
  <c r="V47" i="10" s="1"/>
  <c r="T48" i="10"/>
  <c r="U48" i="10" s="1"/>
  <c r="V48" i="10" s="1"/>
  <c r="T49" i="10"/>
  <c r="U49" i="10" s="1"/>
  <c r="V49" i="10" s="1"/>
  <c r="T50" i="10"/>
  <c r="U50" i="10" s="1"/>
  <c r="V50" i="10" s="1"/>
  <c r="T51" i="10"/>
  <c r="U51" i="10" s="1"/>
  <c r="V51" i="10" s="1"/>
  <c r="T52" i="10"/>
  <c r="U52" i="10" s="1"/>
  <c r="V52" i="10" s="1"/>
  <c r="T53" i="10"/>
  <c r="U53" i="10" s="1"/>
  <c r="V53" i="10" s="1"/>
  <c r="T54" i="10"/>
  <c r="U54" i="10" s="1"/>
  <c r="V54" i="10" s="1"/>
  <c r="T55" i="10"/>
  <c r="U55" i="10" s="1"/>
  <c r="V55" i="10" s="1"/>
  <c r="T56" i="10"/>
  <c r="U56" i="10" s="1"/>
  <c r="V56" i="10" s="1"/>
  <c r="T57" i="10"/>
  <c r="U57" i="10" s="1"/>
  <c r="V57" i="10" s="1"/>
  <c r="T58" i="10"/>
  <c r="U58" i="10" s="1"/>
  <c r="V58" i="10" s="1"/>
  <c r="T59" i="10"/>
  <c r="U59" i="10" s="1"/>
  <c r="V59" i="10" s="1"/>
  <c r="T60" i="10"/>
  <c r="U60" i="10" s="1"/>
  <c r="V60" i="10" s="1"/>
  <c r="T61" i="10"/>
  <c r="U61" i="10" s="1"/>
  <c r="V61" i="10" s="1"/>
  <c r="T62" i="10"/>
  <c r="U62" i="10" s="1"/>
  <c r="V62" i="10" s="1"/>
  <c r="T40" i="10"/>
  <c r="U40" i="10" s="1"/>
  <c r="V40" i="10" s="1"/>
  <c r="O41" i="10"/>
  <c r="P41" i="10" s="1"/>
  <c r="Q41" i="10" s="1"/>
  <c r="O42" i="10"/>
  <c r="P42" i="10" s="1"/>
  <c r="Q42" i="10" s="1"/>
  <c r="O43" i="10"/>
  <c r="P43" i="10" s="1"/>
  <c r="Q43" i="10" s="1"/>
  <c r="O44" i="10"/>
  <c r="P44" i="10" s="1"/>
  <c r="Q44" i="10" s="1"/>
  <c r="O45" i="10"/>
  <c r="P45" i="10" s="1"/>
  <c r="Q45" i="10" s="1"/>
  <c r="O46" i="10"/>
  <c r="P46" i="10" s="1"/>
  <c r="Q46" i="10" s="1"/>
  <c r="O47" i="10"/>
  <c r="P47" i="10" s="1"/>
  <c r="Q47" i="10" s="1"/>
  <c r="O48" i="10"/>
  <c r="P48" i="10" s="1"/>
  <c r="Q48" i="10" s="1"/>
  <c r="O49" i="10"/>
  <c r="P49" i="10" s="1"/>
  <c r="Q49" i="10" s="1"/>
  <c r="O50" i="10"/>
  <c r="P50" i="10" s="1"/>
  <c r="Q50" i="10" s="1"/>
  <c r="O51" i="10"/>
  <c r="P51" i="10" s="1"/>
  <c r="Q51" i="10" s="1"/>
  <c r="O52" i="10"/>
  <c r="P52" i="10" s="1"/>
  <c r="Q52" i="10" s="1"/>
  <c r="O53" i="10"/>
  <c r="P53" i="10" s="1"/>
  <c r="Q53" i="10" s="1"/>
  <c r="O54" i="10"/>
  <c r="P54" i="10" s="1"/>
  <c r="Q54" i="10" s="1"/>
  <c r="O55" i="10"/>
  <c r="P55" i="10" s="1"/>
  <c r="Q55" i="10" s="1"/>
  <c r="O56" i="10"/>
  <c r="P56" i="10" s="1"/>
  <c r="Q56" i="10" s="1"/>
  <c r="O57" i="10"/>
  <c r="P57" i="10" s="1"/>
  <c r="Q57" i="10" s="1"/>
  <c r="O58" i="10"/>
  <c r="P58" i="10" s="1"/>
  <c r="Q58" i="10" s="1"/>
  <c r="O59" i="10"/>
  <c r="P59" i="10" s="1"/>
  <c r="Q59" i="10" s="1"/>
  <c r="O60" i="10"/>
  <c r="P60" i="10" s="1"/>
  <c r="Q60" i="10" s="1"/>
  <c r="O61" i="10"/>
  <c r="P61" i="10" s="1"/>
  <c r="Q61" i="10" s="1"/>
  <c r="O62" i="10"/>
  <c r="P62" i="10" s="1"/>
  <c r="Q62" i="10" s="1"/>
  <c r="O40" i="10"/>
  <c r="P40" i="10" s="1"/>
  <c r="Q40" i="10" s="1"/>
  <c r="J41" i="10"/>
  <c r="K41" i="10" s="1"/>
  <c r="L41" i="10" s="1"/>
  <c r="J42" i="10"/>
  <c r="K42" i="10" s="1"/>
  <c r="L42" i="10" s="1"/>
  <c r="J43" i="10"/>
  <c r="K43" i="10" s="1"/>
  <c r="L43" i="10" s="1"/>
  <c r="J44" i="10"/>
  <c r="K44" i="10" s="1"/>
  <c r="L44" i="10" s="1"/>
  <c r="J45" i="10"/>
  <c r="K45" i="10" s="1"/>
  <c r="L45" i="10" s="1"/>
  <c r="J46" i="10"/>
  <c r="K46" i="10" s="1"/>
  <c r="L46" i="10" s="1"/>
  <c r="J47" i="10"/>
  <c r="K47" i="10" s="1"/>
  <c r="L47" i="10" s="1"/>
  <c r="J48" i="10"/>
  <c r="K48" i="10" s="1"/>
  <c r="L48" i="10" s="1"/>
  <c r="J49" i="10"/>
  <c r="K49" i="10" s="1"/>
  <c r="L49" i="10" s="1"/>
  <c r="J50" i="10"/>
  <c r="K50" i="10" s="1"/>
  <c r="L50" i="10" s="1"/>
  <c r="J51" i="10"/>
  <c r="K51" i="10" s="1"/>
  <c r="L51" i="10" s="1"/>
  <c r="J52" i="10"/>
  <c r="K52" i="10" s="1"/>
  <c r="L52" i="10" s="1"/>
  <c r="J53" i="10"/>
  <c r="K53" i="10" s="1"/>
  <c r="L53" i="10" s="1"/>
  <c r="J54" i="10"/>
  <c r="K54" i="10" s="1"/>
  <c r="L54" i="10" s="1"/>
  <c r="J55" i="10"/>
  <c r="K55" i="10" s="1"/>
  <c r="L55" i="10" s="1"/>
  <c r="J56" i="10"/>
  <c r="K56" i="10" s="1"/>
  <c r="L56" i="10" s="1"/>
  <c r="J57" i="10"/>
  <c r="K57" i="10" s="1"/>
  <c r="L57" i="10" s="1"/>
  <c r="J58" i="10"/>
  <c r="K58" i="10" s="1"/>
  <c r="L58" i="10" s="1"/>
  <c r="J59" i="10"/>
  <c r="K59" i="10" s="1"/>
  <c r="L59" i="10" s="1"/>
  <c r="J60" i="10"/>
  <c r="K60" i="10" s="1"/>
  <c r="L60" i="10" s="1"/>
  <c r="J61" i="10"/>
  <c r="K61" i="10" s="1"/>
  <c r="L61" i="10" s="1"/>
  <c r="J62" i="10"/>
  <c r="K62" i="10" s="1"/>
  <c r="L62" i="10" s="1"/>
  <c r="J40" i="10"/>
  <c r="K40" i="10" s="1"/>
  <c r="L40" i="10" s="1"/>
  <c r="J39" i="10"/>
  <c r="K39" i="10" s="1"/>
  <c r="L39" i="10" s="1"/>
  <c r="O39" i="10"/>
  <c r="P39" i="10" s="1"/>
  <c r="Q39" i="10" s="1"/>
  <c r="T39" i="10"/>
  <c r="U39" i="10" s="1"/>
  <c r="V39" i="10" s="1"/>
  <c r="Y39" i="10"/>
  <c r="Z39" i="10" s="1"/>
  <c r="AA39" i="10" s="1"/>
  <c r="T64" i="10"/>
  <c r="U64" i="10" s="1"/>
  <c r="V64" i="10" s="1"/>
  <c r="T63" i="10"/>
  <c r="U63" i="10" s="1"/>
  <c r="V63" i="10" s="1"/>
  <c r="O65" i="10"/>
  <c r="P65" i="10" s="1"/>
  <c r="Q65" i="10" s="1"/>
  <c r="O66" i="10"/>
  <c r="P66" i="10" s="1"/>
  <c r="Q66" i="10" s="1"/>
  <c r="O67" i="10"/>
  <c r="P67" i="10" s="1"/>
  <c r="Q67" i="10" s="1"/>
  <c r="O64" i="10"/>
  <c r="P64" i="10" s="1"/>
  <c r="Q64" i="10" s="1"/>
  <c r="O63" i="10"/>
  <c r="P63" i="10" s="1"/>
  <c r="Q63" i="10" s="1"/>
  <c r="J65" i="10"/>
  <c r="K65" i="10" s="1"/>
  <c r="L65" i="10" s="1"/>
  <c r="J66" i="10"/>
  <c r="K66" i="10" s="1"/>
  <c r="L66" i="10" s="1"/>
  <c r="J67" i="10"/>
  <c r="K67" i="10" s="1"/>
  <c r="L67" i="10" s="1"/>
  <c r="J64" i="10"/>
  <c r="K64" i="10" s="1"/>
  <c r="L64" i="10" s="1"/>
  <c r="J63" i="10"/>
  <c r="K63" i="10" s="1"/>
  <c r="L63" i="10" s="1"/>
  <c r="Y30" i="10"/>
  <c r="Z30" i="10" s="1"/>
  <c r="AA30" i="10" s="1"/>
  <c r="Y31" i="10"/>
  <c r="Z31" i="10" s="1"/>
  <c r="AA31" i="10" s="1"/>
  <c r="Y32" i="10"/>
  <c r="Z32" i="10" s="1"/>
  <c r="AA32" i="10" s="1"/>
  <c r="Y33" i="10"/>
  <c r="Z33" i="10" s="1"/>
  <c r="AA33" i="10" s="1"/>
  <c r="Y34" i="10"/>
  <c r="Z34" i="10" s="1"/>
  <c r="AA34" i="10" s="1"/>
  <c r="Y35" i="10"/>
  <c r="Z35" i="10" s="1"/>
  <c r="AA35" i="10" s="1"/>
  <c r="T30" i="10"/>
  <c r="U30" i="10" s="1"/>
  <c r="V30" i="10" s="1"/>
  <c r="T31" i="10"/>
  <c r="U31" i="10" s="1"/>
  <c r="V31" i="10" s="1"/>
  <c r="T32" i="10"/>
  <c r="U32" i="10" s="1"/>
  <c r="V32" i="10" s="1"/>
  <c r="T33" i="10"/>
  <c r="U33" i="10" s="1"/>
  <c r="V33" i="10" s="1"/>
  <c r="T34" i="10"/>
  <c r="U34" i="10" s="1"/>
  <c r="V34" i="10" s="1"/>
  <c r="T35" i="10"/>
  <c r="U35" i="10" s="1"/>
  <c r="V35" i="10" s="1"/>
  <c r="O30" i="10"/>
  <c r="P30" i="10" s="1"/>
  <c r="Q30" i="10" s="1"/>
  <c r="O31" i="10"/>
  <c r="P31" i="10" s="1"/>
  <c r="Q31" i="10" s="1"/>
  <c r="O32" i="10"/>
  <c r="P32" i="10" s="1"/>
  <c r="Q32" i="10" s="1"/>
  <c r="O33" i="10"/>
  <c r="P33" i="10" s="1"/>
  <c r="Q33" i="10" s="1"/>
  <c r="O34" i="10"/>
  <c r="P34" i="10" s="1"/>
  <c r="Q34" i="10" s="1"/>
  <c r="O35" i="10"/>
  <c r="P35" i="10" s="1"/>
  <c r="Q35" i="10" s="1"/>
  <c r="J30" i="10"/>
  <c r="K30" i="10" s="1"/>
  <c r="L30" i="10" s="1"/>
  <c r="J31" i="10"/>
  <c r="K31" i="10" s="1"/>
  <c r="L31" i="10" s="1"/>
  <c r="J32" i="10"/>
  <c r="K32" i="10" s="1"/>
  <c r="L32" i="10" s="1"/>
  <c r="J33" i="10"/>
  <c r="K33" i="10" s="1"/>
  <c r="L33" i="10" s="1"/>
  <c r="J34" i="10"/>
  <c r="K34" i="10" s="1"/>
  <c r="L34" i="10" s="1"/>
  <c r="J35" i="10"/>
  <c r="K35" i="10" s="1"/>
  <c r="L35" i="10" s="1"/>
  <c r="Y24" i="10"/>
  <c r="Z24" i="10" s="1"/>
  <c r="AA24" i="10" s="1"/>
  <c r="Y25" i="10"/>
  <c r="Z25" i="10" s="1"/>
  <c r="AA25" i="10" s="1"/>
  <c r="Y26" i="10"/>
  <c r="Z26" i="10" s="1"/>
  <c r="AA26" i="10" s="1"/>
  <c r="Y27" i="10"/>
  <c r="Z27" i="10" s="1"/>
  <c r="AA27" i="10" s="1"/>
  <c r="Y28" i="10"/>
  <c r="Z28" i="10" s="1"/>
  <c r="AA28" i="10" s="1"/>
  <c r="Y29" i="10"/>
  <c r="Z29" i="10" s="1"/>
  <c r="AA29" i="10" s="1"/>
  <c r="Y36" i="10"/>
  <c r="Z36" i="10" s="1"/>
  <c r="AA36" i="10" s="1"/>
  <c r="Y37" i="10"/>
  <c r="Z37" i="10" s="1"/>
  <c r="AA37" i="10" s="1"/>
  <c r="Y38" i="10"/>
  <c r="Z38" i="10" s="1"/>
  <c r="AA38" i="10" s="1"/>
  <c r="T24" i="10"/>
  <c r="U24" i="10" s="1"/>
  <c r="V24" i="10" s="1"/>
  <c r="T25" i="10"/>
  <c r="U25" i="10" s="1"/>
  <c r="V25" i="10" s="1"/>
  <c r="T26" i="10"/>
  <c r="U26" i="10" s="1"/>
  <c r="V26" i="10" s="1"/>
  <c r="T27" i="10"/>
  <c r="U27" i="10" s="1"/>
  <c r="V27" i="10" s="1"/>
  <c r="T28" i="10"/>
  <c r="U28" i="10" s="1"/>
  <c r="V28" i="10" s="1"/>
  <c r="T29" i="10"/>
  <c r="U29" i="10" s="1"/>
  <c r="V29" i="10" s="1"/>
  <c r="T36" i="10"/>
  <c r="U36" i="10" s="1"/>
  <c r="V36" i="10" s="1"/>
  <c r="T37" i="10"/>
  <c r="U37" i="10" s="1"/>
  <c r="V37" i="10" s="1"/>
  <c r="T38" i="10"/>
  <c r="U38" i="10" s="1"/>
  <c r="V38" i="10" s="1"/>
  <c r="O24" i="10"/>
  <c r="P24" i="10" s="1"/>
  <c r="Q24" i="10" s="1"/>
  <c r="O25" i="10"/>
  <c r="P25" i="10" s="1"/>
  <c r="Q25" i="10" s="1"/>
  <c r="O26" i="10"/>
  <c r="P26" i="10" s="1"/>
  <c r="Q26" i="10" s="1"/>
  <c r="O27" i="10"/>
  <c r="P27" i="10" s="1"/>
  <c r="Q27" i="10" s="1"/>
  <c r="O28" i="10"/>
  <c r="P28" i="10" s="1"/>
  <c r="Q28" i="10" s="1"/>
  <c r="O29" i="10"/>
  <c r="P29" i="10" s="1"/>
  <c r="Q29" i="10" s="1"/>
  <c r="O36" i="10"/>
  <c r="P36" i="10" s="1"/>
  <c r="Q36" i="10" s="1"/>
  <c r="O37" i="10"/>
  <c r="P37" i="10" s="1"/>
  <c r="Q37" i="10" s="1"/>
  <c r="O38" i="10"/>
  <c r="P38" i="10" s="1"/>
  <c r="Q38" i="10" s="1"/>
  <c r="J24" i="10"/>
  <c r="K24" i="10" s="1"/>
  <c r="L24" i="10" s="1"/>
  <c r="J25" i="10"/>
  <c r="K25" i="10" s="1"/>
  <c r="L25" i="10" s="1"/>
  <c r="J26" i="10"/>
  <c r="K26" i="10" s="1"/>
  <c r="L26" i="10" s="1"/>
  <c r="J27" i="10"/>
  <c r="K27" i="10" s="1"/>
  <c r="L27" i="10" s="1"/>
  <c r="J28" i="10"/>
  <c r="K28" i="10" s="1"/>
  <c r="L28" i="10" s="1"/>
  <c r="J29" i="10"/>
  <c r="K29" i="10" s="1"/>
  <c r="L29" i="10" s="1"/>
  <c r="J36" i="10"/>
  <c r="K36" i="10" s="1"/>
  <c r="L36" i="10" s="1"/>
  <c r="J37" i="10"/>
  <c r="K37" i="10" s="1"/>
  <c r="L37" i="10" s="1"/>
  <c r="J38" i="10"/>
  <c r="K38" i="10" s="1"/>
  <c r="L38" i="10" s="1"/>
  <c r="J11" i="10"/>
  <c r="K11" i="10" s="1"/>
  <c r="L11" i="10" s="1"/>
  <c r="J12" i="10"/>
  <c r="K12" i="10" s="1"/>
  <c r="L12" i="10" s="1"/>
  <c r="J13" i="10"/>
  <c r="K13" i="10" s="1"/>
  <c r="L13" i="10" s="1"/>
  <c r="J14" i="10"/>
  <c r="K14" i="10" s="1"/>
  <c r="L14" i="10" s="1"/>
  <c r="J15" i="10"/>
  <c r="K15" i="10" s="1"/>
  <c r="L15" i="10" s="1"/>
  <c r="J16" i="10"/>
  <c r="K16" i="10" s="1"/>
  <c r="L16" i="10" s="1"/>
  <c r="J17" i="10"/>
  <c r="K17" i="10" s="1"/>
  <c r="L17" i="10" s="1"/>
  <c r="J18" i="10"/>
  <c r="K18" i="10" s="1"/>
  <c r="L18" i="10" s="1"/>
  <c r="J19" i="10"/>
  <c r="K19" i="10" s="1"/>
  <c r="L19" i="10" s="1"/>
  <c r="J20" i="10"/>
  <c r="K20" i="10" s="1"/>
  <c r="L20" i="10" s="1"/>
  <c r="J21" i="10"/>
  <c r="K21" i="10" s="1"/>
  <c r="L21" i="10" s="1"/>
  <c r="J22" i="10"/>
  <c r="K22" i="10" s="1"/>
  <c r="L22" i="10" s="1"/>
  <c r="J23" i="10"/>
  <c r="K23" i="10" s="1"/>
  <c r="L23" i="10" s="1"/>
  <c r="J10" i="10"/>
  <c r="K10" i="10" s="1"/>
  <c r="L10" i="10" s="1"/>
  <c r="J9" i="10"/>
  <c r="K9" i="10" s="1"/>
  <c r="L9" i="10" s="1"/>
  <c r="Y10" i="10"/>
  <c r="Z10" i="10" s="1"/>
  <c r="AA10" i="10" s="1"/>
  <c r="Y11" i="10"/>
  <c r="Z11" i="10" s="1"/>
  <c r="AA11" i="10" s="1"/>
  <c r="Y12" i="10"/>
  <c r="Z12" i="10" s="1"/>
  <c r="AA12" i="10" s="1"/>
  <c r="Y13" i="10"/>
  <c r="Z13" i="10" s="1"/>
  <c r="AA13" i="10" s="1"/>
  <c r="Y14" i="10"/>
  <c r="Z14" i="10" s="1"/>
  <c r="AA14" i="10" s="1"/>
  <c r="Y15" i="10"/>
  <c r="Z15" i="10" s="1"/>
  <c r="AA15" i="10" s="1"/>
  <c r="Y16" i="10"/>
  <c r="Z16" i="10" s="1"/>
  <c r="AA16" i="10" s="1"/>
  <c r="Y17" i="10"/>
  <c r="Z17" i="10" s="1"/>
  <c r="AA17" i="10" s="1"/>
  <c r="Y18" i="10"/>
  <c r="Z18" i="10" s="1"/>
  <c r="AA18" i="10" s="1"/>
  <c r="Y19" i="10"/>
  <c r="Z19" i="10" s="1"/>
  <c r="AA19" i="10" s="1"/>
  <c r="Y20" i="10"/>
  <c r="Z20" i="10" s="1"/>
  <c r="AA20" i="10" s="1"/>
  <c r="Y21" i="10"/>
  <c r="Z21" i="10" s="1"/>
  <c r="AA21" i="10" s="1"/>
  <c r="Y22" i="10"/>
  <c r="Z22" i="10" s="1"/>
  <c r="AA22" i="10" s="1"/>
  <c r="Y23" i="10"/>
  <c r="Z23" i="10" s="1"/>
  <c r="AA23" i="10" s="1"/>
  <c r="O11" i="10"/>
  <c r="P11" i="10" s="1"/>
  <c r="Q11" i="10" s="1"/>
  <c r="O12" i="10"/>
  <c r="P12" i="10" s="1"/>
  <c r="Q12" i="10" s="1"/>
  <c r="O13" i="10"/>
  <c r="P13" i="10" s="1"/>
  <c r="Q13" i="10" s="1"/>
  <c r="O14" i="10"/>
  <c r="P14" i="10" s="1"/>
  <c r="Q14" i="10" s="1"/>
  <c r="O15" i="10"/>
  <c r="P15" i="10" s="1"/>
  <c r="Q15" i="10" s="1"/>
  <c r="O16" i="10"/>
  <c r="P16" i="10" s="1"/>
  <c r="Q16" i="10" s="1"/>
  <c r="O17" i="10"/>
  <c r="P17" i="10" s="1"/>
  <c r="Q17" i="10" s="1"/>
  <c r="O18" i="10"/>
  <c r="P18" i="10" s="1"/>
  <c r="Q18" i="10" s="1"/>
  <c r="O19" i="10"/>
  <c r="P19" i="10" s="1"/>
  <c r="Q19" i="10" s="1"/>
  <c r="O20" i="10"/>
  <c r="P20" i="10" s="1"/>
  <c r="Q20" i="10" s="1"/>
  <c r="O21" i="10"/>
  <c r="P21" i="10" s="1"/>
  <c r="Q21" i="10" s="1"/>
  <c r="O22" i="10"/>
  <c r="P22" i="10" s="1"/>
  <c r="Q22" i="10" s="1"/>
  <c r="O23" i="10"/>
  <c r="P23" i="10" s="1"/>
  <c r="Q23" i="10" s="1"/>
  <c r="O10" i="10"/>
  <c r="P10" i="10" s="1"/>
  <c r="Q10" i="10" s="1"/>
  <c r="O9" i="10"/>
  <c r="P9" i="10" s="1"/>
  <c r="Q9" i="10" s="1"/>
  <c r="T9" i="10"/>
  <c r="U9" i="10" s="1"/>
  <c r="V9" i="10" s="1"/>
  <c r="T10" i="10"/>
  <c r="U10" i="10" s="1"/>
  <c r="V10" i="10" s="1"/>
  <c r="T11" i="10"/>
  <c r="U11" i="10" s="1"/>
  <c r="V11" i="10" s="1"/>
  <c r="T12" i="10"/>
  <c r="U12" i="10" s="1"/>
  <c r="V12" i="10" s="1"/>
  <c r="T13" i="10"/>
  <c r="U13" i="10" s="1"/>
  <c r="V13" i="10" s="1"/>
  <c r="T14" i="10"/>
  <c r="U14" i="10" s="1"/>
  <c r="V14" i="10" s="1"/>
  <c r="T15" i="10"/>
  <c r="U15" i="10" s="1"/>
  <c r="V15" i="10" s="1"/>
  <c r="T16" i="10"/>
  <c r="U16" i="10" s="1"/>
  <c r="V16" i="10" s="1"/>
  <c r="T17" i="10"/>
  <c r="U17" i="10" s="1"/>
  <c r="V17" i="10" s="1"/>
  <c r="T18" i="10"/>
  <c r="U18" i="10" s="1"/>
  <c r="V18" i="10" s="1"/>
  <c r="T19" i="10"/>
  <c r="U19" i="10" s="1"/>
  <c r="V19" i="10" s="1"/>
  <c r="T20" i="10"/>
  <c r="U20" i="10" s="1"/>
  <c r="V20" i="10" s="1"/>
  <c r="T21" i="10"/>
  <c r="U21" i="10" s="1"/>
  <c r="V21" i="10" s="1"/>
  <c r="T22" i="10"/>
  <c r="U22" i="10" s="1"/>
  <c r="V22" i="10" s="1"/>
  <c r="T23" i="10"/>
  <c r="U23" i="10" s="1"/>
  <c r="V23" i="10" s="1"/>
  <c r="Y9" i="10"/>
  <c r="Z9" i="10" s="1"/>
  <c r="AA9" i="10" s="1"/>
  <c r="Y8" i="10"/>
  <c r="Z8" i="10" s="1"/>
  <c r="AA8" i="10" s="1"/>
  <c r="Y7" i="10"/>
  <c r="Z7" i="10" s="1"/>
  <c r="AA7" i="10" s="1"/>
  <c r="AA69" i="10" l="1"/>
  <c r="AA73" i="10" s="1"/>
  <c r="T8" i="10" l="1"/>
  <c r="U8" i="10" s="1"/>
  <c r="V8" i="10" l="1"/>
  <c r="O8" i="10"/>
  <c r="P8" i="10" s="1"/>
  <c r="Q8" i="10" s="1"/>
  <c r="J8" i="10" l="1"/>
  <c r="K8" i="10" s="1"/>
  <c r="L8" i="10" l="1"/>
  <c r="G8" i="10"/>
  <c r="D5" i="14"/>
  <c r="D5" i="13"/>
  <c r="D5" i="11"/>
  <c r="D5" i="10"/>
  <c r="D5" i="8"/>
  <c r="V9" i="8" l="1"/>
  <c r="T7" i="8"/>
  <c r="G10" i="11"/>
  <c r="G9" i="11"/>
  <c r="G8" i="11"/>
  <c r="G7" i="11"/>
  <c r="F16" i="11" l="1"/>
  <c r="T7" i="10" l="1"/>
  <c r="U7" i="10" s="1"/>
  <c r="V7" i="10" s="1"/>
  <c r="V69" i="10" s="1"/>
  <c r="T7" i="14"/>
  <c r="U7" i="14" s="1"/>
  <c r="V7" i="14" s="1"/>
  <c r="N7" i="8"/>
  <c r="P9" i="8"/>
  <c r="J9" i="8"/>
  <c r="N7" i="14"/>
  <c r="O7" i="14" s="1"/>
  <c r="P7" i="14" s="1"/>
  <c r="N7" i="13"/>
  <c r="O7" i="13" s="1"/>
  <c r="P7" i="13" s="1"/>
  <c r="AI11" i="14"/>
  <c r="AC11" i="14"/>
  <c r="Z11" i="14"/>
  <c r="AA11" i="14" s="1"/>
  <c r="AB11" i="14" s="1"/>
  <c r="W11" i="14"/>
  <c r="T11" i="14"/>
  <c r="U11" i="14" s="1"/>
  <c r="V11" i="14" s="1"/>
  <c r="Q11" i="14"/>
  <c r="N11" i="14"/>
  <c r="O11" i="14" s="1"/>
  <c r="P11" i="14" s="1"/>
  <c r="K11" i="14"/>
  <c r="H11" i="14"/>
  <c r="I11" i="14" s="1"/>
  <c r="J11" i="14" s="1"/>
  <c r="AI10" i="14"/>
  <c r="AC10" i="14"/>
  <c r="Z10" i="14"/>
  <c r="AA10" i="14" s="1"/>
  <c r="AB10" i="14" s="1"/>
  <c r="W10" i="14"/>
  <c r="T10" i="14"/>
  <c r="U10" i="14" s="1"/>
  <c r="V10" i="14" s="1"/>
  <c r="Q10" i="14"/>
  <c r="N10" i="14"/>
  <c r="O10" i="14" s="1"/>
  <c r="P10" i="14" s="1"/>
  <c r="K10" i="14"/>
  <c r="H10" i="14"/>
  <c r="I10" i="14" s="1"/>
  <c r="J10" i="14" s="1"/>
  <c r="AI9" i="14"/>
  <c r="AC9" i="14"/>
  <c r="Z9" i="14"/>
  <c r="AA9" i="14" s="1"/>
  <c r="AB9" i="14" s="1"/>
  <c r="W9" i="14"/>
  <c r="T9" i="14"/>
  <c r="U9" i="14" s="1"/>
  <c r="V9" i="14" s="1"/>
  <c r="Q9" i="14"/>
  <c r="N9" i="14"/>
  <c r="O9" i="14" s="1"/>
  <c r="P9" i="14" s="1"/>
  <c r="K9" i="14"/>
  <c r="J9" i="14"/>
  <c r="AI8" i="14"/>
  <c r="AF8" i="14"/>
  <c r="AG8" i="14" s="1"/>
  <c r="AH8" i="14" s="1"/>
  <c r="AC8" i="14"/>
  <c r="Z8" i="14"/>
  <c r="AA8" i="14" s="1"/>
  <c r="AB8" i="14" s="1"/>
  <c r="W8" i="14"/>
  <c r="T8" i="14"/>
  <c r="U8" i="14" s="1"/>
  <c r="V8" i="14" s="1"/>
  <c r="Q8" i="14"/>
  <c r="N8" i="14"/>
  <c r="O8" i="14" s="1"/>
  <c r="P8" i="14" s="1"/>
  <c r="K8" i="14"/>
  <c r="H8" i="14"/>
  <c r="I8" i="14" s="1"/>
  <c r="J8" i="14" s="1"/>
  <c r="AI7" i="14"/>
  <c r="AF7" i="14"/>
  <c r="AG7" i="14" s="1"/>
  <c r="AH7" i="14" s="1"/>
  <c r="AC7" i="14"/>
  <c r="Z7" i="14"/>
  <c r="AA7" i="14" s="1"/>
  <c r="AB7" i="14" s="1"/>
  <c r="W7" i="14"/>
  <c r="Q7" i="14"/>
  <c r="K7" i="14"/>
  <c r="H7" i="14"/>
  <c r="I7" i="14" s="1"/>
  <c r="J7" i="14" s="1"/>
  <c r="AI7" i="13"/>
  <c r="AF7" i="13"/>
  <c r="AG7" i="13" s="1"/>
  <c r="AH7" i="13" s="1"/>
  <c r="AH14" i="13" s="1"/>
  <c r="AC7" i="13"/>
  <c r="Z7" i="13"/>
  <c r="AA7" i="13" s="1"/>
  <c r="AB7" i="13" s="1"/>
  <c r="AB14" i="13" s="1"/>
  <c r="W7" i="13"/>
  <c r="U7" i="13"/>
  <c r="V7" i="13" s="1"/>
  <c r="Q7" i="13"/>
  <c r="K7" i="13"/>
  <c r="H7" i="13"/>
  <c r="I7" i="13" s="1"/>
  <c r="J7" i="13" s="1"/>
  <c r="P14" i="14" l="1"/>
  <c r="V14" i="14"/>
  <c r="J14" i="13"/>
  <c r="AH14" i="14"/>
  <c r="J14" i="14"/>
  <c r="AB14" i="14"/>
  <c r="V14" i="13"/>
  <c r="P14" i="13"/>
  <c r="V17" i="14" l="1"/>
  <c r="V18" i="14" s="1"/>
  <c r="J17" i="14"/>
  <c r="J18" i="14" s="1"/>
  <c r="P17" i="14"/>
  <c r="P18" i="14" s="1"/>
  <c r="J17" i="13"/>
  <c r="J18" i="13" s="1"/>
  <c r="P17" i="13"/>
  <c r="P18" i="13" s="1"/>
  <c r="AH17" i="14"/>
  <c r="AH18" i="14" s="1"/>
  <c r="AB17" i="14"/>
  <c r="AB18" i="14" s="1"/>
  <c r="AB17" i="13"/>
  <c r="AB18" i="13" s="1"/>
  <c r="AH17" i="13"/>
  <c r="AH18" i="13" s="1"/>
  <c r="V17" i="13"/>
  <c r="V18" i="13" s="1"/>
  <c r="P8" i="11" l="1"/>
  <c r="Q8" i="11" s="1"/>
  <c r="R8" i="11" s="1"/>
  <c r="P9" i="11"/>
  <c r="Q9" i="11" s="1"/>
  <c r="R9" i="11" s="1"/>
  <c r="U8" i="11"/>
  <c r="V8" i="11" s="1"/>
  <c r="W8" i="11" s="1"/>
  <c r="X8" i="11" s="1"/>
  <c r="U9" i="11"/>
  <c r="U7" i="11"/>
  <c r="V7" i="11" s="1"/>
  <c r="J8" i="11"/>
  <c r="K8" i="11" s="1"/>
  <c r="L8" i="11" s="1"/>
  <c r="J9" i="11"/>
  <c r="K9" i="11" s="1"/>
  <c r="L9" i="11" s="1"/>
  <c r="V9" i="11" l="1"/>
  <c r="W9" i="11" s="1"/>
  <c r="X9" i="11" s="1"/>
  <c r="AK13" i="11"/>
  <c r="AE13" i="11"/>
  <c r="AB13" i="11"/>
  <c r="AC13" i="11" s="1"/>
  <c r="AD13" i="11" s="1"/>
  <c r="Y13" i="11"/>
  <c r="V13" i="11"/>
  <c r="W13" i="11" s="1"/>
  <c r="X13" i="11" s="1"/>
  <c r="S13" i="11"/>
  <c r="P13" i="11"/>
  <c r="Q13" i="11" s="1"/>
  <c r="R13" i="11" s="1"/>
  <c r="M13" i="11"/>
  <c r="J13" i="11"/>
  <c r="K13" i="11" s="1"/>
  <c r="L13" i="11" s="1"/>
  <c r="AK12" i="11"/>
  <c r="AE12" i="11"/>
  <c r="AB12" i="11"/>
  <c r="AC12" i="11" s="1"/>
  <c r="AD12" i="11" s="1"/>
  <c r="Y12" i="11"/>
  <c r="V12" i="11"/>
  <c r="W12" i="11" s="1"/>
  <c r="X12" i="11" s="1"/>
  <c r="S12" i="11"/>
  <c r="P12" i="11"/>
  <c r="Q12" i="11" s="1"/>
  <c r="R12" i="11" s="1"/>
  <c r="M12" i="11"/>
  <c r="J12" i="11"/>
  <c r="K12" i="11" s="1"/>
  <c r="L12" i="11" s="1"/>
  <c r="AK7" i="11"/>
  <c r="AH7" i="11"/>
  <c r="AI7" i="11" s="1"/>
  <c r="AJ7" i="11" s="1"/>
  <c r="AE7" i="11"/>
  <c r="AB7" i="11"/>
  <c r="AC7" i="11" s="1"/>
  <c r="AD7" i="11" s="1"/>
  <c r="Y7" i="11"/>
  <c r="W7" i="11"/>
  <c r="X7" i="11" s="1"/>
  <c r="S7" i="11"/>
  <c r="P7" i="11"/>
  <c r="Q7" i="11" s="1"/>
  <c r="R7" i="11" s="1"/>
  <c r="M7" i="11"/>
  <c r="J7" i="11"/>
  <c r="K7" i="11" s="1"/>
  <c r="L7" i="11" s="1"/>
  <c r="AD16" i="11" l="1"/>
  <c r="L16" i="11"/>
  <c r="R16" i="11"/>
  <c r="AJ16" i="11"/>
  <c r="X16" i="11"/>
  <c r="O7" i="10"/>
  <c r="P7" i="10" s="1"/>
  <c r="Q7" i="10" s="1"/>
  <c r="Q69" i="10" s="1"/>
  <c r="J7" i="10"/>
  <c r="K7" i="10" s="1"/>
  <c r="L7" i="10" l="1"/>
  <c r="G7" i="10"/>
  <c r="F69" i="10" s="1"/>
  <c r="Q73" i="10" s="1"/>
  <c r="AD19" i="11"/>
  <c r="AD20" i="11" s="1"/>
  <c r="L19" i="11"/>
  <c r="L20" i="11" s="1"/>
  <c r="X19" i="11"/>
  <c r="X20" i="11" s="1"/>
  <c r="AJ19" i="11"/>
  <c r="AJ20" i="11" s="1"/>
  <c r="R19" i="11"/>
  <c r="R20" i="11" s="1"/>
  <c r="AC11" i="8"/>
  <c r="Z11" i="8"/>
  <c r="AA11" i="8" s="1"/>
  <c r="AB11" i="8" s="1"/>
  <c r="W11" i="8"/>
  <c r="T11" i="8"/>
  <c r="U11" i="8" s="1"/>
  <c r="V11" i="8" s="1"/>
  <c r="Q11" i="8"/>
  <c r="N11" i="8"/>
  <c r="O11" i="8" s="1"/>
  <c r="P11" i="8" s="1"/>
  <c r="K11" i="8"/>
  <c r="H11" i="8"/>
  <c r="I11" i="8" s="1"/>
  <c r="J11" i="8" s="1"/>
  <c r="AC10" i="8"/>
  <c r="Z10" i="8"/>
  <c r="AA10" i="8" s="1"/>
  <c r="AB10" i="8" s="1"/>
  <c r="W10" i="8"/>
  <c r="T10" i="8"/>
  <c r="U10" i="8" s="1"/>
  <c r="V10" i="8" s="1"/>
  <c r="Q10" i="8"/>
  <c r="N10" i="8"/>
  <c r="O10" i="8" s="1"/>
  <c r="P10" i="8" s="1"/>
  <c r="K10" i="8"/>
  <c r="H10" i="8"/>
  <c r="I10" i="8" s="1"/>
  <c r="J10" i="8" s="1"/>
  <c r="AC9" i="8"/>
  <c r="Z9" i="8"/>
  <c r="AA9" i="8" s="1"/>
  <c r="AB9" i="8" s="1"/>
  <c r="W9" i="8"/>
  <c r="Q9" i="8"/>
  <c r="K9" i="8"/>
  <c r="AF8" i="8"/>
  <c r="AG8" i="8" s="1"/>
  <c r="AH8" i="8" s="1"/>
  <c r="AC8" i="8"/>
  <c r="Z8" i="8"/>
  <c r="AA8" i="8" s="1"/>
  <c r="AB8" i="8" s="1"/>
  <c r="W8" i="8"/>
  <c r="T8" i="8"/>
  <c r="U8" i="8" s="1"/>
  <c r="V8" i="8" s="1"/>
  <c r="Q8" i="8"/>
  <c r="N8" i="8"/>
  <c r="O8" i="8" s="1"/>
  <c r="P8" i="8" s="1"/>
  <c r="K8" i="8"/>
  <c r="H8" i="8"/>
  <c r="I8" i="8" s="1"/>
  <c r="J8" i="8" s="1"/>
  <c r="AF7" i="8"/>
  <c r="AG7" i="8" s="1"/>
  <c r="AH7" i="8" s="1"/>
  <c r="AC7" i="8"/>
  <c r="Z7" i="8"/>
  <c r="AA7" i="8" s="1"/>
  <c r="AB7" i="8" s="1"/>
  <c r="W7" i="8"/>
  <c r="U7" i="8"/>
  <c r="V7" i="8" s="1"/>
  <c r="Q7" i="8"/>
  <c r="O7" i="8"/>
  <c r="P7" i="8" s="1"/>
  <c r="K7" i="8"/>
  <c r="H7" i="8"/>
  <c r="I7" i="8" s="1"/>
  <c r="J7" i="8" s="1"/>
  <c r="L69" i="10" l="1"/>
  <c r="Q72" i="10" s="1"/>
  <c r="V73" i="10"/>
  <c r="AH14" i="8"/>
  <c r="P14" i="8"/>
  <c r="AB14" i="8"/>
  <c r="J14" i="8"/>
  <c r="V14" i="8"/>
  <c r="L72" i="10" l="1"/>
  <c r="AA72" i="10"/>
  <c r="L73" i="10"/>
  <c r="V72" i="10"/>
  <c r="J17" i="8"/>
  <c r="J18" i="8" s="1"/>
  <c r="P17" i="8"/>
  <c r="P18" i="8" s="1"/>
  <c r="V17" i="8"/>
  <c r="V18" i="8" s="1"/>
  <c r="AH17" i="8"/>
  <c r="AH18" i="8" s="1"/>
  <c r="AB17" i="8"/>
  <c r="AB18" i="8" s="1"/>
</calcChain>
</file>

<file path=xl/sharedStrings.xml><?xml version="1.0" encoding="utf-8"?>
<sst xmlns="http://schemas.openxmlformats.org/spreadsheetml/2006/main" count="580" uniqueCount="173">
  <si>
    <t xml:space="preserve">                             COMPARATIVO CONTENEDORES</t>
  </si>
  <si>
    <t>Código: F-ITPA-02
Fecha: 23/12/2021
Versión: 01</t>
  </si>
  <si>
    <t xml:space="preserve"> NOMBRE:  O&amp;M OBRAS Y MONTAJES</t>
  </si>
  <si>
    <t xml:space="preserve"> NOMBRE:   E CONTAINER</t>
  </si>
  <si>
    <t xml:space="preserve"> NOMBRE:  ANTIOQUIA BOX</t>
  </si>
  <si>
    <t xml:space="preserve"> NOMBRE:  </t>
  </si>
  <si>
    <t>NIT:</t>
  </si>
  <si>
    <t>REPRESENTANTE LEGAL/ASESOR: ALEJANDRA RESTREPO</t>
  </si>
  <si>
    <t>REPRESENTANTE LEGAL/ASESOR: ALEJANDRO ROJAS</t>
  </si>
  <si>
    <t>REPRESENTANTE LEGAL/ASESOR: WILDERSON MEJIA</t>
  </si>
  <si>
    <t>REPRESENTANTE LEGAL:</t>
  </si>
  <si>
    <t>Nro</t>
  </si>
  <si>
    <t>ÍTEM</t>
  </si>
  <si>
    <t xml:space="preserve">FECHA APROBACIÓN </t>
  </si>
  <si>
    <t>DIRECCION:</t>
  </si>
  <si>
    <t xml:space="preserve">TELEFONO: </t>
  </si>
  <si>
    <t>TELEFONO:</t>
  </si>
  <si>
    <t>COSTO DIRECTO</t>
  </si>
  <si>
    <t xml:space="preserve">IVA </t>
  </si>
  <si>
    <t>VR UNITARIO TOTAL</t>
  </si>
  <si>
    <t>TOTAL</t>
  </si>
  <si>
    <t>IVA / UTIL</t>
  </si>
  <si>
    <t>IVA</t>
  </si>
  <si>
    <t>UN</t>
  </si>
  <si>
    <t>CANT. REAL</t>
  </si>
  <si>
    <t>Contenedor oficina</t>
  </si>
  <si>
    <t>mes</t>
  </si>
  <si>
    <t>Contenedor almacen</t>
  </si>
  <si>
    <t>Transporte</t>
  </si>
  <si>
    <t>viajes</t>
  </si>
  <si>
    <t>TOTALES</t>
  </si>
  <si>
    <t>DIFERENCIA CON LA MENOR PROPUESTA</t>
  </si>
  <si>
    <t>VARIACION</t>
  </si>
  <si>
    <t xml:space="preserve">Forma de pago: </t>
  </si>
  <si>
    <t>ANTICIPADO</t>
  </si>
  <si>
    <t>CREDITO</t>
  </si>
  <si>
    <t>Tiempo de entrega:</t>
  </si>
  <si>
    <t>Criterios de selección de proveedores</t>
  </si>
  <si>
    <t>Garantia:</t>
  </si>
  <si>
    <t>1. Precio</t>
  </si>
  <si>
    <t>2. Existencia legal de la empresa</t>
  </si>
  <si>
    <t>Descuentos sobre oferta inicial:</t>
  </si>
  <si>
    <t>3. Disponibilidad del producto</t>
  </si>
  <si>
    <t>4. Forma de pago</t>
  </si>
  <si>
    <t>Especificaciones generales:</t>
  </si>
  <si>
    <t>5. Calidad</t>
  </si>
  <si>
    <t>No incluye descargue, ni ubicación especial de los contenedores con montacargas.
-No tienen disponibilidad de estanteria
-Incluye aire acondicionado</t>
  </si>
  <si>
    <t>No incluye descargue, ni ubicación especial de los contenedores con montacargas.
-No se tiene disponibilidad de estanteria
-No incluye aire acondicionado</t>
  </si>
  <si>
    <t xml:space="preserve">-La oficina que ofrecen se puede adaptar para guardar material
-La oficina incluye aire acondicionado
-No incluye descargue, ni ubicación especial de los contenedores con montacargas
-El contenedor de almacen es una bodega que sirve para guardar material </t>
  </si>
  <si>
    <t>Se pide con este proveedor</t>
  </si>
  <si>
    <t>Se piden estos dos insumos</t>
  </si>
  <si>
    <t>6. Tiempo de entrega</t>
  </si>
  <si>
    <t>Otras condiciones:</t>
  </si>
  <si>
    <t>ninguna</t>
  </si>
  <si>
    <t xml:space="preserve">                             COMPARATIVO ACERO</t>
  </si>
  <si>
    <t xml:space="preserve"> NOMBRE:  G Y J FERRETERIAS</t>
  </si>
  <si>
    <t xml:space="preserve"> NOMBRE:   STECKER</t>
  </si>
  <si>
    <t xml:space="preserve"> NOMBRE:  DIACO</t>
  </si>
  <si>
    <t xml:space="preserve">NIT: </t>
  </si>
  <si>
    <t>REPRESENTANTE LEGAL/ASESOR: NATALI ZAPATA</t>
  </si>
  <si>
    <t>REPRESENTANTE LEGAL/ASESOR: AMPARO ROLDAN</t>
  </si>
  <si>
    <t>REPRESENTANTE LEGAL/ASESOR: ADRIANA CARDONA</t>
  </si>
  <si>
    <t>PRECIO PRESUPUESTO</t>
  </si>
  <si>
    <t>TOTAL PRESUPUESTO</t>
  </si>
  <si>
    <t>ACERO FIGURADO 60000PSI</t>
  </si>
  <si>
    <t>KG</t>
  </si>
  <si>
    <t>MALLA ELECTROSOLDADA</t>
  </si>
  <si>
    <t>GRAFIL</t>
  </si>
  <si>
    <t xml:space="preserve">CREDITO </t>
  </si>
  <si>
    <t>Vigencia de precios 3 dias, en estos momentos el factor critico del acero es la disponibilidad de material, con GYJ tenemos un cupo reservado para ese suministro</t>
  </si>
  <si>
    <t>No tienen disponibilidad de material</t>
  </si>
  <si>
    <t xml:space="preserve">                             COMPARATIVO TACO MADERA</t>
  </si>
  <si>
    <t xml:space="preserve"> NOMBRE:  MADERAS LA UNION</t>
  </si>
  <si>
    <t xml:space="preserve"> NOMBRE:   MADEPINOS</t>
  </si>
  <si>
    <t xml:space="preserve">REPRESENTANTE LEGAL/ASESOR: </t>
  </si>
  <si>
    <t>REPRESENTANTE LEGAL/ASESOR:</t>
  </si>
  <si>
    <t>Taco en madera redondo</t>
  </si>
  <si>
    <t>und</t>
  </si>
  <si>
    <t xml:space="preserve">                             COMPARATIVO TELA ZARAN</t>
  </si>
  <si>
    <t xml:space="preserve"> NOMBRE:  TIENDAS</t>
  </si>
  <si>
    <t xml:space="preserve"> NOMBRE:   FERRETERIA TECNICA</t>
  </si>
  <si>
    <t xml:space="preserve"> NOMBRE:  FERRETERIA DOS PALACIOS</t>
  </si>
  <si>
    <t>Tela zaran</t>
  </si>
  <si>
    <t>m</t>
  </si>
  <si>
    <t xml:space="preserve">                             COMPARATIVO INSUMOS DE FERRETERIA</t>
  </si>
  <si>
    <t xml:space="preserve"> NOMBRE: DEPOSITO Y FERRETERIA LA 39</t>
  </si>
  <si>
    <t xml:space="preserve"> NOMBRE:  DEPOSITO LOS BOTERO SAS</t>
  </si>
  <si>
    <t xml:space="preserve"> NOMBRE: FERRETERIA UNICA</t>
  </si>
  <si>
    <t xml:space="preserve"> NOMBRE: FERRETERIA DOS PALACIOS</t>
  </si>
  <si>
    <t>NIT: 901419904-1</t>
  </si>
  <si>
    <t>NIT:900495540</t>
  </si>
  <si>
    <t>NIT: 890926280-1</t>
  </si>
  <si>
    <t>NIT: 800066533-1</t>
  </si>
  <si>
    <t>REPRESENTANTE LEGAL/ASESOR: Leidy</t>
  </si>
  <si>
    <t>REPRESENTANTE LEGAL/ASESOR: JUAN PABLO GONZALEZ</t>
  </si>
  <si>
    <t>REPRESENTANTE LEGAL/ASESOR: YULIANA VALENCIA</t>
  </si>
  <si>
    <t>REPRESENTANTE LEGAL/ASESOR: CARLOS DAVID</t>
  </si>
  <si>
    <t>DIRECCION: CR 39#35 SUR 34</t>
  </si>
  <si>
    <t>TELEFONO: 3117653361</t>
  </si>
  <si>
    <t>DIRECCION: CR 78 B 3 39</t>
  </si>
  <si>
    <t>TELEFONO: 4488242</t>
  </si>
  <si>
    <t>DIRECCION: cl 27A 52-49</t>
  </si>
  <si>
    <t>TELEFONO: 3220205</t>
  </si>
  <si>
    <t>DIRECCION: CL 41 50-18</t>
  </si>
  <si>
    <t>TELEFONO: 3102086881</t>
  </si>
  <si>
    <t>Vlr. Unitario</t>
  </si>
  <si>
    <t>Vlr. Total</t>
  </si>
  <si>
    <t>CEMENTO USO GENERAL 50KL</t>
  </si>
  <si>
    <t>CEMENTO USO ESTRUCTURAR  4,2KL</t>
  </si>
  <si>
    <t>ARENA REVOQUE M3 EMPACADA</t>
  </si>
  <si>
    <t>ARENA CONCRETO M3</t>
  </si>
  <si>
    <t>CLAVO CONCRETO 1"</t>
  </si>
  <si>
    <t>CLAVO COMUN 2"</t>
  </si>
  <si>
    <t>CLAVO COMUN 4"</t>
  </si>
  <si>
    <t>LIJA 180</t>
  </si>
  <si>
    <t>LIJA 150</t>
  </si>
  <si>
    <t>LIJA 120</t>
  </si>
  <si>
    <t>LIJA 100</t>
  </si>
  <si>
    <t>BROCHA 1 1/2</t>
  </si>
  <si>
    <t>BROCHA 2</t>
  </si>
  <si>
    <t>BROCHA 3</t>
  </si>
  <si>
    <t>CINTA ENMASCARAR 1"</t>
  </si>
  <si>
    <t>RODILLO 9"</t>
  </si>
  <si>
    <t>RODILLO 6"</t>
  </si>
  <si>
    <t>DISCO CORTE METAL 4 1/2</t>
  </si>
  <si>
    <t>DISCO CORTE 4 1/2 SEGMENTADO</t>
  </si>
  <si>
    <t>PIPETA GAS MAPP</t>
  </si>
  <si>
    <t>CORREAS PLASTICAS AMARRE</t>
  </si>
  <si>
    <t>TORNILLO AVELLANDO 1"</t>
  </si>
  <si>
    <t>TONRILLO PLACA 1"</t>
  </si>
  <si>
    <t xml:space="preserve">BROCA MURO 3/16 </t>
  </si>
  <si>
    <t>BROCA MURO 1/2</t>
  </si>
  <si>
    <t>BROCA MURO 3/8</t>
  </si>
  <si>
    <t>BROCA MURO 5/16</t>
  </si>
  <si>
    <t>BROCA MURO 1/4</t>
  </si>
  <si>
    <t>ESTUCO EN POLVO</t>
  </si>
  <si>
    <t>CON COLOR BLANCO 2K</t>
  </si>
  <si>
    <t>CON COLOR BLANCO 5K</t>
  </si>
  <si>
    <t>PEGACOR BULTO</t>
  </si>
  <si>
    <t>TELA CERRAMIENTO BLANCA (ZARAN ROLLO)</t>
  </si>
  <si>
    <t>PLASTICO TRANSPARENTE POLIETILENO (ROLLO)</t>
  </si>
  <si>
    <t>PLASTICO NEGRO (ROLLO)</t>
  </si>
  <si>
    <t>MALLA MOSQUETERA F/VIDRIO GRIS (ROLLO)</t>
  </si>
  <si>
    <t>ESQUINERO PLASTICO</t>
  </si>
  <si>
    <t>CANASTILLA 4" LAVAPLATOS</t>
  </si>
  <si>
    <t>SIFON FLEXIBLE GRIS</t>
  </si>
  <si>
    <t>PEGA PVC 1/4</t>
  </si>
  <si>
    <t>LIMPIADOR PVC 1/4</t>
  </si>
  <si>
    <t>TUBO PRESION 1/2 PVC</t>
  </si>
  <si>
    <t>CODO PRESION 1/2 PVC</t>
  </si>
  <si>
    <t>TEE PRESION 1/2 PVC</t>
  </si>
  <si>
    <t>UNION PRESION 1/2 PVC</t>
  </si>
  <si>
    <t>ADAPTADOR MACHO PRESION 1/2</t>
  </si>
  <si>
    <t>ADAPTADOR LIMPIEZA 2"</t>
  </si>
  <si>
    <t>CODO SANITARIO 2"</t>
  </si>
  <si>
    <t>UNION SANITARIO 2"</t>
  </si>
  <si>
    <t>TUBO SANITARIO 2"</t>
  </si>
  <si>
    <t>CODO 45 SANITARIO 2"</t>
  </si>
  <si>
    <t>ADAPTADOR LIMPIEZA 4"</t>
  </si>
  <si>
    <t>CODO SANITARIO 4"</t>
  </si>
  <si>
    <t>UNION SANITARIO 4"</t>
  </si>
  <si>
    <t>TUBO SANITARIO 4"</t>
  </si>
  <si>
    <t>CODO 45 SANITARIO 4"</t>
  </si>
  <si>
    <t>UNION COBRE 1/2</t>
  </si>
  <si>
    <t>CODO 45 COBRE 1/2</t>
  </si>
  <si>
    <t>CODO 90 COBRE 1/2</t>
  </si>
  <si>
    <t xml:space="preserve">TUBO COBRE 1/2 </t>
  </si>
  <si>
    <t>TEE COBRE 1/2</t>
  </si>
  <si>
    <t>CREDITO 30 DIAS</t>
  </si>
  <si>
    <t>2 días</t>
  </si>
  <si>
    <t>Garantía:</t>
  </si>
  <si>
    <t>si</t>
  </si>
  <si>
    <t>1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</si>
</sst>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0.0%"/>
    <numFmt numFmtId="166" formatCode="_ * #,##0.00_ ;_ * \-#,##0.00_ ;_ * &quot;-&quot;??_ ;_ @_ "/>
    <numFmt numFmtId="167" formatCode="_-&quot;$&quot;* #,##0_-;\-&quot;$&quot;* #,##0_-;_-&quot;$&quot;* &quot;-&quot;??_-;_-@_-"/>
    <numFmt numFmtId="168" formatCode="_ * #,##0_ ;_ * \-#,##0_ ;_ * &quot;-&quot;_ ;_ @_ "/>
    <numFmt numFmtId="169" formatCode="_-&quot;$&quot;* #,##0.00_-;\-&quot;$&quot;* #,##0.00_-;_-&quot;$&quot;* &quot;-&quot;??_-;_-@_-"/>
    <numFmt numFmtId="170" formatCode="_ &quot;$&quot;\ * #,##0_ ;_ &quot;$&quot;\ * \-#,##0_ ;_ &quot;$&quot;\ * &quot;-&quot;??_ ;_ @_ "/>
  </numFmts>
  <fonts count="2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Raleway"/>
      <family val="2"/>
    </font>
    <font>
      <b/>
      <sz val="14"/>
      <name val="Raleway"/>
      <family val="2"/>
    </font>
    <font>
      <b/>
      <sz val="16"/>
      <name val="Raleway"/>
      <family val="2"/>
    </font>
    <font>
      <b/>
      <sz val="14"/>
      <color theme="0"/>
      <name val="Raleway"/>
      <family val="2"/>
    </font>
    <font>
      <sz val="14"/>
      <name val="Raleway"/>
      <family val="2"/>
    </font>
    <font>
      <b/>
      <sz val="14"/>
      <color rgb="FFC00000"/>
      <name val="Raleway"/>
      <family val="2"/>
    </font>
    <font>
      <sz val="10"/>
      <name val="Raleway"/>
      <family val="2"/>
    </font>
    <font>
      <sz val="11"/>
      <name val="Raleway"/>
      <family val="2"/>
    </font>
    <font>
      <b/>
      <sz val="10"/>
      <name val="Raleway"/>
      <family val="2"/>
    </font>
    <font>
      <sz val="12"/>
      <name val="Raleway"/>
      <family val="2"/>
    </font>
    <font>
      <b/>
      <sz val="16"/>
      <color rgb="FFFF0000"/>
      <name val="Raleway"/>
      <family val="2"/>
    </font>
    <font>
      <b/>
      <sz val="11"/>
      <name val="Raleway"/>
      <family val="2"/>
    </font>
    <font>
      <b/>
      <sz val="12"/>
      <color rgb="FFFF0000"/>
      <name val="Raleway"/>
      <family val="2"/>
    </font>
    <font>
      <sz val="12"/>
      <color rgb="FFFF0000"/>
      <name val="Raleway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Raleway"/>
    </font>
    <font>
      <sz val="12"/>
      <color theme="1"/>
      <name val="Raleway"/>
    </font>
    <font>
      <b/>
      <sz val="11"/>
      <name val="Raleway"/>
    </font>
  </fonts>
  <fills count="9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</fills>
  <borders count="8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4">
    <xf numFmtId="0" fontId="0" fillId="0" borderId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2" fontId="2" fillId="0" borderId="0" applyFont="0" applyFill="0" applyBorder="0" applyAlignment="0" applyProtection="0"/>
    <xf numFmtId="0" fontId="17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 applyFont="0" applyFill="0" applyBorder="0" applyAlignment="0" applyProtection="0"/>
  </cellStyleXfs>
  <cellXfs count="426">
    <xf numFmtId="0" fontId="0" fillId="0" borderId="0" xfId="0"/>
    <xf numFmtId="0" fontId="6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164" fontId="4" fillId="0" borderId="0" xfId="2" applyFont="1" applyFill="1" applyBorder="1" applyAlignment="1">
      <alignment horizontal="center" vertical="center"/>
    </xf>
    <xf numFmtId="0" fontId="7" fillId="0" borderId="0" xfId="0" applyFont="1"/>
    <xf numFmtId="0" fontId="6" fillId="0" borderId="6" xfId="0" applyFont="1" applyBorder="1" applyAlignment="1">
      <alignment vertical="center"/>
    </xf>
    <xf numFmtId="49" fontId="4" fillId="0" borderId="0" xfId="2" applyNumberFormat="1" applyFont="1" applyFill="1" applyBorder="1" applyAlignment="1">
      <alignment horizontal="left" vertical="center" wrapText="1"/>
    </xf>
    <xf numFmtId="9" fontId="4" fillId="2" borderId="17" xfId="3" applyFont="1" applyFill="1" applyBorder="1" applyAlignment="1">
      <alignment horizontal="center" vertical="center" wrapText="1"/>
    </xf>
    <xf numFmtId="9" fontId="4" fillId="5" borderId="17" xfId="3" applyFont="1" applyFill="1" applyBorder="1" applyAlignment="1">
      <alignment horizontal="center" vertical="center" wrapText="1"/>
    </xf>
    <xf numFmtId="166" fontId="7" fillId="0" borderId="14" xfId="1" applyFont="1" applyFill="1" applyBorder="1" applyAlignment="1">
      <alignment vertical="center"/>
    </xf>
    <xf numFmtId="167" fontId="12" fillId="0" borderId="26" xfId="2" applyNumberFormat="1" applyFont="1" applyFill="1" applyBorder="1" applyAlignment="1">
      <alignment horizontal="center"/>
    </xf>
    <xf numFmtId="169" fontId="12" fillId="0" borderId="26" xfId="2" applyNumberFormat="1" applyFont="1" applyFill="1" applyBorder="1" applyAlignment="1">
      <alignment horizontal="center"/>
    </xf>
    <xf numFmtId="3" fontId="9" fillId="0" borderId="0" xfId="2" applyNumberFormat="1" applyFont="1" applyFill="1" applyBorder="1" applyAlignment="1">
      <alignment horizontal="right" vertical="center"/>
    </xf>
    <xf numFmtId="164" fontId="12" fillId="0" borderId="15" xfId="2" applyFont="1" applyFill="1" applyBorder="1" applyAlignment="1">
      <alignment horizontal="center" vertical="center"/>
    </xf>
    <xf numFmtId="167" fontId="12" fillId="0" borderId="9" xfId="2" applyNumberFormat="1" applyFont="1" applyFill="1" applyBorder="1" applyAlignment="1">
      <alignment horizontal="center"/>
    </xf>
    <xf numFmtId="0" fontId="9" fillId="0" borderId="0" xfId="0" applyFont="1"/>
    <xf numFmtId="166" fontId="7" fillId="0" borderId="10" xfId="1" applyFont="1" applyFill="1" applyBorder="1" applyAlignment="1">
      <alignment vertical="center"/>
    </xf>
    <xf numFmtId="164" fontId="12" fillId="0" borderId="0" xfId="2" applyFont="1" applyFill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/>
    </xf>
    <xf numFmtId="166" fontId="7" fillId="0" borderId="12" xfId="1" applyFont="1" applyFill="1" applyBorder="1"/>
    <xf numFmtId="168" fontId="9" fillId="0" borderId="0" xfId="0" applyNumberFormat="1" applyFont="1" applyAlignment="1">
      <alignment horizontal="center" vertical="center"/>
    </xf>
    <xf numFmtId="3" fontId="9" fillId="0" borderId="11" xfId="2" applyNumberFormat="1" applyFont="1" applyFill="1" applyBorder="1" applyAlignment="1">
      <alignment vertical="center"/>
    </xf>
    <xf numFmtId="3" fontId="9" fillId="0" borderId="18" xfId="2" applyNumberFormat="1" applyFont="1" applyFill="1" applyBorder="1" applyAlignment="1">
      <alignment vertical="center"/>
    </xf>
    <xf numFmtId="3" fontId="9" fillId="0" borderId="12" xfId="2" applyNumberFormat="1" applyFont="1" applyFill="1" applyBorder="1" applyAlignment="1">
      <alignment vertical="center"/>
    </xf>
    <xf numFmtId="3" fontId="9" fillId="0" borderId="0" xfId="2" applyNumberFormat="1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3" fontId="11" fillId="0" borderId="0" xfId="0" applyNumberFormat="1" applyFont="1" applyAlignment="1">
      <alignment vertical="center"/>
    </xf>
    <xf numFmtId="164" fontId="5" fillId="0" borderId="0" xfId="2" applyFont="1" applyFill="1" applyBorder="1" applyAlignment="1">
      <alignment horizontal="center" vertical="center"/>
    </xf>
    <xf numFmtId="164" fontId="13" fillId="0" borderId="0" xfId="2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164" fontId="7" fillId="2" borderId="23" xfId="2" applyFont="1" applyFill="1" applyBorder="1" applyAlignment="1">
      <alignment vertical="center"/>
    </xf>
    <xf numFmtId="164" fontId="7" fillId="0" borderId="0" xfId="2" applyFont="1" applyFill="1" applyBorder="1" applyAlignment="1">
      <alignment vertical="center"/>
    </xf>
    <xf numFmtId="164" fontId="7" fillId="3" borderId="23" xfId="2" applyFont="1" applyFill="1" applyBorder="1" applyAlignment="1">
      <alignment vertical="center"/>
    </xf>
    <xf numFmtId="164" fontId="7" fillId="4" borderId="23" xfId="2" applyFont="1" applyFill="1" applyBorder="1" applyAlignment="1">
      <alignment vertical="center"/>
    </xf>
    <xf numFmtId="164" fontId="7" fillId="5" borderId="23" xfId="2" applyFont="1" applyFill="1" applyBorder="1" applyAlignment="1">
      <alignment vertical="center"/>
    </xf>
    <xf numFmtId="10" fontId="4" fillId="2" borderId="24" xfId="3" applyNumberFormat="1" applyFont="1" applyFill="1" applyBorder="1" applyAlignment="1">
      <alignment vertical="center"/>
    </xf>
    <xf numFmtId="10" fontId="4" fillId="0" borderId="0" xfId="3" applyNumberFormat="1" applyFont="1" applyFill="1" applyBorder="1" applyAlignment="1">
      <alignment vertical="center"/>
    </xf>
    <xf numFmtId="10" fontId="4" fillId="3" borderId="24" xfId="3" applyNumberFormat="1" applyFont="1" applyFill="1" applyBorder="1" applyAlignment="1">
      <alignment vertical="center"/>
    </xf>
    <xf numFmtId="0" fontId="4" fillId="5" borderId="24" xfId="3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165" fontId="4" fillId="0" borderId="0" xfId="3" applyNumberFormat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165" fontId="11" fillId="0" borderId="0" xfId="3" applyNumberFormat="1" applyFont="1" applyFill="1" applyBorder="1" applyAlignment="1">
      <alignment vertical="center"/>
    </xf>
    <xf numFmtId="0" fontId="3" fillId="0" borderId="0" xfId="0" applyFont="1" applyAlignment="1">
      <alignment horizontal="left" vertical="top"/>
    </xf>
    <xf numFmtId="165" fontId="14" fillId="0" borderId="6" xfId="3" applyNumberFormat="1" applyFont="1" applyFill="1" applyBorder="1" applyAlignment="1">
      <alignment vertical="center"/>
    </xf>
    <xf numFmtId="165" fontId="14" fillId="0" borderId="0" xfId="3" applyNumberFormat="1" applyFont="1" applyFill="1" applyBorder="1" applyAlignment="1">
      <alignment vertical="center"/>
    </xf>
    <xf numFmtId="165" fontId="10" fillId="0" borderId="0" xfId="3" applyNumberFormat="1" applyFont="1" applyFill="1" applyBorder="1" applyAlignment="1">
      <alignment vertical="center"/>
    </xf>
    <xf numFmtId="165" fontId="10" fillId="0" borderId="7" xfId="3" applyNumberFormat="1" applyFont="1" applyFill="1" applyBorder="1" applyAlignment="1">
      <alignment vertical="center"/>
    </xf>
    <xf numFmtId="165" fontId="14" fillId="0" borderId="7" xfId="3" applyNumberFormat="1" applyFont="1" applyFill="1" applyBorder="1" applyAlignment="1">
      <alignment vertical="center"/>
    </xf>
    <xf numFmtId="165" fontId="11" fillId="0" borderId="0" xfId="3" applyNumberFormat="1" applyFont="1" applyFill="1" applyBorder="1" applyAlignment="1">
      <alignment horizontal="center" vertical="center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165" fontId="14" fillId="0" borderId="1" xfId="3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7" fillId="0" borderId="38" xfId="0" applyFont="1" applyBorder="1" applyAlignment="1">
      <alignment horizontal="center" vertical="center"/>
    </xf>
    <xf numFmtId="166" fontId="7" fillId="0" borderId="39" xfId="1" applyFont="1" applyFill="1" applyBorder="1"/>
    <xf numFmtId="169" fontId="12" fillId="0" borderId="49" xfId="2" applyNumberFormat="1" applyFont="1" applyFill="1" applyBorder="1" applyAlignment="1">
      <alignment horizontal="center"/>
    </xf>
    <xf numFmtId="164" fontId="12" fillId="0" borderId="50" xfId="2" applyFont="1" applyFill="1" applyBorder="1" applyAlignment="1">
      <alignment horizontal="center" vertical="center"/>
    </xf>
    <xf numFmtId="169" fontId="12" fillId="0" borderId="51" xfId="2" applyNumberFormat="1" applyFont="1" applyFill="1" applyBorder="1" applyAlignment="1">
      <alignment horizontal="center"/>
    </xf>
    <xf numFmtId="169" fontId="12" fillId="0" borderId="52" xfId="2" applyNumberFormat="1" applyFont="1" applyFill="1" applyBorder="1" applyAlignment="1">
      <alignment horizontal="center"/>
    </xf>
    <xf numFmtId="164" fontId="12" fillId="0" borderId="53" xfId="2" applyFont="1" applyFill="1" applyBorder="1" applyAlignment="1">
      <alignment horizontal="center" vertical="center"/>
    </xf>
    <xf numFmtId="167" fontId="12" fillId="0" borderId="54" xfId="2" applyNumberFormat="1" applyFont="1" applyFill="1" applyBorder="1" applyAlignment="1">
      <alignment horizontal="center"/>
    </xf>
    <xf numFmtId="169" fontId="12" fillId="0" borderId="54" xfId="2" applyNumberFormat="1" applyFont="1" applyFill="1" applyBorder="1" applyAlignment="1">
      <alignment horizontal="center"/>
    </xf>
    <xf numFmtId="169" fontId="12" fillId="0" borderId="50" xfId="2" applyNumberFormat="1" applyFont="1" applyFill="1" applyBorder="1" applyAlignment="1">
      <alignment horizontal="center" vertical="center"/>
    </xf>
    <xf numFmtId="3" fontId="9" fillId="0" borderId="52" xfId="2" applyNumberFormat="1" applyFont="1" applyFill="1" applyBorder="1" applyAlignment="1">
      <alignment vertical="center"/>
    </xf>
    <xf numFmtId="3" fontId="9" fillId="0" borderId="58" xfId="2" applyNumberFormat="1" applyFont="1" applyFill="1" applyBorder="1" applyAlignment="1">
      <alignment vertical="center"/>
    </xf>
    <xf numFmtId="167" fontId="12" fillId="0" borderId="49" xfId="2" applyNumberFormat="1" applyFont="1" applyFill="1" applyBorder="1" applyAlignment="1">
      <alignment horizontal="center"/>
    </xf>
    <xf numFmtId="167" fontId="12" fillId="0" borderId="51" xfId="2" applyNumberFormat="1" applyFont="1" applyFill="1" applyBorder="1" applyAlignment="1">
      <alignment horizontal="center"/>
    </xf>
    <xf numFmtId="0" fontId="4" fillId="3" borderId="47" xfId="0" applyFont="1" applyFill="1" applyBorder="1" applyAlignment="1">
      <alignment horizontal="center" vertical="center" wrapText="1"/>
    </xf>
    <xf numFmtId="9" fontId="4" fillId="3" borderId="54" xfId="3" applyFont="1" applyFill="1" applyBorder="1" applyAlignment="1">
      <alignment horizontal="center" vertical="center" wrapText="1"/>
    </xf>
    <xf numFmtId="169" fontId="12" fillId="0" borderId="28" xfId="2" applyNumberFormat="1" applyFont="1" applyFill="1" applyBorder="1" applyAlignment="1">
      <alignment horizontal="center"/>
    </xf>
    <xf numFmtId="0" fontId="3" fillId="0" borderId="1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3" xfId="0" applyFont="1" applyBorder="1" applyAlignment="1">
      <alignment vertical="top"/>
    </xf>
    <xf numFmtId="0" fontId="4" fillId="0" borderId="35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42" xfId="0" applyFont="1" applyBorder="1" applyAlignment="1">
      <alignment vertical="center"/>
    </xf>
    <xf numFmtId="49" fontId="10" fillId="0" borderId="0" xfId="1" applyNumberFormat="1" applyFont="1" applyFill="1" applyBorder="1" applyAlignment="1">
      <alignment vertical="center"/>
    </xf>
    <xf numFmtId="49" fontId="10" fillId="0" borderId="7" xfId="1" applyNumberFormat="1" applyFont="1" applyFill="1" applyBorder="1" applyAlignment="1">
      <alignment vertical="center"/>
    </xf>
    <xf numFmtId="9" fontId="4" fillId="6" borderId="17" xfId="3" applyFont="1" applyFill="1" applyBorder="1" applyAlignment="1">
      <alignment horizontal="center" vertical="center" wrapText="1"/>
    </xf>
    <xf numFmtId="164" fontId="7" fillId="6" borderId="23" xfId="2" applyFont="1" applyFill="1" applyBorder="1" applyAlignment="1">
      <alignment vertical="center"/>
    </xf>
    <xf numFmtId="0" fontId="4" fillId="6" borderId="24" xfId="3" applyNumberFormat="1" applyFont="1" applyFill="1" applyBorder="1" applyAlignment="1">
      <alignment vertical="center"/>
    </xf>
    <xf numFmtId="0" fontId="15" fillId="0" borderId="0" xfId="0" applyFont="1" applyAlignment="1">
      <alignment vertical="top"/>
    </xf>
    <xf numFmtId="0" fontId="9" fillId="0" borderId="30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12" fillId="0" borderId="0" xfId="0" applyFont="1"/>
    <xf numFmtId="0" fontId="9" fillId="0" borderId="31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7" fillId="0" borderId="9" xfId="0" applyFont="1" applyBorder="1" applyAlignment="1">
      <alignment wrapText="1"/>
    </xf>
    <xf numFmtId="0" fontId="10" fillId="0" borderId="31" xfId="0" applyFont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4" fillId="4" borderId="63" xfId="3" applyFont="1" applyFill="1" applyBorder="1" applyAlignment="1">
      <alignment horizontal="center" vertical="center" wrapText="1"/>
    </xf>
    <xf numFmtId="164" fontId="12" fillId="0" borderId="26" xfId="2" applyFont="1" applyFill="1" applyBorder="1" applyAlignment="1">
      <alignment horizontal="center" vertical="center"/>
    </xf>
    <xf numFmtId="42" fontId="18" fillId="7" borderId="28" xfId="6" applyFont="1" applyFill="1" applyBorder="1"/>
    <xf numFmtId="49" fontId="4" fillId="2" borderId="0" xfId="2" applyNumberFormat="1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169" fontId="12" fillId="0" borderId="0" xfId="2" applyNumberFormat="1" applyFont="1" applyFill="1" applyBorder="1" applyAlignment="1">
      <alignment horizontal="center" vertical="center"/>
    </xf>
    <xf numFmtId="42" fontId="13" fillId="2" borderId="0" xfId="6" applyFont="1" applyFill="1" applyBorder="1" applyAlignment="1">
      <alignment horizontal="center" vertical="center"/>
    </xf>
    <xf numFmtId="164" fontId="7" fillId="2" borderId="0" xfId="2" applyFont="1" applyFill="1" applyBorder="1" applyAlignment="1">
      <alignment vertical="center"/>
    </xf>
    <xf numFmtId="10" fontId="4" fillId="2" borderId="0" xfId="3" applyNumberFormat="1" applyFont="1" applyFill="1" applyBorder="1" applyAlignment="1">
      <alignment vertical="center"/>
    </xf>
    <xf numFmtId="49" fontId="4" fillId="3" borderId="0" xfId="2" applyNumberFormat="1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164" fontId="7" fillId="3" borderId="0" xfId="2" applyFont="1" applyFill="1" applyBorder="1" applyAlignment="1">
      <alignment vertical="center"/>
    </xf>
    <xf numFmtId="10" fontId="4" fillId="3" borderId="0" xfId="3" applyNumberFormat="1" applyFont="1" applyFill="1" applyBorder="1" applyAlignment="1">
      <alignment vertical="center"/>
    </xf>
    <xf numFmtId="49" fontId="4" fillId="4" borderId="0" xfId="2" applyNumberFormat="1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164" fontId="7" fillId="4" borderId="0" xfId="2" applyFont="1" applyFill="1" applyBorder="1" applyAlignment="1">
      <alignment vertical="center"/>
    </xf>
    <xf numFmtId="0" fontId="4" fillId="4" borderId="0" xfId="3" applyNumberFormat="1" applyFont="1" applyFill="1" applyBorder="1" applyAlignment="1">
      <alignment vertical="center"/>
    </xf>
    <xf numFmtId="49" fontId="4" fillId="5" borderId="0" xfId="2" applyNumberFormat="1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center" vertical="center" wrapText="1"/>
    </xf>
    <xf numFmtId="42" fontId="13" fillId="5" borderId="0" xfId="6" applyFont="1" applyFill="1" applyBorder="1" applyAlignment="1">
      <alignment horizontal="center" vertical="center"/>
    </xf>
    <xf numFmtId="164" fontId="7" fillId="5" borderId="0" xfId="2" applyFont="1" applyFill="1" applyBorder="1" applyAlignment="1">
      <alignment vertical="center"/>
    </xf>
    <xf numFmtId="0" fontId="4" fillId="5" borderId="0" xfId="3" applyNumberFormat="1" applyFont="1" applyFill="1" applyBorder="1" applyAlignment="1">
      <alignment vertical="center"/>
    </xf>
    <xf numFmtId="9" fontId="4" fillId="4" borderId="25" xfId="3" applyFont="1" applyFill="1" applyBorder="1" applyAlignment="1">
      <alignment vertical="center"/>
    </xf>
    <xf numFmtId="165" fontId="14" fillId="0" borderId="6" xfId="3" applyNumberFormat="1" applyFont="1" applyFill="1" applyBorder="1" applyAlignment="1">
      <alignment horizontal="left" vertical="center"/>
    </xf>
    <xf numFmtId="165" fontId="14" fillId="0" borderId="0" xfId="3" applyNumberFormat="1" applyFont="1" applyFill="1" applyBorder="1" applyAlignment="1">
      <alignment horizontal="left" vertical="center"/>
    </xf>
    <xf numFmtId="165" fontId="10" fillId="0" borderId="0" xfId="3" applyNumberFormat="1" applyFont="1" applyFill="1" applyBorder="1" applyAlignment="1">
      <alignment horizontal="left" vertical="center"/>
    </xf>
    <xf numFmtId="165" fontId="10" fillId="0" borderId="7" xfId="3" applyNumberFormat="1" applyFont="1" applyFill="1" applyBorder="1" applyAlignment="1">
      <alignment horizontal="left" vertical="center"/>
    </xf>
    <xf numFmtId="165" fontId="14" fillId="0" borderId="0" xfId="3" applyNumberFormat="1" applyFont="1" applyFill="1" applyBorder="1" applyAlignment="1">
      <alignment horizontal="center" vertical="center"/>
    </xf>
    <xf numFmtId="165" fontId="16" fillId="0" borderId="0" xfId="3" applyNumberFormat="1" applyFont="1" applyFill="1" applyBorder="1" applyAlignment="1">
      <alignment horizontal="center" vertical="center"/>
    </xf>
    <xf numFmtId="164" fontId="4" fillId="5" borderId="0" xfId="2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 wrapText="1"/>
    </xf>
    <xf numFmtId="49" fontId="10" fillId="0" borderId="0" xfId="1" applyNumberFormat="1" applyFont="1" applyFill="1" applyBorder="1" applyAlignment="1">
      <alignment horizontal="left" vertical="center"/>
    </xf>
    <xf numFmtId="0" fontId="4" fillId="4" borderId="47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164" fontId="4" fillId="4" borderId="0" xfId="2" applyFont="1" applyFill="1" applyBorder="1" applyAlignment="1">
      <alignment horizontal="center" vertical="center"/>
    </xf>
    <xf numFmtId="0" fontId="4" fillId="2" borderId="47" xfId="0" applyFont="1" applyFill="1" applyBorder="1" applyAlignment="1">
      <alignment horizontal="center" vertical="center" wrapText="1"/>
    </xf>
    <xf numFmtId="164" fontId="4" fillId="2" borderId="0" xfId="2" applyFont="1" applyFill="1" applyBorder="1" applyAlignment="1">
      <alignment horizontal="center" vertical="center"/>
    </xf>
    <xf numFmtId="164" fontId="4" fillId="3" borderId="0" xfId="2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6" fontId="7" fillId="0" borderId="0" xfId="1" applyFont="1" applyFill="1" applyBorder="1"/>
    <xf numFmtId="0" fontId="3" fillId="0" borderId="0" xfId="0" applyFont="1" applyAlignment="1">
      <alignment horizontal="center" vertical="top" wrapText="1"/>
    </xf>
    <xf numFmtId="166" fontId="7" fillId="0" borderId="67" xfId="1" applyFont="1" applyFill="1" applyBorder="1" applyAlignment="1">
      <alignment vertical="center"/>
    </xf>
    <xf numFmtId="166" fontId="7" fillId="0" borderId="24" xfId="1" applyFont="1" applyFill="1" applyBorder="1"/>
    <xf numFmtId="166" fontId="7" fillId="0" borderId="68" xfId="1" applyFont="1" applyFill="1" applyBorder="1" applyAlignment="1">
      <alignment vertical="center"/>
    </xf>
    <xf numFmtId="0" fontId="4" fillId="0" borderId="65" xfId="0" applyFont="1" applyBorder="1" applyAlignment="1">
      <alignment vertical="center"/>
    </xf>
    <xf numFmtId="166" fontId="7" fillId="0" borderId="33" xfId="1" applyFont="1" applyFill="1" applyBorder="1" applyAlignment="1">
      <alignment vertical="center"/>
    </xf>
    <xf numFmtId="166" fontId="7" fillId="0" borderId="30" xfId="1" applyFont="1" applyFill="1" applyBorder="1" applyAlignment="1">
      <alignment vertical="center"/>
    </xf>
    <xf numFmtId="166" fontId="7" fillId="0" borderId="32" xfId="1" applyFont="1" applyFill="1" applyBorder="1"/>
    <xf numFmtId="0" fontId="9" fillId="0" borderId="33" xfId="0" applyFont="1" applyBorder="1" applyAlignment="1">
      <alignment horizontal="center" vertical="center"/>
    </xf>
    <xf numFmtId="166" fontId="7" fillId="0" borderId="26" xfId="1" applyFont="1" applyFill="1" applyBorder="1" applyAlignment="1">
      <alignment vertical="center"/>
    </xf>
    <xf numFmtId="0" fontId="7" fillId="0" borderId="70" xfId="0" applyFont="1" applyBorder="1" applyAlignment="1">
      <alignment horizontal="center" vertical="center"/>
    </xf>
    <xf numFmtId="0" fontId="4" fillId="4" borderId="25" xfId="3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166" fontId="7" fillId="0" borderId="69" xfId="1" applyFont="1" applyFill="1" applyBorder="1" applyAlignment="1">
      <alignment horizontal="center" vertical="center"/>
    </xf>
    <xf numFmtId="166" fontId="7" fillId="0" borderId="71" xfId="1" applyFont="1" applyFill="1" applyBorder="1"/>
    <xf numFmtId="166" fontId="7" fillId="0" borderId="72" xfId="1" applyFont="1" applyFill="1" applyBorder="1"/>
    <xf numFmtId="164" fontId="12" fillId="0" borderId="10" xfId="2" applyFont="1" applyFill="1" applyBorder="1" applyAlignment="1">
      <alignment horizontal="center" vertical="center"/>
    </xf>
    <xf numFmtId="9" fontId="3" fillId="0" borderId="0" xfId="0" applyNumberFormat="1" applyFont="1" applyAlignment="1">
      <alignment vertical="center"/>
    </xf>
    <xf numFmtId="169" fontId="12" fillId="0" borderId="9" xfId="2" applyNumberFormat="1" applyFont="1" applyFill="1" applyBorder="1" applyAlignment="1">
      <alignment horizontal="center"/>
    </xf>
    <xf numFmtId="169" fontId="12" fillId="0" borderId="15" xfId="2" applyNumberFormat="1" applyFont="1" applyFill="1" applyBorder="1" applyAlignment="1">
      <alignment horizontal="center" vertical="center"/>
    </xf>
    <xf numFmtId="170" fontId="12" fillId="0" borderId="9" xfId="2" applyNumberFormat="1" applyFont="1" applyFill="1" applyBorder="1" applyAlignment="1">
      <alignment horizontal="center"/>
    </xf>
    <xf numFmtId="170" fontId="12" fillId="0" borderId="26" xfId="2" applyNumberFormat="1" applyFont="1" applyFill="1" applyBorder="1" applyAlignment="1">
      <alignment horizontal="center"/>
    </xf>
    <xf numFmtId="170" fontId="12" fillId="0" borderId="10" xfId="2" applyNumberFormat="1" applyFont="1" applyFill="1" applyBorder="1" applyAlignment="1">
      <alignment horizontal="center" vertical="center"/>
    </xf>
    <xf numFmtId="0" fontId="7" fillId="0" borderId="26" xfId="0" applyFont="1" applyBorder="1"/>
    <xf numFmtId="43" fontId="4" fillId="3" borderId="24" xfId="3" applyNumberFormat="1" applyFont="1" applyFill="1" applyBorder="1" applyAlignment="1">
      <alignment vertical="center"/>
    </xf>
    <xf numFmtId="43" fontId="4" fillId="2" borderId="24" xfId="3" applyNumberFormat="1" applyFont="1" applyFill="1" applyBorder="1" applyAlignment="1">
      <alignment vertical="center"/>
    </xf>
    <xf numFmtId="0" fontId="4" fillId="8" borderId="47" xfId="0" applyFont="1" applyFill="1" applyBorder="1" applyAlignment="1">
      <alignment horizontal="center" vertical="center" wrapText="1"/>
    </xf>
    <xf numFmtId="9" fontId="4" fillId="8" borderId="63" xfId="3" applyFont="1" applyFill="1" applyBorder="1" applyAlignment="1">
      <alignment horizontal="center" vertical="center" wrapText="1"/>
    </xf>
    <xf numFmtId="164" fontId="4" fillId="6" borderId="1" xfId="2" applyFont="1" applyFill="1" applyBorder="1" applyAlignment="1">
      <alignment horizontal="center" vertical="center"/>
    </xf>
    <xf numFmtId="164" fontId="4" fillId="6" borderId="5" xfId="2" applyFont="1" applyFill="1" applyBorder="1" applyAlignment="1">
      <alignment horizontal="center" vertical="center"/>
    </xf>
    <xf numFmtId="164" fontId="4" fillId="6" borderId="2" xfId="2" applyFont="1" applyFill="1" applyBorder="1" applyAlignment="1">
      <alignment horizontal="center" vertical="center"/>
    </xf>
    <xf numFmtId="164" fontId="4" fillId="2" borderId="6" xfId="2" applyFont="1" applyFill="1" applyBorder="1" applyAlignment="1">
      <alignment horizontal="center" vertical="center"/>
    </xf>
    <xf numFmtId="164" fontId="4" fillId="2" borderId="0" xfId="2" applyFont="1" applyFill="1" applyBorder="1" applyAlignment="1">
      <alignment horizontal="center" vertical="center"/>
    </xf>
    <xf numFmtId="164" fontId="4" fillId="2" borderId="7" xfId="2" applyFont="1" applyFill="1" applyBorder="1" applyAlignment="1">
      <alignment horizontal="center" vertical="center"/>
    </xf>
    <xf numFmtId="164" fontId="4" fillId="3" borderId="6" xfId="2" applyFont="1" applyFill="1" applyBorder="1" applyAlignment="1">
      <alignment horizontal="center" vertical="center"/>
    </xf>
    <xf numFmtId="164" fontId="4" fillId="3" borderId="0" xfId="2" applyFont="1" applyFill="1" applyBorder="1" applyAlignment="1">
      <alignment horizontal="center" vertical="center"/>
    </xf>
    <xf numFmtId="164" fontId="4" fillId="3" borderId="7" xfId="2" applyFont="1" applyFill="1" applyBorder="1" applyAlignment="1">
      <alignment horizontal="center" vertical="center"/>
    </xf>
    <xf numFmtId="164" fontId="4" fillId="4" borderId="6" xfId="2" applyFont="1" applyFill="1" applyBorder="1" applyAlignment="1">
      <alignment horizontal="center" vertical="center"/>
    </xf>
    <xf numFmtId="164" fontId="4" fillId="4" borderId="0" xfId="2" applyFont="1" applyFill="1" applyBorder="1" applyAlignment="1">
      <alignment horizontal="center" vertical="center"/>
    </xf>
    <xf numFmtId="164" fontId="4" fillId="4" borderId="7" xfId="2" applyFont="1" applyFill="1" applyBorder="1" applyAlignment="1">
      <alignment horizontal="center" vertical="center"/>
    </xf>
    <xf numFmtId="164" fontId="4" fillId="5" borderId="6" xfId="2" applyFont="1" applyFill="1" applyBorder="1" applyAlignment="1">
      <alignment horizontal="center" vertical="center"/>
    </xf>
    <xf numFmtId="164" fontId="4" fillId="5" borderId="0" xfId="2" applyFont="1" applyFill="1" applyBorder="1" applyAlignment="1">
      <alignment horizontal="center" vertical="center"/>
    </xf>
    <xf numFmtId="164" fontId="4" fillId="5" borderId="7" xfId="2" applyFont="1" applyFill="1" applyBorder="1" applyAlignment="1">
      <alignment horizontal="center" vertical="center"/>
    </xf>
    <xf numFmtId="164" fontId="4" fillId="6" borderId="6" xfId="2" applyFont="1" applyFill="1" applyBorder="1" applyAlignment="1">
      <alignment horizontal="center" vertical="center"/>
    </xf>
    <xf numFmtId="164" fontId="4" fillId="6" borderId="0" xfId="2" applyFont="1" applyFill="1" applyBorder="1" applyAlignment="1">
      <alignment horizontal="center" vertical="center"/>
    </xf>
    <xf numFmtId="164" fontId="4" fillId="6" borderId="7" xfId="2" applyFont="1" applyFill="1" applyBorder="1" applyAlignment="1">
      <alignment horizontal="center" vertical="center"/>
    </xf>
    <xf numFmtId="164" fontId="5" fillId="0" borderId="0" xfId="2" applyFont="1" applyFill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/>
    </xf>
    <xf numFmtId="164" fontId="4" fillId="2" borderId="1" xfId="2" applyFont="1" applyFill="1" applyBorder="1" applyAlignment="1">
      <alignment horizontal="center" vertical="center"/>
    </xf>
    <xf numFmtId="164" fontId="4" fillId="2" borderId="5" xfId="2" applyFont="1" applyFill="1" applyBorder="1" applyAlignment="1">
      <alignment horizontal="center" vertical="center"/>
    </xf>
    <xf numFmtId="164" fontId="4" fillId="2" borderId="2" xfId="2" applyFont="1" applyFill="1" applyBorder="1" applyAlignment="1">
      <alignment horizontal="center" vertical="center"/>
    </xf>
    <xf numFmtId="164" fontId="4" fillId="3" borderId="1" xfId="2" applyFont="1" applyFill="1" applyBorder="1" applyAlignment="1">
      <alignment horizontal="center" vertical="center"/>
    </xf>
    <xf numFmtId="164" fontId="4" fillId="3" borderId="5" xfId="2" applyFont="1" applyFill="1" applyBorder="1" applyAlignment="1">
      <alignment horizontal="center" vertical="center"/>
    </xf>
    <xf numFmtId="164" fontId="4" fillId="3" borderId="2" xfId="2" applyFont="1" applyFill="1" applyBorder="1" applyAlignment="1">
      <alignment horizontal="center" vertical="center"/>
    </xf>
    <xf numFmtId="164" fontId="4" fillId="4" borderId="1" xfId="2" applyFont="1" applyFill="1" applyBorder="1" applyAlignment="1">
      <alignment horizontal="center" vertical="center"/>
    </xf>
    <xf numFmtId="164" fontId="4" fillId="4" borderId="5" xfId="2" applyFont="1" applyFill="1" applyBorder="1" applyAlignment="1">
      <alignment horizontal="center" vertical="center"/>
    </xf>
    <xf numFmtId="164" fontId="4" fillId="4" borderId="2" xfId="2" applyFont="1" applyFill="1" applyBorder="1" applyAlignment="1">
      <alignment horizontal="center" vertical="center"/>
    </xf>
    <xf numFmtId="164" fontId="4" fillId="5" borderId="1" xfId="2" applyFont="1" applyFill="1" applyBorder="1" applyAlignment="1">
      <alignment horizontal="center" vertical="center"/>
    </xf>
    <xf numFmtId="164" fontId="4" fillId="5" borderId="5" xfId="2" applyFont="1" applyFill="1" applyBorder="1" applyAlignment="1">
      <alignment horizontal="center" vertical="center"/>
    </xf>
    <xf numFmtId="164" fontId="4" fillId="5" borderId="2" xfId="2" applyFont="1" applyFill="1" applyBorder="1" applyAlignment="1">
      <alignment horizontal="center" vertical="center"/>
    </xf>
    <xf numFmtId="164" fontId="4" fillId="2" borderId="3" xfId="2" applyFont="1" applyFill="1" applyBorder="1" applyAlignment="1">
      <alignment horizontal="center" vertical="center"/>
    </xf>
    <xf numFmtId="164" fontId="4" fillId="2" borderId="8" xfId="2" applyFont="1" applyFill="1" applyBorder="1" applyAlignment="1">
      <alignment horizontal="center" vertical="center"/>
    </xf>
    <xf numFmtId="164" fontId="4" fillId="2" borderId="4" xfId="2" applyFont="1" applyFill="1" applyBorder="1" applyAlignment="1">
      <alignment horizontal="center" vertical="center"/>
    </xf>
    <xf numFmtId="164" fontId="4" fillId="3" borderId="3" xfId="2" applyFont="1" applyFill="1" applyBorder="1" applyAlignment="1">
      <alignment horizontal="center" vertical="center"/>
    </xf>
    <xf numFmtId="164" fontId="4" fillId="3" borderId="8" xfId="2" applyFont="1" applyFill="1" applyBorder="1" applyAlignment="1">
      <alignment horizontal="center" vertical="center"/>
    </xf>
    <xf numFmtId="164" fontId="4" fillId="3" borderId="4" xfId="2" applyFont="1" applyFill="1" applyBorder="1" applyAlignment="1">
      <alignment horizontal="center" vertical="center"/>
    </xf>
    <xf numFmtId="164" fontId="4" fillId="4" borderId="3" xfId="2" applyFont="1" applyFill="1" applyBorder="1" applyAlignment="1">
      <alignment horizontal="center" vertical="center"/>
    </xf>
    <xf numFmtId="164" fontId="4" fillId="4" borderId="8" xfId="2" applyFont="1" applyFill="1" applyBorder="1" applyAlignment="1">
      <alignment horizontal="center" vertical="center"/>
    </xf>
    <xf numFmtId="164" fontId="4" fillId="4" borderId="4" xfId="2" applyFont="1" applyFill="1" applyBorder="1" applyAlignment="1">
      <alignment horizontal="center" vertical="center"/>
    </xf>
    <xf numFmtId="164" fontId="4" fillId="5" borderId="3" xfId="2" applyFont="1" applyFill="1" applyBorder="1" applyAlignment="1">
      <alignment horizontal="center" vertical="center"/>
    </xf>
    <xf numFmtId="164" fontId="4" fillId="5" borderId="8" xfId="2" applyFont="1" applyFill="1" applyBorder="1" applyAlignment="1">
      <alignment horizontal="center" vertical="center"/>
    </xf>
    <xf numFmtId="164" fontId="4" fillId="5" borderId="4" xfId="2" applyFont="1" applyFill="1" applyBorder="1" applyAlignment="1">
      <alignment horizontal="center" vertical="center"/>
    </xf>
    <xf numFmtId="164" fontId="4" fillId="6" borderId="3" xfId="2" applyFont="1" applyFill="1" applyBorder="1" applyAlignment="1">
      <alignment horizontal="center" vertical="center"/>
    </xf>
    <xf numFmtId="164" fontId="4" fillId="6" borderId="8" xfId="2" applyFont="1" applyFill="1" applyBorder="1" applyAlignment="1">
      <alignment horizontal="center" vertical="center"/>
    </xf>
    <xf numFmtId="164" fontId="4" fillId="6" borderId="4" xfId="2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 wrapText="1"/>
    </xf>
    <xf numFmtId="0" fontId="4" fillId="0" borderId="62" xfId="0" applyFont="1" applyBorder="1" applyAlignment="1">
      <alignment horizontal="center" vertical="center" wrapText="1"/>
    </xf>
    <xf numFmtId="49" fontId="4" fillId="2" borderId="19" xfId="2" applyNumberFormat="1" applyFont="1" applyFill="1" applyBorder="1" applyAlignment="1">
      <alignment horizontal="left" vertical="center" wrapText="1"/>
    </xf>
    <xf numFmtId="49" fontId="4" fillId="2" borderId="27" xfId="2" applyNumberFormat="1" applyFont="1" applyFill="1" applyBorder="1" applyAlignment="1">
      <alignment horizontal="left" vertical="center" wrapText="1"/>
    </xf>
    <xf numFmtId="49" fontId="4" fillId="2" borderId="21" xfId="2" applyNumberFormat="1" applyFont="1" applyFill="1" applyBorder="1" applyAlignment="1">
      <alignment horizontal="left" vertical="center" wrapText="1"/>
    </xf>
    <xf numFmtId="49" fontId="4" fillId="3" borderId="19" xfId="2" applyNumberFormat="1" applyFont="1" applyFill="1" applyBorder="1" applyAlignment="1">
      <alignment horizontal="left" vertical="center" wrapText="1"/>
    </xf>
    <xf numFmtId="49" fontId="4" fillId="3" borderId="20" xfId="2" applyNumberFormat="1" applyFont="1" applyFill="1" applyBorder="1" applyAlignment="1">
      <alignment horizontal="left" vertical="center" wrapText="1"/>
    </xf>
    <xf numFmtId="49" fontId="4" fillId="3" borderId="21" xfId="2" applyNumberFormat="1" applyFont="1" applyFill="1" applyBorder="1" applyAlignment="1">
      <alignment horizontal="left" vertical="center" wrapText="1"/>
    </xf>
    <xf numFmtId="49" fontId="4" fillId="4" borderId="19" xfId="2" applyNumberFormat="1" applyFont="1" applyFill="1" applyBorder="1" applyAlignment="1">
      <alignment horizontal="left" vertical="center" wrapText="1"/>
    </xf>
    <xf numFmtId="49" fontId="4" fillId="4" borderId="20" xfId="2" applyNumberFormat="1" applyFont="1" applyFill="1" applyBorder="1" applyAlignment="1">
      <alignment horizontal="left" vertical="center" wrapText="1"/>
    </xf>
    <xf numFmtId="49" fontId="4" fillId="4" borderId="21" xfId="2" applyNumberFormat="1" applyFont="1" applyFill="1" applyBorder="1" applyAlignment="1">
      <alignment horizontal="left" vertical="center" wrapText="1"/>
    </xf>
    <xf numFmtId="49" fontId="4" fillId="5" borderId="19" xfId="2" applyNumberFormat="1" applyFont="1" applyFill="1" applyBorder="1" applyAlignment="1">
      <alignment horizontal="left" vertical="center" wrapText="1"/>
    </xf>
    <xf numFmtId="49" fontId="4" fillId="5" borderId="20" xfId="2" applyNumberFormat="1" applyFont="1" applyFill="1" applyBorder="1" applyAlignment="1">
      <alignment horizontal="left" vertical="center" wrapText="1"/>
    </xf>
    <xf numFmtId="49" fontId="4" fillId="5" borderId="21" xfId="2" applyNumberFormat="1" applyFont="1" applyFill="1" applyBorder="1" applyAlignment="1">
      <alignment horizontal="left" vertical="center" wrapText="1"/>
    </xf>
    <xf numFmtId="49" fontId="4" fillId="6" borderId="19" xfId="2" applyNumberFormat="1" applyFont="1" applyFill="1" applyBorder="1" applyAlignment="1">
      <alignment horizontal="left" vertical="center" wrapText="1"/>
    </xf>
    <xf numFmtId="49" fontId="4" fillId="6" borderId="20" xfId="2" applyNumberFormat="1" applyFont="1" applyFill="1" applyBorder="1" applyAlignment="1">
      <alignment horizontal="left" vertical="center" wrapText="1"/>
    </xf>
    <xf numFmtId="49" fontId="4" fillId="6" borderId="21" xfId="2" applyNumberFormat="1" applyFont="1" applyFill="1" applyBorder="1" applyAlignment="1">
      <alignment horizontal="left" vertical="center" wrapText="1"/>
    </xf>
    <xf numFmtId="15" fontId="4" fillId="0" borderId="34" xfId="0" applyNumberFormat="1" applyFont="1" applyBorder="1" applyAlignment="1">
      <alignment horizontal="center" vertical="center"/>
    </xf>
    <xf numFmtId="15" fontId="4" fillId="0" borderId="21" xfId="0" applyNumberFormat="1" applyFont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 wrapText="1"/>
    </xf>
    <xf numFmtId="0" fontId="4" fillId="2" borderId="56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48" xfId="0" applyFont="1" applyFill="1" applyBorder="1" applyAlignment="1">
      <alignment horizontal="center" vertical="center" wrapText="1"/>
    </xf>
    <xf numFmtId="0" fontId="4" fillId="2" borderId="57" xfId="0" applyFont="1" applyFill="1" applyBorder="1" applyAlignment="1">
      <alignment horizontal="center" vertical="center" wrapText="1"/>
    </xf>
    <xf numFmtId="0" fontId="4" fillId="3" borderId="46" xfId="0" applyFont="1" applyFill="1" applyBorder="1" applyAlignment="1">
      <alignment horizontal="center" vertical="center" wrapText="1"/>
    </xf>
    <xf numFmtId="0" fontId="4" fillId="3" borderId="52" xfId="0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vertical="center" wrapText="1"/>
    </xf>
    <xf numFmtId="0" fontId="4" fillId="3" borderId="59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4" fillId="4" borderId="48" xfId="0" applyFont="1" applyFill="1" applyBorder="1" applyAlignment="1">
      <alignment horizontal="center" vertical="center" wrapText="1"/>
    </xf>
    <xf numFmtId="0" fontId="4" fillId="4" borderId="64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42" fontId="13" fillId="2" borderId="22" xfId="6" applyFont="1" applyFill="1" applyBorder="1" applyAlignment="1">
      <alignment horizontal="center" vertical="center"/>
    </xf>
    <xf numFmtId="42" fontId="13" fillId="2" borderId="25" xfId="6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 wrapText="1"/>
    </xf>
    <xf numFmtId="0" fontId="4" fillId="3" borderId="58" xfId="0" applyFont="1" applyFill="1" applyBorder="1" applyAlignment="1">
      <alignment horizontal="center" vertical="center" wrapText="1"/>
    </xf>
    <xf numFmtId="0" fontId="4" fillId="4" borderId="46" xfId="0" applyFont="1" applyFill="1" applyBorder="1" applyAlignment="1">
      <alignment horizontal="center" vertical="center" wrapText="1"/>
    </xf>
    <xf numFmtId="0" fontId="4" fillId="4" borderId="51" xfId="0" applyFont="1" applyFill="1" applyBorder="1" applyAlignment="1">
      <alignment horizontal="center" vertical="center" wrapText="1"/>
    </xf>
    <xf numFmtId="0" fontId="4" fillId="4" borderId="47" xfId="0" applyFont="1" applyFill="1" applyBorder="1" applyAlignment="1">
      <alignment horizontal="center" vertical="center" wrapText="1"/>
    </xf>
    <xf numFmtId="0" fontId="4" fillId="4" borderId="63" xfId="0" applyFont="1" applyFill="1" applyBorder="1" applyAlignment="1">
      <alignment horizontal="center" vertical="center" wrapText="1"/>
    </xf>
    <xf numFmtId="165" fontId="10" fillId="0" borderId="5" xfId="3" applyNumberFormat="1" applyFont="1" applyFill="1" applyBorder="1" applyAlignment="1">
      <alignment horizontal="left" vertical="center"/>
    </xf>
    <xf numFmtId="165" fontId="10" fillId="0" borderId="2" xfId="3" applyNumberFormat="1" applyFont="1" applyFill="1" applyBorder="1" applyAlignment="1">
      <alignment horizontal="left" vertical="center"/>
    </xf>
    <xf numFmtId="49" fontId="10" fillId="0" borderId="0" xfId="1" applyNumberFormat="1" applyFont="1" applyFill="1" applyBorder="1" applyAlignment="1">
      <alignment horizontal="left" vertical="center"/>
    </xf>
    <xf numFmtId="49" fontId="10" fillId="0" borderId="7" xfId="1" applyNumberFormat="1" applyFont="1" applyFill="1" applyBorder="1" applyAlignment="1">
      <alignment horizontal="left" vertical="center"/>
    </xf>
    <xf numFmtId="42" fontId="13" fillId="5" borderId="22" xfId="6" applyFont="1" applyFill="1" applyBorder="1" applyAlignment="1">
      <alignment horizontal="center" vertical="center"/>
    </xf>
    <xf numFmtId="42" fontId="13" fillId="5" borderId="25" xfId="6" applyFont="1" applyFill="1" applyBorder="1" applyAlignment="1">
      <alignment horizontal="center" vertical="center"/>
    </xf>
    <xf numFmtId="42" fontId="13" fillId="6" borderId="22" xfId="6" applyFont="1" applyFill="1" applyBorder="1" applyAlignment="1">
      <alignment horizontal="center" vertical="center"/>
    </xf>
    <xf numFmtId="42" fontId="13" fillId="6" borderId="25" xfId="6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center" vertical="center"/>
    </xf>
    <xf numFmtId="165" fontId="10" fillId="0" borderId="0" xfId="3" applyNumberFormat="1" applyFont="1" applyFill="1" applyBorder="1" applyAlignment="1">
      <alignment horizontal="left" vertical="center"/>
    </xf>
    <xf numFmtId="165" fontId="10" fillId="0" borderId="7" xfId="3" applyNumberFormat="1" applyFont="1" applyFill="1" applyBorder="1" applyAlignment="1">
      <alignment horizontal="left" vertical="center"/>
    </xf>
    <xf numFmtId="165" fontId="14" fillId="0" borderId="6" xfId="3" applyNumberFormat="1" applyFont="1" applyFill="1" applyBorder="1" applyAlignment="1">
      <alignment horizontal="left" vertical="center"/>
    </xf>
    <xf numFmtId="165" fontId="14" fillId="0" borderId="0" xfId="3" applyNumberFormat="1" applyFont="1" applyFill="1" applyBorder="1" applyAlignment="1">
      <alignment horizontal="left" vertical="center"/>
    </xf>
    <xf numFmtId="165" fontId="14" fillId="0" borderId="0" xfId="3" applyNumberFormat="1" applyFont="1" applyFill="1" applyBorder="1" applyAlignment="1">
      <alignment horizontal="center" vertical="center"/>
    </xf>
    <xf numFmtId="165" fontId="14" fillId="0" borderId="7" xfId="3" applyNumberFormat="1" applyFont="1" applyFill="1" applyBorder="1" applyAlignment="1">
      <alignment horizontal="center" vertical="center"/>
    </xf>
    <xf numFmtId="165" fontId="11" fillId="0" borderId="3" xfId="3" applyNumberFormat="1" applyFont="1" applyFill="1" applyBorder="1" applyAlignment="1">
      <alignment horizontal="center" vertical="center"/>
    </xf>
    <xf numFmtId="165" fontId="11" fillId="0" borderId="8" xfId="3" applyNumberFormat="1" applyFont="1" applyFill="1" applyBorder="1" applyAlignment="1">
      <alignment horizontal="center" vertical="center"/>
    </xf>
    <xf numFmtId="165" fontId="11" fillId="0" borderId="4" xfId="3" applyNumberFormat="1" applyFont="1" applyFill="1" applyBorder="1" applyAlignment="1">
      <alignment horizontal="center" vertical="center"/>
    </xf>
    <xf numFmtId="165" fontId="14" fillId="0" borderId="6" xfId="3" applyNumberFormat="1" applyFont="1" applyFill="1" applyBorder="1" applyAlignment="1">
      <alignment horizontal="center" vertical="center"/>
    </xf>
    <xf numFmtId="165" fontId="19" fillId="0" borderId="6" xfId="3" applyNumberFormat="1" applyFont="1" applyFill="1" applyBorder="1" applyAlignment="1">
      <alignment horizontal="center" vertical="center" wrapText="1"/>
    </xf>
    <xf numFmtId="165" fontId="19" fillId="0" borderId="0" xfId="3" applyNumberFormat="1" applyFont="1" applyFill="1" applyBorder="1" applyAlignment="1">
      <alignment horizontal="center" vertical="center" wrapText="1"/>
    </xf>
    <xf numFmtId="165" fontId="19" fillId="0" borderId="7" xfId="3" applyNumberFormat="1" applyFont="1" applyFill="1" applyBorder="1" applyAlignment="1">
      <alignment horizontal="center" vertical="center" wrapText="1"/>
    </xf>
    <xf numFmtId="165" fontId="20" fillId="0" borderId="6" xfId="3" applyNumberFormat="1" applyFont="1" applyFill="1" applyBorder="1" applyAlignment="1">
      <alignment horizontal="center" vertical="center" wrapText="1"/>
    </xf>
    <xf numFmtId="165" fontId="20" fillId="0" borderId="0" xfId="3" applyNumberFormat="1" applyFont="1" applyFill="1" applyBorder="1" applyAlignment="1">
      <alignment horizontal="center" vertical="center"/>
    </xf>
    <xf numFmtId="165" fontId="20" fillId="0" borderId="7" xfId="3" applyNumberFormat="1" applyFont="1" applyFill="1" applyBorder="1" applyAlignment="1">
      <alignment horizontal="center" vertical="center"/>
    </xf>
    <xf numFmtId="165" fontId="20" fillId="0" borderId="6" xfId="3" applyNumberFormat="1" applyFont="1" applyFill="1" applyBorder="1" applyAlignment="1">
      <alignment horizontal="center" vertical="center"/>
    </xf>
    <xf numFmtId="165" fontId="16" fillId="0" borderId="6" xfId="3" applyNumberFormat="1" applyFont="1" applyFill="1" applyBorder="1" applyAlignment="1">
      <alignment horizontal="center" vertical="center"/>
    </xf>
    <xf numFmtId="165" fontId="16" fillId="0" borderId="0" xfId="3" applyNumberFormat="1" applyFont="1" applyFill="1" applyBorder="1" applyAlignment="1">
      <alignment horizontal="center" vertical="center"/>
    </xf>
    <xf numFmtId="165" fontId="16" fillId="0" borderId="7" xfId="3" applyNumberFormat="1" applyFont="1" applyFill="1" applyBorder="1" applyAlignment="1">
      <alignment horizontal="center" vertical="center"/>
    </xf>
    <xf numFmtId="165" fontId="15" fillId="0" borderId="6" xfId="3" applyNumberFormat="1" applyFont="1" applyFill="1" applyBorder="1" applyAlignment="1">
      <alignment horizontal="center" vertical="center"/>
    </xf>
    <xf numFmtId="165" fontId="15" fillId="0" borderId="0" xfId="3" applyNumberFormat="1" applyFont="1" applyFill="1" applyBorder="1" applyAlignment="1">
      <alignment horizontal="center" vertical="center"/>
    </xf>
    <xf numFmtId="165" fontId="15" fillId="0" borderId="7" xfId="3" applyNumberFormat="1" applyFont="1" applyFill="1" applyBorder="1" applyAlignment="1">
      <alignment horizontal="center" vertical="center"/>
    </xf>
    <xf numFmtId="49" fontId="20" fillId="0" borderId="6" xfId="3" applyNumberFormat="1" applyFont="1" applyFill="1" applyBorder="1" applyAlignment="1">
      <alignment horizontal="center" vertical="center" wrapText="1"/>
    </xf>
    <xf numFmtId="49" fontId="20" fillId="0" borderId="0" xfId="3" applyNumberFormat="1" applyFont="1" applyFill="1" applyBorder="1" applyAlignment="1">
      <alignment horizontal="center" vertical="center"/>
    </xf>
    <xf numFmtId="49" fontId="20" fillId="0" borderId="7" xfId="3" applyNumberFormat="1" applyFont="1" applyFill="1" applyBorder="1" applyAlignment="1">
      <alignment horizontal="center" vertical="center"/>
    </xf>
    <xf numFmtId="49" fontId="20" fillId="0" borderId="6" xfId="3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66" xfId="0" applyFont="1" applyBorder="1" applyAlignment="1">
      <alignment horizontal="center" vertical="center" wrapText="1"/>
    </xf>
    <xf numFmtId="15" fontId="4" fillId="0" borderId="61" xfId="0" applyNumberFormat="1" applyFont="1" applyBorder="1" applyAlignment="1">
      <alignment horizontal="center" vertical="center"/>
    </xf>
    <xf numFmtId="15" fontId="4" fillId="0" borderId="66" xfId="0" applyNumberFormat="1" applyFont="1" applyBorder="1" applyAlignment="1">
      <alignment horizontal="center" vertical="center"/>
    </xf>
    <xf numFmtId="15" fontId="4" fillId="0" borderId="62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164" fontId="4" fillId="2" borderId="61" xfId="2" applyFont="1" applyFill="1" applyBorder="1" applyAlignment="1">
      <alignment horizontal="center" vertical="center"/>
    </xf>
    <xf numFmtId="164" fontId="4" fillId="2" borderId="66" xfId="2" applyFont="1" applyFill="1" applyBorder="1" applyAlignment="1">
      <alignment horizontal="center" vertical="center"/>
    </xf>
    <xf numFmtId="164" fontId="4" fillId="2" borderId="62" xfId="2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164" fontId="5" fillId="0" borderId="1" xfId="2" applyFont="1" applyFill="1" applyBorder="1" applyAlignment="1">
      <alignment horizontal="center" vertical="center" wrapText="1"/>
    </xf>
    <xf numFmtId="164" fontId="5" fillId="0" borderId="5" xfId="2" applyFont="1" applyFill="1" applyBorder="1" applyAlignment="1">
      <alignment horizontal="center" vertical="center" wrapText="1"/>
    </xf>
    <xf numFmtId="164" fontId="5" fillId="0" borderId="2" xfId="2" applyFont="1" applyFill="1" applyBorder="1" applyAlignment="1">
      <alignment horizontal="center" vertical="center" wrapText="1"/>
    </xf>
    <xf numFmtId="164" fontId="5" fillId="0" borderId="6" xfId="2" applyFont="1" applyFill="1" applyBorder="1" applyAlignment="1">
      <alignment horizontal="center" vertical="center" wrapText="1"/>
    </xf>
    <xf numFmtId="164" fontId="5" fillId="0" borderId="7" xfId="2" applyFont="1" applyFill="1" applyBorder="1" applyAlignment="1">
      <alignment horizontal="center" vertical="center" wrapText="1"/>
    </xf>
    <xf numFmtId="164" fontId="5" fillId="0" borderId="3" xfId="2" applyFont="1" applyFill="1" applyBorder="1" applyAlignment="1">
      <alignment horizontal="center" vertical="center" wrapText="1"/>
    </xf>
    <xf numFmtId="164" fontId="5" fillId="0" borderId="8" xfId="2" applyFont="1" applyFill="1" applyBorder="1" applyAlignment="1">
      <alignment horizontal="center" vertical="center" wrapText="1"/>
    </xf>
    <xf numFmtId="164" fontId="5" fillId="0" borderId="4" xfId="2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3" borderId="73" xfId="0" applyFont="1" applyFill="1" applyBorder="1" applyAlignment="1">
      <alignment horizontal="center" vertical="center" wrapText="1"/>
    </xf>
    <xf numFmtId="0" fontId="4" fillId="3" borderId="77" xfId="0" applyFont="1" applyFill="1" applyBorder="1" applyAlignment="1">
      <alignment horizontal="center" vertical="center" wrapText="1"/>
    </xf>
    <xf numFmtId="0" fontId="4" fillId="4" borderId="74" xfId="0" applyFont="1" applyFill="1" applyBorder="1" applyAlignment="1">
      <alignment horizontal="center" vertical="center" wrapText="1"/>
    </xf>
    <xf numFmtId="0" fontId="4" fillId="4" borderId="76" xfId="0" applyFont="1" applyFill="1" applyBorder="1" applyAlignment="1">
      <alignment horizontal="center" vertical="center" wrapText="1"/>
    </xf>
    <xf numFmtId="0" fontId="4" fillId="3" borderId="74" xfId="0" applyFont="1" applyFill="1" applyBorder="1" applyAlignment="1">
      <alignment horizontal="center" vertical="center" wrapText="1"/>
    </xf>
    <xf numFmtId="0" fontId="4" fillId="3" borderId="78" xfId="0" applyFont="1" applyFill="1" applyBorder="1" applyAlignment="1">
      <alignment horizontal="center" vertical="center" wrapText="1"/>
    </xf>
    <xf numFmtId="0" fontId="4" fillId="4" borderId="73" xfId="0" applyFont="1" applyFill="1" applyBorder="1" applyAlignment="1">
      <alignment horizontal="center" vertical="center" wrapText="1"/>
    </xf>
    <xf numFmtId="0" fontId="4" fillId="4" borderId="75" xfId="0" applyFont="1" applyFill="1" applyBorder="1" applyAlignment="1">
      <alignment horizontal="center" vertical="center" wrapText="1"/>
    </xf>
    <xf numFmtId="15" fontId="4" fillId="0" borderId="9" xfId="0" applyNumberFormat="1" applyFont="1" applyBorder="1" applyAlignment="1">
      <alignment horizontal="center" vertical="center"/>
    </xf>
    <xf numFmtId="15" fontId="4" fillId="0" borderId="26" xfId="0" applyNumberFormat="1" applyFont="1" applyBorder="1" applyAlignment="1">
      <alignment horizontal="center" vertical="center"/>
    </xf>
    <xf numFmtId="15" fontId="4" fillId="0" borderId="10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7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7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49" fontId="21" fillId="0" borderId="0" xfId="1" applyNumberFormat="1" applyFont="1" applyFill="1" applyBorder="1" applyAlignment="1">
      <alignment horizontal="left" vertical="center"/>
    </xf>
    <xf numFmtId="49" fontId="21" fillId="0" borderId="7" xfId="1" applyNumberFormat="1" applyFont="1" applyFill="1" applyBorder="1" applyAlignment="1">
      <alignment horizontal="left" vertical="center"/>
    </xf>
    <xf numFmtId="42" fontId="13" fillId="4" borderId="22" xfId="6" applyFont="1" applyFill="1" applyBorder="1" applyAlignment="1">
      <alignment horizontal="center" vertical="center"/>
    </xf>
    <xf numFmtId="42" fontId="13" fillId="4" borderId="25" xfId="6" applyFont="1" applyFill="1" applyBorder="1" applyAlignment="1">
      <alignment horizontal="center" vertical="center"/>
    </xf>
    <xf numFmtId="42" fontId="13" fillId="3" borderId="22" xfId="6" applyFont="1" applyFill="1" applyBorder="1" applyAlignment="1">
      <alignment horizontal="center" vertical="center"/>
    </xf>
    <xf numFmtId="42" fontId="13" fillId="3" borderId="25" xfId="6" applyFont="1" applyFill="1" applyBorder="1" applyAlignment="1">
      <alignment horizontal="center" vertical="center"/>
    </xf>
    <xf numFmtId="165" fontId="19" fillId="0" borderId="6" xfId="3" applyNumberFormat="1" applyFont="1" applyFill="1" applyBorder="1" applyAlignment="1">
      <alignment horizontal="center" vertical="center"/>
    </xf>
    <xf numFmtId="165" fontId="19" fillId="0" borderId="0" xfId="3" applyNumberFormat="1" applyFont="1" applyFill="1" applyBorder="1" applyAlignment="1">
      <alignment horizontal="center" vertical="center"/>
    </xf>
    <xf numFmtId="165" fontId="19" fillId="0" borderId="7" xfId="3" applyNumberFormat="1" applyFont="1" applyFill="1" applyBorder="1" applyAlignment="1">
      <alignment horizontal="center" vertical="center"/>
    </xf>
    <xf numFmtId="164" fontId="4" fillId="8" borderId="1" xfId="2" applyFont="1" applyFill="1" applyBorder="1" applyAlignment="1">
      <alignment horizontal="center" vertical="center"/>
    </xf>
    <xf numFmtId="164" fontId="4" fillId="8" borderId="5" xfId="2" applyFont="1" applyFill="1" applyBorder="1" applyAlignment="1">
      <alignment horizontal="center" vertical="center"/>
    </xf>
    <xf numFmtId="164" fontId="4" fillId="8" borderId="2" xfId="2" applyFont="1" applyFill="1" applyBorder="1" applyAlignment="1">
      <alignment horizontal="center" vertical="center"/>
    </xf>
    <xf numFmtId="164" fontId="4" fillId="8" borderId="6" xfId="2" applyFont="1" applyFill="1" applyBorder="1" applyAlignment="1">
      <alignment horizontal="center" vertical="center"/>
    </xf>
    <xf numFmtId="164" fontId="4" fillId="8" borderId="0" xfId="2" applyFont="1" applyFill="1" applyBorder="1" applyAlignment="1">
      <alignment horizontal="center" vertical="center"/>
    </xf>
    <xf numFmtId="164" fontId="4" fillId="8" borderId="7" xfId="2" applyFont="1" applyFill="1" applyBorder="1" applyAlignment="1">
      <alignment horizontal="center" vertical="center"/>
    </xf>
    <xf numFmtId="164" fontId="4" fillId="8" borderId="3" xfId="2" applyFont="1" applyFill="1" applyBorder="1" applyAlignment="1">
      <alignment horizontal="center" vertical="center"/>
    </xf>
    <xf numFmtId="164" fontId="4" fillId="8" borderId="8" xfId="2" applyFont="1" applyFill="1" applyBorder="1" applyAlignment="1">
      <alignment horizontal="center" vertical="center"/>
    </xf>
    <xf numFmtId="164" fontId="4" fillId="8" borderId="4" xfId="2" applyFont="1" applyFill="1" applyBorder="1" applyAlignment="1">
      <alignment horizontal="center" vertical="center"/>
    </xf>
    <xf numFmtId="49" fontId="4" fillId="8" borderId="19" xfId="2" applyNumberFormat="1" applyFont="1" applyFill="1" applyBorder="1" applyAlignment="1">
      <alignment horizontal="left" vertical="center" wrapText="1"/>
    </xf>
    <xf numFmtId="49" fontId="4" fillId="8" borderId="20" xfId="2" applyNumberFormat="1" applyFont="1" applyFill="1" applyBorder="1" applyAlignment="1">
      <alignment horizontal="left" vertical="center" wrapText="1"/>
    </xf>
    <xf numFmtId="49" fontId="4" fillId="8" borderId="21" xfId="2" applyNumberFormat="1" applyFont="1" applyFill="1" applyBorder="1" applyAlignment="1">
      <alignment horizontal="left" vertical="center" wrapText="1"/>
    </xf>
    <xf numFmtId="0" fontId="4" fillId="8" borderId="73" xfId="0" applyFont="1" applyFill="1" applyBorder="1" applyAlignment="1">
      <alignment horizontal="center" vertical="center" wrapText="1"/>
    </xf>
    <xf numFmtId="0" fontId="4" fillId="8" borderId="75" xfId="0" applyFont="1" applyFill="1" applyBorder="1" applyAlignment="1">
      <alignment horizontal="center" vertical="center" wrapText="1"/>
    </xf>
    <xf numFmtId="0" fontId="4" fillId="8" borderId="47" xfId="0" applyFont="1" applyFill="1" applyBorder="1" applyAlignment="1">
      <alignment horizontal="center" vertical="center" wrapText="1"/>
    </xf>
    <xf numFmtId="0" fontId="4" fillId="8" borderId="63" xfId="0" applyFont="1" applyFill="1" applyBorder="1" applyAlignment="1">
      <alignment horizontal="center" vertical="center" wrapText="1"/>
    </xf>
    <xf numFmtId="0" fontId="4" fillId="8" borderId="74" xfId="0" applyFont="1" applyFill="1" applyBorder="1" applyAlignment="1">
      <alignment horizontal="center" vertical="center" wrapText="1"/>
    </xf>
    <xf numFmtId="0" fontId="4" fillId="8" borderId="76" xfId="0" applyFont="1" applyFill="1" applyBorder="1" applyAlignment="1">
      <alignment horizontal="center" vertical="center" wrapText="1"/>
    </xf>
    <xf numFmtId="0" fontId="4" fillId="0" borderId="79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76" xfId="0" applyFont="1" applyBorder="1" applyAlignment="1">
      <alignment horizontal="center" vertical="center"/>
    </xf>
    <xf numFmtId="166" fontId="7" fillId="0" borderId="26" xfId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7" fillId="0" borderId="16" xfId="0" applyFont="1" applyBorder="1"/>
    <xf numFmtId="166" fontId="7" fillId="0" borderId="16" xfId="1" applyFont="1" applyFill="1" applyBorder="1" applyAlignment="1">
      <alignment horizontal="center" vertical="center"/>
    </xf>
    <xf numFmtId="166" fontId="7" fillId="0" borderId="16" xfId="1" applyFont="1" applyFill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7" fillId="0" borderId="17" xfId="0" applyFont="1" applyBorder="1"/>
    <xf numFmtId="166" fontId="7" fillId="0" borderId="17" xfId="1" applyFont="1" applyFill="1" applyBorder="1" applyAlignment="1">
      <alignment horizontal="center" vertical="center"/>
    </xf>
    <xf numFmtId="166" fontId="7" fillId="0" borderId="17" xfId="1" applyFont="1" applyFill="1" applyBorder="1" applyAlignment="1">
      <alignment vertical="center"/>
    </xf>
  </cellXfs>
  <cellStyles count="14">
    <cellStyle name="Millares" xfId="1" builtinId="3"/>
    <cellStyle name="Millares 2" xfId="8" xr:uid="{00000000-0005-0000-0000-000001000000}"/>
    <cellStyle name="Millares 2 2 2" xfId="13" xr:uid="{00000000-0005-0000-0000-000002000000}"/>
    <cellStyle name="Moneda" xfId="2" builtinId="4"/>
    <cellStyle name="Moneda [0]" xfId="6" builtinId="7"/>
    <cellStyle name="Moneda 2" xfId="9" xr:uid="{00000000-0005-0000-0000-000005000000}"/>
    <cellStyle name="Moneda 4" xfId="4" xr:uid="{00000000-0005-0000-0000-000006000000}"/>
    <cellStyle name="Normal" xfId="0" builtinId="0"/>
    <cellStyle name="Normal 2" xfId="5" xr:uid="{00000000-0005-0000-0000-000008000000}"/>
    <cellStyle name="Normal 2 2 2 2" xfId="12" xr:uid="{00000000-0005-0000-0000-000009000000}"/>
    <cellStyle name="Normal 3" xfId="10" xr:uid="{00000000-0005-0000-0000-00000A000000}"/>
    <cellStyle name="Normal 4" xfId="11" xr:uid="{00000000-0005-0000-0000-00000B000000}"/>
    <cellStyle name="Normal 5" xfId="7" xr:uid="{00000000-0005-0000-0000-00000C000000}"/>
    <cellStyle name="Porcentaje" xfId="3" builtinId="5"/>
  </cellStyles>
  <dxfs count="0"/>
  <tableStyles count="0" defaultTableStyle="TableStyleMedium2" defaultPivotStyle="PivotStyleLight16"/>
  <colors>
    <mruColors>
      <color rgb="FF99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254359</xdr:colOff>
      <xdr:row>0</xdr:row>
      <xdr:rowOff>146769</xdr:rowOff>
    </xdr:from>
    <xdr:to>
      <xdr:col>2</xdr:col>
      <xdr:colOff>1113774</xdr:colOff>
      <xdr:row>2</xdr:row>
      <xdr:rowOff>250678</xdr:rowOff>
    </xdr:to>
    <xdr:pic>
      <xdr:nvPicPr>
        <xdr:cNvPr id="2" name="Imagen 1" descr="C:\Users\Viviana\Downloads\WhatsApp Image 2021-09-17 at 10.34.06 AM (1)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84" y="146769"/>
          <a:ext cx="1421390" cy="94210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254359</xdr:colOff>
      <xdr:row>0</xdr:row>
      <xdr:rowOff>146769</xdr:rowOff>
    </xdr:from>
    <xdr:to>
      <xdr:col>2</xdr:col>
      <xdr:colOff>1113774</xdr:colOff>
      <xdr:row>2</xdr:row>
      <xdr:rowOff>250678</xdr:rowOff>
    </xdr:to>
    <xdr:pic>
      <xdr:nvPicPr>
        <xdr:cNvPr id="2" name="Imagen 1" descr="C:\Users\Viviana\Downloads\WhatsApp Image 2021-09-17 at 10.34.06 AM (1)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84" y="146769"/>
          <a:ext cx="1421390" cy="94210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254359</xdr:colOff>
      <xdr:row>0</xdr:row>
      <xdr:rowOff>146769</xdr:rowOff>
    </xdr:from>
    <xdr:to>
      <xdr:col>2</xdr:col>
      <xdr:colOff>1113774</xdr:colOff>
      <xdr:row>2</xdr:row>
      <xdr:rowOff>250678</xdr:rowOff>
    </xdr:to>
    <xdr:pic>
      <xdr:nvPicPr>
        <xdr:cNvPr id="2" name="Imagen 1" descr="C:\Users\Viviana\Downloads\WhatsApp Image 2021-09-17 at 10.34.06 AM (1)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84" y="146769"/>
          <a:ext cx="1421390" cy="94210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254359</xdr:colOff>
      <xdr:row>0</xdr:row>
      <xdr:rowOff>146769</xdr:rowOff>
    </xdr:from>
    <xdr:to>
      <xdr:col>2</xdr:col>
      <xdr:colOff>1113774</xdr:colOff>
      <xdr:row>2</xdr:row>
      <xdr:rowOff>250678</xdr:rowOff>
    </xdr:to>
    <xdr:pic>
      <xdr:nvPicPr>
        <xdr:cNvPr id="2" name="Imagen 1" descr="C:\Users\Viviana\Downloads\WhatsApp Image 2021-09-17 at 10.34.06 AM (1).jpe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84" y="146769"/>
          <a:ext cx="1421390" cy="94210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254359</xdr:colOff>
      <xdr:row>0</xdr:row>
      <xdr:rowOff>146769</xdr:rowOff>
    </xdr:from>
    <xdr:to>
      <xdr:col>2</xdr:col>
      <xdr:colOff>1121394</xdr:colOff>
      <xdr:row>2</xdr:row>
      <xdr:rowOff>246868</xdr:rowOff>
    </xdr:to>
    <xdr:pic>
      <xdr:nvPicPr>
        <xdr:cNvPr id="2" name="Imagen 1" descr="C:\Users\Viviana\Downloads\WhatsApp Image 2021-09-17 at 10.34.06 AM (1)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84" y="146769"/>
          <a:ext cx="1421390" cy="94210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36"/>
  <sheetViews>
    <sheetView topLeftCell="B1" zoomScale="70" zoomScaleNormal="70" workbookViewId="0">
      <pane xSplit="3" ySplit="6" topLeftCell="E7" activePane="bottomRight" state="frozen"/>
      <selection pane="topRight" activeCell="D1" sqref="D1"/>
      <selection pane="bottomLeft" activeCell="B12" sqref="B12"/>
      <selection pane="bottomRight" activeCell="S4" sqref="S4:T4"/>
    </sheetView>
  </sheetViews>
  <sheetFormatPr baseColWidth="10" defaultColWidth="11.3984375" defaultRowHeight="15.75" x14ac:dyDescent="0.55000000000000004"/>
  <cols>
    <col min="1" max="1" width="5.265625" style="15" customWidth="1"/>
    <col min="2" max="2" width="8.3984375" style="15" customWidth="1"/>
    <col min="3" max="3" width="43.73046875" style="15" customWidth="1"/>
    <col min="4" max="4" width="20.73046875" style="15" customWidth="1"/>
    <col min="5" max="5" width="29.73046875" style="15" customWidth="1"/>
    <col min="6" max="6" width="3.73046875" style="15" customWidth="1"/>
    <col min="7" max="7" width="17.73046875" style="15" customWidth="1"/>
    <col min="8" max="8" width="18.59765625" style="15" customWidth="1"/>
    <col min="9" max="9" width="16.86328125" style="15" customWidth="1"/>
    <col min="10" max="10" width="23.86328125" style="15" customWidth="1"/>
    <col min="11" max="11" width="19.3984375" style="15" customWidth="1"/>
    <col min="12" max="12" width="3.73046875" style="15" customWidth="1"/>
    <col min="13" max="13" width="19.86328125" style="15" customWidth="1"/>
    <col min="14" max="14" width="17.3984375" style="15" customWidth="1"/>
    <col min="15" max="15" width="16" style="15" customWidth="1"/>
    <col min="16" max="17" width="25.3984375" style="15" customWidth="1"/>
    <col min="18" max="18" width="3.73046875" style="15" customWidth="1"/>
    <col min="19" max="19" width="20.1328125" style="15" customWidth="1"/>
    <col min="20" max="20" width="14.3984375" style="15" customWidth="1"/>
    <col min="21" max="21" width="17" style="15" customWidth="1"/>
    <col min="22" max="23" width="22.3984375" style="15" customWidth="1"/>
    <col min="24" max="24" width="2.59765625" style="15" customWidth="1"/>
    <col min="25" max="25" width="24.73046875" style="15" hidden="1" customWidth="1"/>
    <col min="26" max="26" width="14.265625" style="15" hidden="1" customWidth="1"/>
    <col min="27" max="27" width="18.3984375" style="15" hidden="1" customWidth="1"/>
    <col min="28" max="29" width="23.265625" style="15" hidden="1" customWidth="1"/>
    <col min="30" max="30" width="11.3984375" style="15" hidden="1" customWidth="1"/>
    <col min="31" max="31" width="24.73046875" style="15" hidden="1" customWidth="1"/>
    <col min="32" max="32" width="17.265625" style="15" hidden="1" customWidth="1"/>
    <col min="33" max="33" width="18.3984375" style="15" hidden="1" customWidth="1"/>
    <col min="34" max="34" width="23.265625" style="15" hidden="1" customWidth="1"/>
    <col min="35" max="35" width="17.73046875" style="15" customWidth="1"/>
    <col min="36" max="16384" width="11.3984375" style="15"/>
  </cols>
  <sheetData>
    <row r="1" spans="1:35" s="4" customFormat="1" ht="33" customHeight="1" x14ac:dyDescent="0.8">
      <c r="A1" s="1"/>
      <c r="B1" s="196" t="s">
        <v>0</v>
      </c>
      <c r="C1" s="196"/>
      <c r="D1" s="196"/>
      <c r="E1" s="197" t="s">
        <v>1</v>
      </c>
      <c r="F1" s="2"/>
      <c r="G1" s="199" t="s">
        <v>2</v>
      </c>
      <c r="H1" s="200"/>
      <c r="I1" s="200"/>
      <c r="J1" s="201"/>
      <c r="K1" s="144"/>
      <c r="L1" s="3"/>
      <c r="M1" s="202" t="s">
        <v>3</v>
      </c>
      <c r="N1" s="203"/>
      <c r="O1" s="203"/>
      <c r="P1" s="204"/>
      <c r="Q1" s="145"/>
      <c r="R1" s="3"/>
      <c r="S1" s="205" t="s">
        <v>4</v>
      </c>
      <c r="T1" s="206"/>
      <c r="U1" s="206"/>
      <c r="V1" s="207"/>
      <c r="W1" s="142"/>
      <c r="Y1" s="208" t="s">
        <v>5</v>
      </c>
      <c r="Z1" s="209"/>
      <c r="AA1" s="209"/>
      <c r="AB1" s="210"/>
      <c r="AC1" s="137"/>
      <c r="AE1" s="178" t="s">
        <v>5</v>
      </c>
      <c r="AF1" s="179"/>
      <c r="AG1" s="179"/>
      <c r="AH1" s="180"/>
    </row>
    <row r="2" spans="1:35" s="4" customFormat="1" ht="33" customHeight="1" x14ac:dyDescent="0.8">
      <c r="A2" s="5"/>
      <c r="B2" s="196"/>
      <c r="C2" s="196"/>
      <c r="D2" s="196"/>
      <c r="E2" s="198"/>
      <c r="F2" s="2"/>
      <c r="G2" s="181" t="s">
        <v>6</v>
      </c>
      <c r="H2" s="182"/>
      <c r="I2" s="182"/>
      <c r="J2" s="183"/>
      <c r="K2" s="144"/>
      <c r="L2" s="3"/>
      <c r="M2" s="184" t="s">
        <v>6</v>
      </c>
      <c r="N2" s="185"/>
      <c r="O2" s="185"/>
      <c r="P2" s="186"/>
      <c r="Q2" s="145"/>
      <c r="R2" s="3"/>
      <c r="S2" s="187" t="s">
        <v>6</v>
      </c>
      <c r="T2" s="188"/>
      <c r="U2" s="188"/>
      <c r="V2" s="189"/>
      <c r="W2" s="142"/>
      <c r="Y2" s="190" t="s">
        <v>6</v>
      </c>
      <c r="Z2" s="191"/>
      <c r="AA2" s="191"/>
      <c r="AB2" s="192"/>
      <c r="AC2" s="137"/>
      <c r="AE2" s="193" t="s">
        <v>6</v>
      </c>
      <c r="AF2" s="194"/>
      <c r="AG2" s="194"/>
      <c r="AH2" s="195"/>
    </row>
    <row r="3" spans="1:35" s="4" customFormat="1" ht="33" customHeight="1" thickBot="1" x14ac:dyDescent="0.85">
      <c r="A3" s="5"/>
      <c r="B3" s="196"/>
      <c r="C3" s="196"/>
      <c r="D3" s="196"/>
      <c r="E3" s="198"/>
      <c r="F3" s="2"/>
      <c r="G3" s="211" t="s">
        <v>7</v>
      </c>
      <c r="H3" s="212"/>
      <c r="I3" s="212"/>
      <c r="J3" s="213"/>
      <c r="K3" s="144"/>
      <c r="L3" s="3"/>
      <c r="M3" s="214" t="s">
        <v>8</v>
      </c>
      <c r="N3" s="215"/>
      <c r="O3" s="215"/>
      <c r="P3" s="216"/>
      <c r="Q3" s="145"/>
      <c r="R3" s="3"/>
      <c r="S3" s="217" t="s">
        <v>9</v>
      </c>
      <c r="T3" s="218"/>
      <c r="U3" s="218"/>
      <c r="V3" s="219"/>
      <c r="W3" s="142"/>
      <c r="Y3" s="220" t="s">
        <v>10</v>
      </c>
      <c r="Z3" s="221"/>
      <c r="AA3" s="221"/>
      <c r="AB3" s="222"/>
      <c r="AC3" s="137"/>
      <c r="AE3" s="223" t="s">
        <v>10</v>
      </c>
      <c r="AF3" s="224"/>
      <c r="AG3" s="224"/>
      <c r="AH3" s="225"/>
    </row>
    <row r="4" spans="1:35" s="4" customFormat="1" ht="33" customHeight="1" thickBot="1" x14ac:dyDescent="0.85">
      <c r="A4" s="57"/>
      <c r="B4" s="226" t="s">
        <v>11</v>
      </c>
      <c r="C4" s="229" t="s">
        <v>12</v>
      </c>
      <c r="D4" s="232" t="s">
        <v>13</v>
      </c>
      <c r="E4" s="233"/>
      <c r="F4" s="2"/>
      <c r="G4" s="234" t="s">
        <v>14</v>
      </c>
      <c r="H4" s="235"/>
      <c r="I4" s="235" t="s">
        <v>15</v>
      </c>
      <c r="J4" s="236"/>
      <c r="K4" s="111"/>
      <c r="L4" s="6"/>
      <c r="M4" s="237" t="s">
        <v>14</v>
      </c>
      <c r="N4" s="238"/>
      <c r="O4" s="238" t="s">
        <v>16</v>
      </c>
      <c r="P4" s="239"/>
      <c r="Q4" s="117"/>
      <c r="R4" s="6"/>
      <c r="S4" s="240" t="s">
        <v>14</v>
      </c>
      <c r="T4" s="241"/>
      <c r="U4" s="241" t="s">
        <v>15</v>
      </c>
      <c r="V4" s="242"/>
      <c r="W4" s="121"/>
      <c r="Y4" s="243" t="s">
        <v>14</v>
      </c>
      <c r="Z4" s="244"/>
      <c r="AA4" s="244" t="s">
        <v>16</v>
      </c>
      <c r="AB4" s="245"/>
      <c r="AC4" s="125"/>
      <c r="AE4" s="246" t="s">
        <v>14</v>
      </c>
      <c r="AF4" s="247"/>
      <c r="AG4" s="247" t="s">
        <v>16</v>
      </c>
      <c r="AH4" s="248"/>
    </row>
    <row r="5" spans="1:35" s="4" customFormat="1" ht="45" customHeight="1" thickBot="1" x14ac:dyDescent="0.85">
      <c r="A5" s="58"/>
      <c r="B5" s="227"/>
      <c r="C5" s="230"/>
      <c r="D5" s="249">
        <f ca="1">+TODAY()</f>
        <v>46104</v>
      </c>
      <c r="E5" s="250"/>
      <c r="F5" s="2"/>
      <c r="G5" s="251" t="s">
        <v>17</v>
      </c>
      <c r="H5" s="143" t="s">
        <v>18</v>
      </c>
      <c r="I5" s="253" t="s">
        <v>19</v>
      </c>
      <c r="J5" s="255" t="s">
        <v>20</v>
      </c>
      <c r="K5" s="112"/>
      <c r="L5" s="2"/>
      <c r="M5" s="257" t="s">
        <v>17</v>
      </c>
      <c r="N5" s="77" t="s">
        <v>21</v>
      </c>
      <c r="O5" s="259" t="s">
        <v>19</v>
      </c>
      <c r="P5" s="287" t="s">
        <v>20</v>
      </c>
      <c r="Q5" s="118"/>
      <c r="R5" s="2"/>
      <c r="S5" s="289" t="s">
        <v>17</v>
      </c>
      <c r="T5" s="140" t="s">
        <v>22</v>
      </c>
      <c r="U5" s="291" t="s">
        <v>19</v>
      </c>
      <c r="V5" s="269" t="s">
        <v>20</v>
      </c>
      <c r="W5" s="122"/>
      <c r="Y5" s="271" t="s">
        <v>17</v>
      </c>
      <c r="Z5" s="138" t="s">
        <v>22</v>
      </c>
      <c r="AA5" s="273" t="s">
        <v>19</v>
      </c>
      <c r="AB5" s="261" t="s">
        <v>20</v>
      </c>
      <c r="AC5" s="126"/>
      <c r="AE5" s="263" t="s">
        <v>17</v>
      </c>
      <c r="AF5" s="146" t="s">
        <v>22</v>
      </c>
      <c r="AG5" s="265" t="s">
        <v>19</v>
      </c>
      <c r="AH5" s="267" t="s">
        <v>20</v>
      </c>
    </row>
    <row r="6" spans="1:35" s="4" customFormat="1" ht="30" customHeight="1" thickBot="1" x14ac:dyDescent="0.85">
      <c r="A6" s="59"/>
      <c r="B6" s="228"/>
      <c r="C6" s="231"/>
      <c r="D6" s="141" t="s">
        <v>23</v>
      </c>
      <c r="E6" s="141" t="s">
        <v>24</v>
      </c>
      <c r="F6" s="2"/>
      <c r="G6" s="252"/>
      <c r="H6" s="7">
        <v>0.19</v>
      </c>
      <c r="I6" s="254"/>
      <c r="J6" s="256"/>
      <c r="K6" s="112"/>
      <c r="L6" s="2"/>
      <c r="M6" s="258"/>
      <c r="N6" s="78">
        <v>0.19</v>
      </c>
      <c r="O6" s="260"/>
      <c r="P6" s="288"/>
      <c r="Q6" s="118"/>
      <c r="R6" s="2"/>
      <c r="S6" s="290"/>
      <c r="T6" s="108">
        <v>0.19</v>
      </c>
      <c r="U6" s="292"/>
      <c r="V6" s="270"/>
      <c r="W6" s="122"/>
      <c r="Y6" s="272"/>
      <c r="Z6" s="8">
        <v>0.19</v>
      </c>
      <c r="AA6" s="274"/>
      <c r="AB6" s="262"/>
      <c r="AC6" s="126"/>
      <c r="AE6" s="264"/>
      <c r="AF6" s="92">
        <v>0.19</v>
      </c>
      <c r="AG6" s="266"/>
      <c r="AH6" s="268"/>
    </row>
    <row r="7" spans="1:35" ht="22.15" x14ac:dyDescent="0.65">
      <c r="A7" s="101"/>
      <c r="B7" s="104">
        <v>1</v>
      </c>
      <c r="C7" s="105" t="s">
        <v>25</v>
      </c>
      <c r="D7" s="106" t="s">
        <v>26</v>
      </c>
      <c r="E7" s="9">
        <v>4</v>
      </c>
      <c r="F7" s="107"/>
      <c r="G7" s="65">
        <v>890000</v>
      </c>
      <c r="H7" s="11">
        <f>G7*$H$6</f>
        <v>169100</v>
      </c>
      <c r="I7" s="11">
        <f>G7+H7</f>
        <v>1059100</v>
      </c>
      <c r="J7" s="72">
        <f>E7*I7</f>
        <v>4236400</v>
      </c>
      <c r="K7" s="113">
        <f>+IF(G7-MIN(IF($G7&gt;0,$G7,100000*100000),IF($M7&gt;0,$M7,100000*100000),IF($S7&gt;0,$S7,100000*100000),IF($Y7&gt;0,$Y7,100000*100000),IF($AE7&gt;0,$AE7,100000*100000))&gt;0,G7-MIN(IF($G7&gt;0,$G7,100000*100000),IF($M7&gt;0,$M7,100000*100000),IF($S7&gt;0,$S7,100000*100000),IF($Y7&gt;0,$Y7,100000*100000),IF($AE7&gt;0,$AE7,100000*100000)),0)</f>
        <v>267000</v>
      </c>
      <c r="L7" s="12"/>
      <c r="M7" s="65">
        <v>693000</v>
      </c>
      <c r="N7" s="11">
        <f t="shared" ref="N7:N11" si="0">M7*$N$6</f>
        <v>131670</v>
      </c>
      <c r="O7" s="79">
        <f>M7+N7</f>
        <v>824670</v>
      </c>
      <c r="P7" s="66">
        <f>E7*O7</f>
        <v>3298680</v>
      </c>
      <c r="Q7" s="113">
        <f>+IF(M7-MIN(IF($G7&gt;0,$G7,100000*100000),IF($M7&gt;0,$M7,100000*100000),IF($S7&gt;0,$S7,100000*100000),IF($Y7&gt;0,$Y7,100000*100000),IF($AE7&gt;0,$AE7,100000*100000))&gt;0,M7-MIN(IF($G7&gt;0,$G7,100000*100000),IF($M7&gt;0,$M7,100000*100000),IF($S7&gt;0,$S7,100000*100000),IF($Y7&gt;0,$Y7,100000*100000),IF($AE7&gt;0,$AE7,100000*100000)),0)</f>
        <v>70000</v>
      </c>
      <c r="R7" s="12"/>
      <c r="S7" s="10">
        <v>623000</v>
      </c>
      <c r="T7" s="10">
        <f t="shared" ref="T7:T11" si="1">S7*$T$6</f>
        <v>118370</v>
      </c>
      <c r="U7" s="10">
        <f t="shared" ref="U7:U11" si="2">S7+T7</f>
        <v>741370</v>
      </c>
      <c r="V7" s="109">
        <f>E7*U7</f>
        <v>2965480</v>
      </c>
      <c r="W7" s="113">
        <f>+IF(S7-MIN(IF($G7&gt;0,$G7,100000*100000),IF($M7&gt;0,$M7,100000*100000),IF($S7&gt;0,$S7,100000*100000),IF($Y7&gt;0,$Y7,100000*100000),IF($AE7&gt;0,$AE7,100000*100000))&gt;0,S7-MIN(IF($G7&gt;0,$G7,100000*100000),IF($M7&gt;0,$M7,100000*100000),IF($S7&gt;0,$S7,100000*100000),IF($Y7&gt;0,$Y7,100000*100000),IF($AE7&gt;0,$AE7,100000*100000)),0)</f>
        <v>0</v>
      </c>
      <c r="Y7" s="14"/>
      <c r="Z7" s="10">
        <f t="shared" ref="Z7:Z8" si="3">Y7*$T$6</f>
        <v>0</v>
      </c>
      <c r="AA7" s="10">
        <f>Y7+Z7</f>
        <v>0</v>
      </c>
      <c r="AB7" s="66">
        <f>E7*AA7</f>
        <v>0</v>
      </c>
      <c r="AC7" s="113">
        <f>+IF(Y7-MIN(IF($G7&gt;0,$G7,100000*100000),IF($M7&gt;0,$M7,100000*100000),IF($S7&gt;0,$S7,100000*100000),IF($Y7&gt;0,$Y7,100000*100000),IF($AE7&gt;0,$AE7,100000*100000))&gt;0,Y7-MIN(IF($G7&gt;0,$G7,100000*100000),IF($M7&gt;0,$M7,100000*100000),IF($S7&gt;0,$S7,100000*100000),IF($Y7&gt;0,$Y7,100000*100000),IF($AE7&gt;0,$AE7,100000*100000)),0)</f>
        <v>0</v>
      </c>
      <c r="AE7" s="14"/>
      <c r="AF7" s="10">
        <f>+AE7*$AF$6</f>
        <v>0</v>
      </c>
      <c r="AG7" s="10">
        <f>+AE7+AF7</f>
        <v>0</v>
      </c>
      <c r="AH7" s="13">
        <f>+E7*AG7</f>
        <v>0</v>
      </c>
      <c r="AI7" s="113"/>
    </row>
    <row r="8" spans="1:35" s="100" customFormat="1" ht="22.5" thickBot="1" x14ac:dyDescent="0.85">
      <c r="A8" s="96"/>
      <c r="B8" s="97">
        <v>2</v>
      </c>
      <c r="C8" s="103" t="s">
        <v>27</v>
      </c>
      <c r="D8" s="99" t="s">
        <v>26</v>
      </c>
      <c r="E8" s="16">
        <v>4</v>
      </c>
      <c r="F8" s="17"/>
      <c r="G8" s="65">
        <v>890000</v>
      </c>
      <c r="H8" s="11">
        <f t="shared" ref="H8:H11" si="4">G8*$H$6</f>
        <v>169100</v>
      </c>
      <c r="I8" s="11">
        <f t="shared" ref="I8:I11" si="5">G8+H8</f>
        <v>1059100</v>
      </c>
      <c r="J8" s="72">
        <f>E8*I8</f>
        <v>4236400</v>
      </c>
      <c r="K8" s="113">
        <f t="shared" ref="K8:K11" si="6">+IF(G8-MIN(IF($G8&gt;0,$G8,100000*100000),IF($M8&gt;0,$M8,100000*100000),IF($S8&gt;0,$S8,100000*100000),IF($Y8&gt;0,$Y8,100000*100000),IF($AE8&gt;0,$AE8,100000*100000))&gt;0,G8-MIN(IF($G8&gt;0,$G8,100000*100000),IF($M8&gt;0,$M8,100000*100000),IF($S8&gt;0,$S8,100000*100000),IF($Y8&gt;0,$Y8,100000*100000),IF($AE8&gt;0,$AE8,100000*100000)),0)</f>
        <v>447000</v>
      </c>
      <c r="L8" s="17"/>
      <c r="M8" s="65">
        <v>693000</v>
      </c>
      <c r="N8" s="11">
        <f t="shared" si="0"/>
        <v>131670</v>
      </c>
      <c r="O8" s="79">
        <f t="shared" ref="O8:O11" si="7">M8+N8</f>
        <v>824670</v>
      </c>
      <c r="P8" s="66">
        <f t="shared" ref="P8:P11" si="8">E8*O8</f>
        <v>3298680</v>
      </c>
      <c r="Q8" s="113">
        <f t="shared" ref="Q8:Q11" si="9">+IF(M8-MIN(IF($G8&gt;0,$G8,100000*100000),IF($M8&gt;0,$M8,100000*100000),IF($S8&gt;0,$S8,100000*100000),IF($Y8&gt;0,$Y8,100000*100000),IF($AE8&gt;0,$AE8,100000*100000))&gt;0,M8-MIN(IF($G8&gt;0,$G8,100000*100000),IF($M8&gt;0,$M8,100000*100000),IF($S8&gt;0,$S8,100000*100000),IF($Y8&gt;0,$Y8,100000*100000),IF($AE8&gt;0,$AE8,100000*100000)),0)</f>
        <v>250000</v>
      </c>
      <c r="R8" s="17"/>
      <c r="S8" s="10">
        <v>443000</v>
      </c>
      <c r="T8" s="10">
        <f t="shared" si="1"/>
        <v>84170</v>
      </c>
      <c r="U8" s="10">
        <f t="shared" si="2"/>
        <v>527170</v>
      </c>
      <c r="V8" s="109">
        <f>E8*U8</f>
        <v>2108680</v>
      </c>
      <c r="W8" s="113">
        <f t="shared" ref="W8:W11" si="10">+IF(S8-MIN(IF($G8&gt;0,$G8,100000*100000),IF($M8&gt;0,$M8,100000*100000),IF($S8&gt;0,$S8,100000*100000),IF($Y8&gt;0,$Y8,100000*100000),IF($AE8&gt;0,$AE8,100000*100000))&gt;0,S8-MIN(IF($G8&gt;0,$G8,100000*100000),IF($M8&gt;0,$M8,100000*100000),IF($S8&gt;0,$S8,100000*100000),IF($Y8&gt;0,$Y8,100000*100000),IF($AE8&gt;0,$AE8,100000*100000)),0)</f>
        <v>0</v>
      </c>
      <c r="Y8" s="14"/>
      <c r="Z8" s="10">
        <f t="shared" si="3"/>
        <v>0</v>
      </c>
      <c r="AA8" s="10">
        <f t="shared" ref="AA8" si="11">Y8+Z8</f>
        <v>0</v>
      </c>
      <c r="AB8" s="66">
        <f t="shared" ref="AB8:AB11" si="12">E8*AA8</f>
        <v>0</v>
      </c>
      <c r="AC8" s="113">
        <f t="shared" ref="AC8:AC11" si="13">+IF(Y8-MIN(IF($G8&gt;0,$G8,100000*100000),IF($M8&gt;0,$M8,100000*100000),IF($S8&gt;0,$S8,100000*100000),IF($Y8&gt;0,$Y8,100000*100000),IF($AE8&gt;0,$AE8,100000*100000))&gt;0,Y8-MIN(IF($G8&gt;0,$G8,100000*100000),IF($M8&gt;0,$M8,100000*100000),IF($S8&gt;0,$S8,100000*100000),IF($Y8&gt;0,$Y8,100000*100000),IF($AE8&gt;0,$AE8,100000*100000)),0)</f>
        <v>0</v>
      </c>
      <c r="AE8" s="14"/>
      <c r="AF8" s="10">
        <f>+AE8*$AF$6</f>
        <v>0</v>
      </c>
      <c r="AG8" s="10">
        <f>+AE8+AF8</f>
        <v>0</v>
      </c>
      <c r="AH8" s="13">
        <f>+E8*AG8</f>
        <v>0</v>
      </c>
      <c r="AI8" s="113"/>
    </row>
    <row r="9" spans="1:35" s="100" customFormat="1" ht="22.15" x14ac:dyDescent="0.8">
      <c r="A9" s="101"/>
      <c r="B9" s="102">
        <v>3</v>
      </c>
      <c r="C9" s="103" t="s">
        <v>28</v>
      </c>
      <c r="D9" s="99" t="s">
        <v>29</v>
      </c>
      <c r="E9" s="16">
        <v>4</v>
      </c>
      <c r="F9" s="17"/>
      <c r="G9" s="65">
        <v>320000</v>
      </c>
      <c r="H9" s="11"/>
      <c r="I9" s="11"/>
      <c r="J9" s="72">
        <f>+G9*E9</f>
        <v>1280000</v>
      </c>
      <c r="K9" s="113">
        <f t="shared" si="6"/>
        <v>0</v>
      </c>
      <c r="L9" s="17"/>
      <c r="M9" s="65">
        <v>1690000</v>
      </c>
      <c r="N9" s="11"/>
      <c r="O9" s="79"/>
      <c r="P9" s="66">
        <f>E9*M9</f>
        <v>6760000</v>
      </c>
      <c r="Q9" s="113">
        <f t="shared" si="9"/>
        <v>1370000</v>
      </c>
      <c r="R9" s="17"/>
      <c r="S9" s="75">
        <v>500000</v>
      </c>
      <c r="T9" s="10"/>
      <c r="U9" s="10"/>
      <c r="V9" s="66">
        <f>+S9*E9</f>
        <v>2000000</v>
      </c>
      <c r="W9" s="113">
        <f t="shared" si="10"/>
        <v>180000</v>
      </c>
      <c r="Y9" s="14"/>
      <c r="Z9" s="10">
        <f>+Y9*$Z$6</f>
        <v>0</v>
      </c>
      <c r="AA9" s="10">
        <f>+Y9+Z9</f>
        <v>0</v>
      </c>
      <c r="AB9" s="66">
        <f t="shared" si="12"/>
        <v>0</v>
      </c>
      <c r="AC9" s="113">
        <f t="shared" si="13"/>
        <v>0</v>
      </c>
      <c r="AE9" s="14"/>
      <c r="AF9" s="10"/>
      <c r="AG9" s="10"/>
      <c r="AH9" s="13"/>
      <c r="AI9" s="113"/>
    </row>
    <row r="10" spans="1:35" s="100" customFormat="1" ht="22.15" x14ac:dyDescent="0.65">
      <c r="A10" s="96"/>
      <c r="B10" s="97">
        <v>4</v>
      </c>
      <c r="C10" s="98"/>
      <c r="D10" s="99"/>
      <c r="E10" s="16"/>
      <c r="F10" s="17"/>
      <c r="G10" s="65"/>
      <c r="H10" s="11">
        <f t="shared" si="4"/>
        <v>0</v>
      </c>
      <c r="I10" s="11">
        <f t="shared" si="5"/>
        <v>0</v>
      </c>
      <c r="J10" s="72">
        <f>E10*I10</f>
        <v>0</v>
      </c>
      <c r="K10" s="113">
        <f t="shared" si="6"/>
        <v>0</v>
      </c>
      <c r="L10" s="17"/>
      <c r="M10" s="65"/>
      <c r="N10" s="11">
        <f t="shared" si="0"/>
        <v>0</v>
      </c>
      <c r="O10" s="79">
        <f t="shared" si="7"/>
        <v>0</v>
      </c>
      <c r="P10" s="66">
        <f t="shared" si="8"/>
        <v>0</v>
      </c>
      <c r="Q10" s="113">
        <f t="shared" si="9"/>
        <v>0</v>
      </c>
      <c r="R10" s="17"/>
      <c r="S10" s="75"/>
      <c r="T10" s="10">
        <f t="shared" si="1"/>
        <v>0</v>
      </c>
      <c r="U10" s="10">
        <f t="shared" si="2"/>
        <v>0</v>
      </c>
      <c r="V10" s="66">
        <f>E10*U10</f>
        <v>0</v>
      </c>
      <c r="W10" s="113">
        <f t="shared" si="10"/>
        <v>0</v>
      </c>
      <c r="Y10" s="14"/>
      <c r="Z10" s="10">
        <f t="shared" ref="Z10:Z11" si="14">+Y10*$Z$6</f>
        <v>0</v>
      </c>
      <c r="AA10" s="10">
        <f t="shared" ref="AA10:AA11" si="15">+Y10+Z10</f>
        <v>0</v>
      </c>
      <c r="AB10" s="66">
        <f t="shared" si="12"/>
        <v>0</v>
      </c>
      <c r="AC10" s="113">
        <f t="shared" si="13"/>
        <v>0</v>
      </c>
      <c r="AE10" s="14"/>
      <c r="AF10" s="10"/>
      <c r="AG10" s="10"/>
      <c r="AH10" s="13"/>
      <c r="AI10" s="113"/>
    </row>
    <row r="11" spans="1:35" s="100" customFormat="1" ht="22.15" hidden="1" x14ac:dyDescent="0.65">
      <c r="A11" s="101"/>
      <c r="B11" s="102">
        <v>5</v>
      </c>
      <c r="C11" s="98"/>
      <c r="D11" s="99"/>
      <c r="E11" s="16"/>
      <c r="F11" s="17"/>
      <c r="G11" s="67"/>
      <c r="H11" s="11">
        <f t="shared" si="4"/>
        <v>0</v>
      </c>
      <c r="I11" s="11">
        <f t="shared" si="5"/>
        <v>0</v>
      </c>
      <c r="J11" s="72">
        <f t="shared" ref="J11" si="16">E11*I11</f>
        <v>0</v>
      </c>
      <c r="K11" s="113">
        <f t="shared" si="6"/>
        <v>0</v>
      </c>
      <c r="L11" s="17"/>
      <c r="M11" s="65"/>
      <c r="N11" s="11">
        <f t="shared" si="0"/>
        <v>0</v>
      </c>
      <c r="O11" s="79">
        <f t="shared" si="7"/>
        <v>0</v>
      </c>
      <c r="P11" s="66">
        <f t="shared" si="8"/>
        <v>0</v>
      </c>
      <c r="Q11" s="113">
        <f t="shared" si="9"/>
        <v>0</v>
      </c>
      <c r="R11" s="17"/>
      <c r="S11" s="75"/>
      <c r="T11" s="10">
        <f t="shared" si="1"/>
        <v>0</v>
      </c>
      <c r="U11" s="10">
        <f t="shared" si="2"/>
        <v>0</v>
      </c>
      <c r="V11" s="66">
        <f t="shared" ref="V11" si="17">E11*U11</f>
        <v>0</v>
      </c>
      <c r="W11" s="113">
        <f t="shared" si="10"/>
        <v>0</v>
      </c>
      <c r="Y11" s="14"/>
      <c r="Z11" s="10">
        <f t="shared" si="14"/>
        <v>0</v>
      </c>
      <c r="AA11" s="10">
        <f t="shared" si="15"/>
        <v>0</v>
      </c>
      <c r="AB11" s="66">
        <f t="shared" si="12"/>
        <v>0</v>
      </c>
      <c r="AC11" s="113">
        <f t="shared" si="13"/>
        <v>0</v>
      </c>
      <c r="AE11" s="14"/>
      <c r="AF11" s="10"/>
      <c r="AG11" s="10"/>
      <c r="AH11" s="13"/>
      <c r="AI11" s="113"/>
    </row>
    <row r="12" spans="1:35" ht="22.5" thickBot="1" x14ac:dyDescent="0.85">
      <c r="A12" s="18"/>
      <c r="B12" s="18"/>
      <c r="C12" s="19"/>
      <c r="D12" s="20"/>
      <c r="E12" s="21"/>
      <c r="F12" s="22"/>
      <c r="G12" s="73"/>
      <c r="H12" s="71"/>
      <c r="I12" s="71"/>
      <c r="J12" s="74"/>
      <c r="K12" s="26"/>
      <c r="L12" s="26"/>
      <c r="M12" s="68"/>
      <c r="N12" s="71"/>
      <c r="O12" s="71"/>
      <c r="P12" s="69"/>
      <c r="Q12" s="17"/>
      <c r="R12" s="26"/>
      <c r="S12" s="73"/>
      <c r="T12" s="70"/>
      <c r="U12" s="70"/>
      <c r="V12" s="74"/>
      <c r="W12" s="26"/>
      <c r="Y12" s="23"/>
      <c r="Z12" s="24"/>
      <c r="AA12" s="24"/>
      <c r="AB12" s="25"/>
      <c r="AC12" s="26"/>
      <c r="AE12" s="23"/>
      <c r="AF12" s="24"/>
      <c r="AG12" s="24"/>
      <c r="AH12" s="25"/>
    </row>
    <row r="13" spans="1:35" ht="22.5" thickBot="1" x14ac:dyDescent="0.85">
      <c r="A13" s="27"/>
      <c r="B13" s="27"/>
      <c r="C13" s="28"/>
      <c r="D13" s="63"/>
      <c r="E13" s="64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Y13" s="30"/>
      <c r="Z13" s="30"/>
      <c r="AA13" s="30"/>
      <c r="AB13" s="30"/>
      <c r="AC13" s="30"/>
      <c r="AE13" s="30"/>
      <c r="AF13" s="30"/>
      <c r="AG13" s="30"/>
      <c r="AH13" s="30"/>
    </row>
    <row r="14" spans="1:35" s="4" customFormat="1" ht="25.5" x14ac:dyDescent="0.8">
      <c r="A14" s="61"/>
      <c r="B14" s="27"/>
      <c r="C14" s="275" t="s">
        <v>30</v>
      </c>
      <c r="D14" s="276"/>
      <c r="E14" s="277"/>
      <c r="F14" s="31"/>
      <c r="G14" s="281"/>
      <c r="H14" s="282"/>
      <c r="I14" s="282"/>
      <c r="J14" s="285">
        <f>SUM(J7:J12)</f>
        <v>9752800</v>
      </c>
      <c r="K14" s="114"/>
      <c r="L14" s="32"/>
      <c r="M14" s="281"/>
      <c r="N14" s="282"/>
      <c r="O14" s="282"/>
      <c r="P14" s="285">
        <f>SUM(P7:P12)</f>
        <v>13357360</v>
      </c>
      <c r="Q14" s="114"/>
      <c r="R14" s="32"/>
      <c r="S14" s="281"/>
      <c r="T14" s="282"/>
      <c r="U14" s="282"/>
      <c r="V14" s="285">
        <f>SUM(V7:V12)</f>
        <v>7074160</v>
      </c>
      <c r="W14" s="114"/>
      <c r="Y14" s="281"/>
      <c r="Z14" s="282"/>
      <c r="AA14" s="282"/>
      <c r="AB14" s="297">
        <f>SUM(AB7:AB13)</f>
        <v>0</v>
      </c>
      <c r="AC14" s="127"/>
      <c r="AE14" s="281"/>
      <c r="AF14" s="282"/>
      <c r="AG14" s="282"/>
      <c r="AH14" s="299">
        <f>SUM(AH7:AH13)</f>
        <v>0</v>
      </c>
    </row>
    <row r="15" spans="1:35" s="4" customFormat="1" ht="25.9" thickBot="1" x14ac:dyDescent="0.85">
      <c r="A15" s="62"/>
      <c r="B15" s="27"/>
      <c r="C15" s="278"/>
      <c r="D15" s="279"/>
      <c r="E15" s="280"/>
      <c r="F15" s="31"/>
      <c r="G15" s="283"/>
      <c r="H15" s="284"/>
      <c r="I15" s="284"/>
      <c r="J15" s="286"/>
      <c r="K15" s="114"/>
      <c r="L15" s="32"/>
      <c r="M15" s="283"/>
      <c r="N15" s="284"/>
      <c r="O15" s="284"/>
      <c r="P15" s="286"/>
      <c r="Q15" s="114"/>
      <c r="R15" s="32"/>
      <c r="S15" s="283"/>
      <c r="T15" s="284"/>
      <c r="U15" s="284"/>
      <c r="V15" s="286"/>
      <c r="W15" s="114"/>
      <c r="Y15" s="283"/>
      <c r="Z15" s="284"/>
      <c r="AA15" s="284"/>
      <c r="AB15" s="298"/>
      <c r="AC15" s="127"/>
      <c r="AE15" s="283"/>
      <c r="AF15" s="284"/>
      <c r="AG15" s="284"/>
      <c r="AH15" s="300"/>
    </row>
    <row r="16" spans="1:35" s="4" customFormat="1" ht="8.25" customHeight="1" thickBot="1" x14ac:dyDescent="0.85">
      <c r="A16" s="28"/>
      <c r="B16" s="28"/>
      <c r="C16" s="28"/>
      <c r="D16" s="28"/>
      <c r="E16" s="33"/>
      <c r="F16" s="3"/>
      <c r="G16" s="35"/>
      <c r="H16" s="35"/>
      <c r="I16" s="35"/>
      <c r="J16" s="32"/>
      <c r="K16" s="32"/>
      <c r="L16" s="32"/>
      <c r="M16" s="35"/>
      <c r="N16" s="35"/>
      <c r="O16" s="35"/>
      <c r="P16" s="32"/>
      <c r="Q16" s="32"/>
      <c r="R16" s="32"/>
      <c r="S16" s="35"/>
      <c r="T16" s="35"/>
      <c r="U16" s="35"/>
      <c r="V16" s="32"/>
      <c r="W16" s="32"/>
      <c r="Y16" s="35"/>
      <c r="Z16" s="35"/>
      <c r="AA16" s="35"/>
      <c r="AB16" s="32"/>
      <c r="AC16" s="32"/>
      <c r="AE16" s="35"/>
      <c r="AF16" s="35"/>
      <c r="AG16" s="35"/>
      <c r="AH16" s="32"/>
    </row>
    <row r="17" spans="1:34" s="4" customFormat="1" ht="22.5" thickBot="1" x14ac:dyDescent="0.85">
      <c r="A17" s="87"/>
      <c r="B17" s="88" t="s">
        <v>31</v>
      </c>
      <c r="C17" s="88"/>
      <c r="D17" s="88"/>
      <c r="E17" s="89"/>
      <c r="F17" s="36"/>
      <c r="G17" s="301"/>
      <c r="H17" s="302"/>
      <c r="I17" s="302"/>
      <c r="J17" s="37">
        <f>+J14-MIN($J$14,$P$14)</f>
        <v>0</v>
      </c>
      <c r="K17" s="115"/>
      <c r="L17" s="38"/>
      <c r="M17" s="301"/>
      <c r="N17" s="302"/>
      <c r="O17" s="302"/>
      <c r="P17" s="39">
        <f>+P14-MIN($J$14,$P$14)</f>
        <v>3604560</v>
      </c>
      <c r="Q17" s="119"/>
      <c r="R17" s="38"/>
      <c r="S17" s="301"/>
      <c r="T17" s="302"/>
      <c r="U17" s="302"/>
      <c r="V17" s="40">
        <f>+V14-MIN($J$14,$P$14,$V$14)</f>
        <v>0</v>
      </c>
      <c r="W17" s="123"/>
      <c r="Y17" s="301"/>
      <c r="Z17" s="302"/>
      <c r="AA17" s="302"/>
      <c r="AB17" s="41">
        <f>+AB14-MIN($J$14,$P$14,$V$14)</f>
        <v>-7074160</v>
      </c>
      <c r="AC17" s="128"/>
      <c r="AE17" s="301"/>
      <c r="AF17" s="302"/>
      <c r="AG17" s="302"/>
      <c r="AH17" s="93">
        <f>+AH14-MIN($J$14,$P$14,$V$14)</f>
        <v>-7074160</v>
      </c>
    </row>
    <row r="18" spans="1:34" s="4" customFormat="1" ht="22.5" thickBot="1" x14ac:dyDescent="0.85">
      <c r="A18" s="84"/>
      <c r="B18" s="85" t="s">
        <v>32</v>
      </c>
      <c r="C18" s="85"/>
      <c r="D18" s="85"/>
      <c r="E18" s="86"/>
      <c r="F18" s="36"/>
      <c r="G18" s="303"/>
      <c r="H18" s="304"/>
      <c r="I18" s="304"/>
      <c r="J18" s="42">
        <f>+J17/MIN($J$14,$P$14)</f>
        <v>0</v>
      </c>
      <c r="K18" s="116"/>
      <c r="L18" s="43"/>
      <c r="M18" s="303"/>
      <c r="N18" s="304"/>
      <c r="O18" s="304"/>
      <c r="P18" s="44">
        <f>+P17/MIN($J$14,$P$14)</f>
        <v>0.36959232220490523</v>
      </c>
      <c r="Q18" s="120"/>
      <c r="R18" s="43"/>
      <c r="S18" s="303"/>
      <c r="T18" s="304"/>
      <c r="U18" s="304"/>
      <c r="V18" s="130">
        <f>+V17/MIN($J$14,$V$14)</f>
        <v>0</v>
      </c>
      <c r="W18" s="124"/>
      <c r="Y18" s="303"/>
      <c r="Z18" s="304"/>
      <c r="AA18" s="304"/>
      <c r="AB18" s="45">
        <f>+AB17/MIN($J$14,$P$14,$V$14)</f>
        <v>-1</v>
      </c>
      <c r="AC18" s="129"/>
      <c r="AE18" s="303"/>
      <c r="AF18" s="304"/>
      <c r="AG18" s="304"/>
      <c r="AH18" s="94">
        <f>+AH17/MIN($J$14,$P$14,$V$14)</f>
        <v>-1</v>
      </c>
    </row>
    <row r="19" spans="1:34" s="4" customFormat="1" ht="7.5" customHeight="1" x14ac:dyDescent="0.8">
      <c r="A19" s="46"/>
      <c r="B19" s="46"/>
      <c r="C19" s="46"/>
      <c r="D19" s="46"/>
      <c r="E19" s="33"/>
      <c r="F19" s="34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Y19" s="47"/>
      <c r="Z19" s="47"/>
      <c r="AA19" s="47"/>
      <c r="AB19" s="47"/>
      <c r="AC19" s="47"/>
      <c r="AE19" s="47"/>
      <c r="AF19" s="47"/>
      <c r="AG19" s="47"/>
      <c r="AH19" s="47"/>
    </row>
    <row r="20" spans="1:34" ht="9" customHeight="1" thickBot="1" x14ac:dyDescent="0.6">
      <c r="A20" s="48"/>
      <c r="B20" s="82"/>
      <c r="C20" s="82"/>
      <c r="D20" s="82"/>
      <c r="E20" s="82"/>
      <c r="F20" s="2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Y20" s="49"/>
      <c r="Z20" s="49"/>
      <c r="AA20" s="49"/>
      <c r="AB20" s="49"/>
      <c r="AC20" s="49"/>
      <c r="AE20" s="49"/>
      <c r="AF20" s="49"/>
      <c r="AG20" s="49"/>
      <c r="AH20" s="49"/>
    </row>
    <row r="21" spans="1:34" ht="15" customHeight="1" x14ac:dyDescent="0.55000000000000004">
      <c r="A21" s="80"/>
      <c r="B21" s="82"/>
      <c r="C21" s="82"/>
      <c r="D21" s="82"/>
      <c r="E21" s="82"/>
      <c r="F21" s="50"/>
      <c r="G21" s="60" t="s">
        <v>33</v>
      </c>
      <c r="H21" s="293" t="s">
        <v>34</v>
      </c>
      <c r="I21" s="293"/>
      <c r="J21" s="294"/>
      <c r="K21" s="133"/>
      <c r="L21" s="133"/>
      <c r="M21" s="60" t="s">
        <v>33</v>
      </c>
      <c r="N21" s="293" t="s">
        <v>34</v>
      </c>
      <c r="O21" s="293"/>
      <c r="P21" s="294"/>
      <c r="Q21" s="133"/>
      <c r="R21" s="133"/>
      <c r="S21" s="60" t="s">
        <v>33</v>
      </c>
      <c r="T21" s="293" t="s">
        <v>34</v>
      </c>
      <c r="U21" s="293"/>
      <c r="V21" s="294"/>
      <c r="W21" s="133"/>
      <c r="Y21" s="60" t="s">
        <v>33</v>
      </c>
      <c r="Z21" s="293" t="s">
        <v>35</v>
      </c>
      <c r="AA21" s="293"/>
      <c r="AB21" s="294"/>
      <c r="AC21" s="133"/>
      <c r="AE21" s="60" t="s">
        <v>33</v>
      </c>
      <c r="AF21" s="293" t="s">
        <v>35</v>
      </c>
      <c r="AG21" s="293"/>
      <c r="AH21" s="294"/>
    </row>
    <row r="22" spans="1:34" ht="15" customHeight="1" x14ac:dyDescent="0.55000000000000004">
      <c r="A22" s="81"/>
      <c r="B22" s="82"/>
      <c r="C22" s="82"/>
      <c r="D22" s="82"/>
      <c r="E22" s="82"/>
      <c r="F22" s="50"/>
      <c r="G22" s="51"/>
      <c r="H22" s="53"/>
      <c r="I22" s="53"/>
      <c r="J22" s="54"/>
      <c r="K22" s="53"/>
      <c r="L22" s="53"/>
      <c r="M22" s="51"/>
      <c r="N22" s="53"/>
      <c r="O22" s="53"/>
      <c r="P22" s="54"/>
      <c r="Q22" s="53"/>
      <c r="R22" s="53"/>
      <c r="S22" s="51"/>
      <c r="T22" s="53"/>
      <c r="U22" s="53"/>
      <c r="V22" s="54"/>
      <c r="W22" s="53"/>
      <c r="Y22" s="51"/>
      <c r="Z22" s="53"/>
      <c r="AA22" s="53"/>
      <c r="AB22" s="54"/>
      <c r="AC22" s="53"/>
      <c r="AE22" s="51"/>
      <c r="AF22" s="53"/>
      <c r="AG22" s="53"/>
      <c r="AH22" s="54"/>
    </row>
    <row r="23" spans="1:34" ht="15" customHeight="1" x14ac:dyDescent="0.55000000000000004">
      <c r="A23" s="81"/>
      <c r="B23" s="82"/>
      <c r="C23" s="82"/>
      <c r="D23" s="82"/>
      <c r="E23" s="82"/>
      <c r="F23" s="50"/>
      <c r="G23" s="51" t="s">
        <v>36</v>
      </c>
      <c r="H23" s="52"/>
      <c r="I23" s="52"/>
      <c r="J23" s="55"/>
      <c r="K23" s="52"/>
      <c r="L23" s="139"/>
      <c r="M23" s="131" t="s">
        <v>36</v>
      </c>
      <c r="N23" s="90"/>
      <c r="O23" s="90"/>
      <c r="P23" s="91"/>
      <c r="Q23" s="90"/>
      <c r="R23" s="139"/>
      <c r="S23" s="131" t="s">
        <v>36</v>
      </c>
      <c r="T23" s="295"/>
      <c r="U23" s="295"/>
      <c r="V23" s="296"/>
      <c r="W23" s="139"/>
      <c r="Y23" s="131" t="s">
        <v>36</v>
      </c>
      <c r="Z23" s="295"/>
      <c r="AA23" s="295"/>
      <c r="AB23" s="296"/>
      <c r="AC23" s="139"/>
      <c r="AE23" s="131" t="s">
        <v>36</v>
      </c>
      <c r="AF23" s="295"/>
      <c r="AG23" s="295"/>
      <c r="AH23" s="296"/>
    </row>
    <row r="24" spans="1:34" ht="15" customHeight="1" x14ac:dyDescent="0.55000000000000004">
      <c r="A24" s="81"/>
      <c r="B24" s="82"/>
      <c r="C24" s="82"/>
      <c r="D24" s="82"/>
      <c r="E24" s="82"/>
      <c r="F24" s="50"/>
      <c r="G24" s="51"/>
      <c r="H24" s="53"/>
      <c r="I24" s="53"/>
      <c r="J24" s="54"/>
      <c r="K24" s="53"/>
      <c r="L24" s="53"/>
      <c r="M24" s="51"/>
      <c r="N24" s="53"/>
      <c r="O24" s="53"/>
      <c r="P24" s="54"/>
      <c r="Q24" s="53"/>
      <c r="R24" s="53"/>
      <c r="S24" s="51"/>
      <c r="T24" s="53"/>
      <c r="U24" s="53"/>
      <c r="V24" s="54"/>
      <c r="W24" s="53"/>
      <c r="Y24" s="51"/>
      <c r="Z24" s="53"/>
      <c r="AA24" s="53"/>
      <c r="AB24" s="54"/>
      <c r="AC24" s="53"/>
      <c r="AE24" s="51"/>
      <c r="AF24" s="53"/>
      <c r="AG24" s="53"/>
      <c r="AH24" s="54"/>
    </row>
    <row r="25" spans="1:34" ht="15" customHeight="1" x14ac:dyDescent="0.55000000000000004">
      <c r="A25" s="81"/>
      <c r="B25" s="82"/>
      <c r="C25" s="95" t="s">
        <v>37</v>
      </c>
      <c r="D25" s="82"/>
      <c r="E25" s="82"/>
      <c r="F25" s="50"/>
      <c r="G25" s="131" t="s">
        <v>38</v>
      </c>
      <c r="H25" s="305"/>
      <c r="I25" s="305"/>
      <c r="J25" s="306"/>
      <c r="K25" s="133"/>
      <c r="L25" s="133"/>
      <c r="M25" s="131" t="s">
        <v>38</v>
      </c>
      <c r="N25" s="305"/>
      <c r="O25" s="305"/>
      <c r="P25" s="306"/>
      <c r="Q25" s="133"/>
      <c r="R25" s="133"/>
      <c r="S25" s="131" t="s">
        <v>38</v>
      </c>
      <c r="T25" s="305"/>
      <c r="U25" s="305"/>
      <c r="V25" s="306"/>
      <c r="W25" s="133"/>
      <c r="Y25" s="131" t="s">
        <v>38</v>
      </c>
      <c r="Z25" s="305"/>
      <c r="AA25" s="305"/>
      <c r="AB25" s="306"/>
      <c r="AC25" s="133"/>
      <c r="AE25" s="131" t="s">
        <v>38</v>
      </c>
      <c r="AF25" s="305"/>
      <c r="AG25" s="305"/>
      <c r="AH25" s="306"/>
    </row>
    <row r="26" spans="1:34" ht="15" customHeight="1" x14ac:dyDescent="0.55000000000000004">
      <c r="A26" s="81"/>
      <c r="B26" s="82"/>
      <c r="C26" s="82" t="s">
        <v>39</v>
      </c>
      <c r="D26" s="82"/>
      <c r="E26" s="82"/>
      <c r="F26" s="50"/>
      <c r="G26" s="51"/>
      <c r="H26" s="52"/>
      <c r="I26" s="52"/>
      <c r="J26" s="55"/>
      <c r="K26" s="52"/>
      <c r="L26" s="52"/>
      <c r="M26" s="51"/>
      <c r="N26" s="52"/>
      <c r="O26" s="52"/>
      <c r="P26" s="55"/>
      <c r="Q26" s="52"/>
      <c r="R26" s="52"/>
      <c r="S26" s="51"/>
      <c r="T26" s="52"/>
      <c r="U26" s="52"/>
      <c r="V26" s="55"/>
      <c r="W26" s="52"/>
      <c r="Y26" s="51"/>
      <c r="Z26" s="52"/>
      <c r="AA26" s="52"/>
      <c r="AB26" s="55"/>
      <c r="AC26" s="52"/>
      <c r="AE26" s="51"/>
      <c r="AF26" s="52"/>
      <c r="AG26" s="52"/>
      <c r="AH26" s="55"/>
    </row>
    <row r="27" spans="1:34" ht="15" customHeight="1" x14ac:dyDescent="0.55000000000000004">
      <c r="A27" s="81"/>
      <c r="B27" s="82"/>
      <c r="C27" s="82" t="s">
        <v>40</v>
      </c>
      <c r="D27" s="82"/>
      <c r="E27" s="82"/>
      <c r="F27" s="50"/>
      <c r="G27" s="307" t="s">
        <v>41</v>
      </c>
      <c r="H27" s="308"/>
      <c r="I27" s="305"/>
      <c r="J27" s="306"/>
      <c r="K27" s="133"/>
      <c r="L27" s="133"/>
      <c r="M27" s="51" t="s">
        <v>41</v>
      </c>
      <c r="N27" s="52"/>
      <c r="O27" s="52"/>
      <c r="P27" s="55"/>
      <c r="Q27" s="52"/>
      <c r="R27" s="133"/>
      <c r="S27" s="307" t="s">
        <v>41</v>
      </c>
      <c r="T27" s="308"/>
      <c r="U27" s="305"/>
      <c r="V27" s="306"/>
      <c r="W27" s="133"/>
      <c r="Y27" s="307" t="s">
        <v>41</v>
      </c>
      <c r="Z27" s="308"/>
      <c r="AA27" s="305"/>
      <c r="AB27" s="306"/>
      <c r="AC27" s="133"/>
      <c r="AE27" s="307" t="s">
        <v>41</v>
      </c>
      <c r="AF27" s="308"/>
      <c r="AG27" s="305"/>
      <c r="AH27" s="306"/>
    </row>
    <row r="28" spans="1:34" ht="15" customHeight="1" x14ac:dyDescent="0.55000000000000004">
      <c r="A28" s="81"/>
      <c r="B28" s="82"/>
      <c r="C28" s="82" t="s">
        <v>42</v>
      </c>
      <c r="D28" s="82"/>
      <c r="E28" s="82"/>
      <c r="F28" s="50"/>
      <c r="G28" s="131"/>
      <c r="H28" s="132"/>
      <c r="I28" s="133"/>
      <c r="J28" s="134"/>
      <c r="K28" s="133"/>
      <c r="L28" s="133"/>
      <c r="M28" s="131"/>
      <c r="N28" s="132"/>
      <c r="O28" s="133"/>
      <c r="P28" s="134"/>
      <c r="Q28" s="133"/>
      <c r="R28" s="133"/>
      <c r="S28" s="131"/>
      <c r="T28" s="132"/>
      <c r="U28" s="133"/>
      <c r="V28" s="134"/>
      <c r="W28" s="133"/>
      <c r="Y28" s="131"/>
      <c r="Z28" s="132"/>
      <c r="AA28" s="133"/>
      <c r="AB28" s="134"/>
      <c r="AC28" s="133"/>
      <c r="AE28" s="131"/>
      <c r="AF28" s="132"/>
      <c r="AG28" s="133"/>
      <c r="AH28" s="134"/>
    </row>
    <row r="29" spans="1:34" ht="15" customHeight="1" x14ac:dyDescent="0.55000000000000004">
      <c r="A29" s="81"/>
      <c r="B29" s="82"/>
      <c r="C29" s="82" t="s">
        <v>43</v>
      </c>
      <c r="D29" s="82"/>
      <c r="E29" s="82"/>
      <c r="F29" s="50"/>
      <c r="G29" s="131" t="s">
        <v>44</v>
      </c>
      <c r="H29" s="52"/>
      <c r="I29" s="52"/>
      <c r="J29" s="55"/>
      <c r="K29" s="52"/>
      <c r="L29" s="135"/>
      <c r="M29" s="51" t="s">
        <v>44</v>
      </c>
      <c r="N29" s="52"/>
      <c r="O29" s="52"/>
      <c r="P29" s="55"/>
      <c r="Q29" s="52"/>
      <c r="R29" s="135"/>
      <c r="S29" s="131" t="s">
        <v>44</v>
      </c>
      <c r="T29" s="309"/>
      <c r="U29" s="309"/>
      <c r="V29" s="310"/>
      <c r="W29" s="135"/>
      <c r="Y29" s="131" t="s">
        <v>44</v>
      </c>
      <c r="Z29" s="309"/>
      <c r="AA29" s="309"/>
      <c r="AB29" s="310"/>
      <c r="AC29" s="135"/>
      <c r="AE29" s="131" t="s">
        <v>44</v>
      </c>
      <c r="AF29" s="309"/>
      <c r="AG29" s="309"/>
      <c r="AH29" s="310"/>
    </row>
    <row r="30" spans="1:34" ht="15" customHeight="1" x14ac:dyDescent="0.55000000000000004">
      <c r="A30" s="81"/>
      <c r="B30" s="82"/>
      <c r="C30" s="82" t="s">
        <v>45</v>
      </c>
      <c r="D30" s="82"/>
      <c r="E30" s="82"/>
      <c r="F30" s="50"/>
      <c r="G30" s="315" t="s">
        <v>46</v>
      </c>
      <c r="H30" s="316"/>
      <c r="I30" s="316"/>
      <c r="J30" s="317"/>
      <c r="K30" s="135"/>
      <c r="L30" s="135"/>
      <c r="M30" s="318" t="s">
        <v>47</v>
      </c>
      <c r="N30" s="319"/>
      <c r="O30" s="319"/>
      <c r="P30" s="320"/>
      <c r="Q30" s="136"/>
      <c r="R30" s="135"/>
      <c r="S30" s="328" t="s">
        <v>48</v>
      </c>
      <c r="T30" s="329"/>
      <c r="U30" s="329"/>
      <c r="V30" s="330"/>
      <c r="W30" s="136"/>
      <c r="Y30" s="322" t="s">
        <v>49</v>
      </c>
      <c r="Z30" s="323"/>
      <c r="AA30" s="323"/>
      <c r="AB30" s="324"/>
      <c r="AC30" s="136"/>
      <c r="AE30" s="325" t="s">
        <v>50</v>
      </c>
      <c r="AF30" s="326"/>
      <c r="AG30" s="326"/>
      <c r="AH30" s="327"/>
    </row>
    <row r="31" spans="1:34" ht="15" customHeight="1" x14ac:dyDescent="0.55000000000000004">
      <c r="A31" s="81"/>
      <c r="B31" s="82"/>
      <c r="C31" s="82" t="s">
        <v>51</v>
      </c>
      <c r="D31" s="82"/>
      <c r="E31" s="82"/>
      <c r="F31" s="50"/>
      <c r="G31" s="315"/>
      <c r="H31" s="316"/>
      <c r="I31" s="316"/>
      <c r="J31" s="317"/>
      <c r="K31" s="135"/>
      <c r="L31" s="135"/>
      <c r="M31" s="321"/>
      <c r="N31" s="319"/>
      <c r="O31" s="319"/>
      <c r="P31" s="320"/>
      <c r="Q31" s="136"/>
      <c r="R31" s="135"/>
      <c r="S31" s="331"/>
      <c r="T31" s="329"/>
      <c r="U31" s="329"/>
      <c r="V31" s="330"/>
      <c r="W31" s="135"/>
      <c r="Y31" s="314"/>
      <c r="Z31" s="309"/>
      <c r="AA31" s="309"/>
      <c r="AB31" s="310"/>
      <c r="AC31" s="135"/>
      <c r="AE31" s="314"/>
      <c r="AF31" s="309"/>
      <c r="AG31" s="309"/>
      <c r="AH31" s="310"/>
    </row>
    <row r="32" spans="1:34" ht="71.25" customHeight="1" x14ac:dyDescent="0.55000000000000004">
      <c r="A32" s="81"/>
      <c r="B32" s="82"/>
      <c r="C32" s="82"/>
      <c r="D32" s="82"/>
      <c r="E32" s="82"/>
      <c r="F32" s="50"/>
      <c r="G32" s="315"/>
      <c r="H32" s="316"/>
      <c r="I32" s="316"/>
      <c r="J32" s="317"/>
      <c r="K32" s="135"/>
      <c r="L32" s="135"/>
      <c r="M32" s="321"/>
      <c r="N32" s="319"/>
      <c r="O32" s="319"/>
      <c r="P32" s="320"/>
      <c r="Q32" s="136"/>
      <c r="R32" s="135"/>
      <c r="S32" s="331"/>
      <c r="T32" s="329"/>
      <c r="U32" s="329"/>
      <c r="V32" s="330"/>
      <c r="W32" s="135"/>
      <c r="Y32" s="314"/>
      <c r="Z32" s="309"/>
      <c r="AA32" s="309"/>
      <c r="AB32" s="310"/>
      <c r="AC32" s="135"/>
      <c r="AE32" s="314"/>
      <c r="AF32" s="309"/>
      <c r="AG32" s="309"/>
      <c r="AH32" s="310"/>
    </row>
    <row r="33" spans="1:34" ht="15" customHeight="1" x14ac:dyDescent="0.55000000000000004">
      <c r="A33" s="81"/>
      <c r="B33" s="82"/>
      <c r="C33" s="82"/>
      <c r="D33" s="82"/>
      <c r="E33" s="82"/>
      <c r="F33" s="50"/>
      <c r="G33" s="131" t="s">
        <v>52</v>
      </c>
      <c r="H33" s="53"/>
      <c r="I33" s="53"/>
      <c r="J33" s="54"/>
      <c r="K33" s="53"/>
      <c r="L33" s="133"/>
      <c r="M33" s="51" t="s">
        <v>52</v>
      </c>
      <c r="N33" s="52"/>
      <c r="O33" s="52"/>
      <c r="P33" s="55"/>
      <c r="Q33" s="52"/>
      <c r="R33" s="133"/>
      <c r="S33" s="131" t="s">
        <v>52</v>
      </c>
      <c r="T33" s="53"/>
      <c r="U33" s="53"/>
      <c r="V33" s="54"/>
      <c r="W33" s="53"/>
      <c r="Y33" s="131" t="s">
        <v>52</v>
      </c>
      <c r="Z33" s="305" t="s">
        <v>53</v>
      </c>
      <c r="AA33" s="305"/>
      <c r="AB33" s="306"/>
      <c r="AC33" s="133"/>
      <c r="AE33" s="131" t="s">
        <v>52</v>
      </c>
      <c r="AF33" s="305" t="s">
        <v>53</v>
      </c>
      <c r="AG33" s="305"/>
      <c r="AH33" s="306"/>
    </row>
    <row r="34" spans="1:34" ht="15" customHeight="1" thickBot="1" x14ac:dyDescent="0.6">
      <c r="A34" s="83"/>
      <c r="B34" s="82"/>
      <c r="C34" s="82"/>
      <c r="D34" s="82"/>
      <c r="E34" s="82"/>
      <c r="F34" s="50"/>
      <c r="G34" s="311"/>
      <c r="H34" s="312"/>
      <c r="I34" s="312"/>
      <c r="J34" s="313"/>
      <c r="K34" s="56"/>
      <c r="L34" s="56"/>
      <c r="M34" s="311"/>
      <c r="N34" s="312"/>
      <c r="O34" s="312"/>
      <c r="P34" s="313"/>
      <c r="Q34" s="56"/>
      <c r="R34" s="56"/>
      <c r="S34" s="311"/>
      <c r="T34" s="312"/>
      <c r="U34" s="312"/>
      <c r="V34" s="313"/>
      <c r="W34" s="56"/>
      <c r="Y34" s="311"/>
      <c r="Z34" s="312"/>
      <c r="AA34" s="312"/>
      <c r="AB34" s="313"/>
      <c r="AC34" s="56"/>
      <c r="AE34" s="311"/>
      <c r="AF34" s="312"/>
      <c r="AG34" s="312"/>
      <c r="AH34" s="313"/>
    </row>
    <row r="35" spans="1:34" ht="18.75" x14ac:dyDescent="0.55000000000000004">
      <c r="A35" s="80"/>
      <c r="B35" s="82"/>
      <c r="F35" s="50"/>
    </row>
    <row r="36" spans="1:34" ht="18.75" x14ac:dyDescent="0.55000000000000004">
      <c r="A36" s="81"/>
      <c r="B36" s="82"/>
      <c r="F36" s="50"/>
    </row>
  </sheetData>
  <mergeCells count="102">
    <mergeCell ref="AE34:AH34"/>
    <mergeCell ref="G34:J34"/>
    <mergeCell ref="M34:P34"/>
    <mergeCell ref="S34:V34"/>
    <mergeCell ref="Y34:AB34"/>
    <mergeCell ref="Y32:AB32"/>
    <mergeCell ref="AE32:AH32"/>
    <mergeCell ref="Z33:AB33"/>
    <mergeCell ref="AF33:AH33"/>
    <mergeCell ref="G30:J32"/>
    <mergeCell ref="M30:P32"/>
    <mergeCell ref="Y30:AB30"/>
    <mergeCell ref="AE30:AH30"/>
    <mergeCell ref="Y31:AB31"/>
    <mergeCell ref="AE31:AH31"/>
    <mergeCell ref="S30:V32"/>
    <mergeCell ref="AA27:AB27"/>
    <mergeCell ref="AE27:AF27"/>
    <mergeCell ref="AG27:AH27"/>
    <mergeCell ref="T29:V29"/>
    <mergeCell ref="Z29:AB29"/>
    <mergeCell ref="AF29:AH29"/>
    <mergeCell ref="H25:J25"/>
    <mergeCell ref="N25:P25"/>
    <mergeCell ref="T25:V25"/>
    <mergeCell ref="Z25:AB25"/>
    <mergeCell ref="AF25:AH25"/>
    <mergeCell ref="G27:H27"/>
    <mergeCell ref="I27:J27"/>
    <mergeCell ref="S27:T27"/>
    <mergeCell ref="U27:V27"/>
    <mergeCell ref="Y27:Z27"/>
    <mergeCell ref="H21:J21"/>
    <mergeCell ref="N21:P21"/>
    <mergeCell ref="T21:V21"/>
    <mergeCell ref="Z21:AB21"/>
    <mergeCell ref="AF21:AH21"/>
    <mergeCell ref="T23:V23"/>
    <mergeCell ref="Z23:AB23"/>
    <mergeCell ref="AF23:AH23"/>
    <mergeCell ref="V14:V15"/>
    <mergeCell ref="Y14:AA15"/>
    <mergeCell ref="AB14:AB15"/>
    <mergeCell ref="AE14:AG15"/>
    <mergeCell ref="AH14:AH15"/>
    <mergeCell ref="G17:I18"/>
    <mergeCell ref="M17:O18"/>
    <mergeCell ref="S17:U18"/>
    <mergeCell ref="Y17:AA18"/>
    <mergeCell ref="AE17:AG18"/>
    <mergeCell ref="C14:E15"/>
    <mergeCell ref="G14:I15"/>
    <mergeCell ref="J14:J15"/>
    <mergeCell ref="M14:O15"/>
    <mergeCell ref="P14:P15"/>
    <mergeCell ref="S14:U15"/>
    <mergeCell ref="P5:P6"/>
    <mergeCell ref="S5:S6"/>
    <mergeCell ref="U5:U6"/>
    <mergeCell ref="Y4:Z4"/>
    <mergeCell ref="AA4:AB4"/>
    <mergeCell ref="AE4:AF4"/>
    <mergeCell ref="AG4:AH4"/>
    <mergeCell ref="D5:E5"/>
    <mergeCell ref="G5:G6"/>
    <mergeCell ref="I5:I6"/>
    <mergeCell ref="J5:J6"/>
    <mergeCell ref="M5:M6"/>
    <mergeCell ref="O5:O6"/>
    <mergeCell ref="AB5:AB6"/>
    <mergeCell ref="AE5:AE6"/>
    <mergeCell ref="AG5:AG6"/>
    <mergeCell ref="AH5:AH6"/>
    <mergeCell ref="V5:V6"/>
    <mergeCell ref="Y5:Y6"/>
    <mergeCell ref="AA5:AA6"/>
    <mergeCell ref="B4:B6"/>
    <mergeCell ref="C4:C6"/>
    <mergeCell ref="D4:E4"/>
    <mergeCell ref="G4:H4"/>
    <mergeCell ref="I4:J4"/>
    <mergeCell ref="M4:N4"/>
    <mergeCell ref="O4:P4"/>
    <mergeCell ref="S4:T4"/>
    <mergeCell ref="U4:V4"/>
    <mergeCell ref="AE1:AH1"/>
    <mergeCell ref="G2:J2"/>
    <mergeCell ref="M2:P2"/>
    <mergeCell ref="S2:V2"/>
    <mergeCell ref="Y2:AB2"/>
    <mergeCell ref="AE2:AH2"/>
    <mergeCell ref="B1:D3"/>
    <mergeCell ref="E1:E3"/>
    <mergeCell ref="G1:J1"/>
    <mergeCell ref="M1:P1"/>
    <mergeCell ref="S1:V1"/>
    <mergeCell ref="Y1:AB1"/>
    <mergeCell ref="G3:J3"/>
    <mergeCell ref="M3:P3"/>
    <mergeCell ref="S3:V3"/>
    <mergeCell ref="Y3:AB3"/>
    <mergeCell ref="AE3:AH3"/>
  </mergeCells>
  <printOptions horizontalCentered="1" verticalCentered="1"/>
  <pageMargins left="0.25" right="0.25" top="0.75" bottom="0.75" header="0.3" footer="0.3"/>
  <pageSetup scale="3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K38"/>
  <sheetViews>
    <sheetView topLeftCell="B1" zoomScale="70" zoomScaleNormal="70" workbookViewId="0">
      <pane xSplit="3" ySplit="6" topLeftCell="H7" activePane="bottomRight" state="frozen"/>
      <selection pane="topRight" activeCell="D1" sqref="D1"/>
      <selection pane="bottomLeft" activeCell="B12" sqref="B12"/>
      <selection pane="bottomRight" activeCell="D6" sqref="D6"/>
    </sheetView>
  </sheetViews>
  <sheetFormatPr baseColWidth="10" defaultColWidth="11.3984375" defaultRowHeight="15.75" x14ac:dyDescent="0.55000000000000004"/>
  <cols>
    <col min="1" max="1" width="5.265625" style="15" customWidth="1"/>
    <col min="2" max="2" width="8.3984375" style="15" customWidth="1"/>
    <col min="3" max="3" width="43.73046875" style="15" customWidth="1"/>
    <col min="4" max="4" width="20.73046875" style="15" customWidth="1"/>
    <col min="5" max="7" width="29.73046875" style="15" customWidth="1"/>
    <col min="8" max="8" width="3.73046875" style="15" customWidth="1"/>
    <col min="9" max="9" width="17.73046875" style="15" customWidth="1"/>
    <col min="10" max="10" width="18.59765625" style="15" customWidth="1"/>
    <col min="11" max="11" width="16.86328125" style="15" customWidth="1"/>
    <col min="12" max="12" width="23.86328125" style="15" customWidth="1"/>
    <col min="13" max="13" width="19.3984375" style="15" customWidth="1"/>
    <col min="14" max="14" width="3.73046875" style="15" customWidth="1"/>
    <col min="15" max="15" width="19.86328125" style="15" customWidth="1"/>
    <col min="16" max="16" width="17.3984375" style="15" customWidth="1"/>
    <col min="17" max="17" width="16" style="15" customWidth="1"/>
    <col min="18" max="19" width="25.3984375" style="15" customWidth="1"/>
    <col min="20" max="20" width="3.73046875" style="15" customWidth="1"/>
    <col min="21" max="21" width="20.1328125" style="15" customWidth="1"/>
    <col min="22" max="22" width="14.3984375" style="15" customWidth="1"/>
    <col min="23" max="23" width="17" style="15" customWidth="1"/>
    <col min="24" max="24" width="22.3984375" style="15" bestFit="1" customWidth="1"/>
    <col min="25" max="25" width="22.3984375" style="15" customWidth="1"/>
    <col min="26" max="26" width="2.59765625" style="15" customWidth="1"/>
    <col min="27" max="27" width="24.73046875" style="15" hidden="1" customWidth="1"/>
    <col min="28" max="28" width="14.265625" style="15" hidden="1" customWidth="1"/>
    <col min="29" max="29" width="18.3984375" style="15" hidden="1" customWidth="1"/>
    <col min="30" max="31" width="23.265625" style="15" hidden="1" customWidth="1"/>
    <col min="32" max="32" width="11.3984375" style="15" customWidth="1"/>
    <col min="33" max="33" width="24.73046875" style="15" hidden="1" customWidth="1"/>
    <col min="34" max="34" width="17.265625" style="15" hidden="1" customWidth="1"/>
    <col min="35" max="35" width="18.3984375" style="15" hidden="1" customWidth="1"/>
    <col min="36" max="36" width="23.265625" style="15" hidden="1" customWidth="1"/>
    <col min="37" max="37" width="17.73046875" style="15" customWidth="1"/>
    <col min="38" max="16384" width="11.3984375" style="15"/>
  </cols>
  <sheetData>
    <row r="1" spans="1:37" s="4" customFormat="1" ht="33" customHeight="1" x14ac:dyDescent="0.8">
      <c r="A1" s="1"/>
      <c r="B1" s="196" t="s">
        <v>54</v>
      </c>
      <c r="C1" s="196"/>
      <c r="D1" s="196"/>
      <c r="E1" s="332" t="s">
        <v>1</v>
      </c>
      <c r="F1" s="333"/>
      <c r="G1" s="147"/>
      <c r="H1" s="2"/>
      <c r="I1" s="199" t="s">
        <v>55</v>
      </c>
      <c r="J1" s="200"/>
      <c r="K1" s="200"/>
      <c r="L1" s="201"/>
      <c r="M1" s="144"/>
      <c r="N1" s="3"/>
      <c r="O1" s="202" t="s">
        <v>56</v>
      </c>
      <c r="P1" s="203"/>
      <c r="Q1" s="203"/>
      <c r="R1" s="204"/>
      <c r="S1" s="145"/>
      <c r="T1" s="3"/>
      <c r="U1" s="205" t="s">
        <v>57</v>
      </c>
      <c r="V1" s="206"/>
      <c r="W1" s="206"/>
      <c r="X1" s="207"/>
      <c r="Y1" s="142"/>
      <c r="AA1" s="208" t="s">
        <v>5</v>
      </c>
      <c r="AB1" s="209"/>
      <c r="AC1" s="209"/>
      <c r="AD1" s="210"/>
      <c r="AE1" s="137"/>
      <c r="AG1" s="178" t="s">
        <v>5</v>
      </c>
      <c r="AH1" s="179"/>
      <c r="AI1" s="179"/>
      <c r="AJ1" s="180"/>
    </row>
    <row r="2" spans="1:37" s="4" customFormat="1" ht="33" customHeight="1" x14ac:dyDescent="0.8">
      <c r="A2" s="5"/>
      <c r="B2" s="196"/>
      <c r="C2" s="196"/>
      <c r="D2" s="196"/>
      <c r="E2" s="334"/>
      <c r="F2" s="335"/>
      <c r="G2" s="148"/>
      <c r="H2" s="2"/>
      <c r="I2" s="181" t="s">
        <v>58</v>
      </c>
      <c r="J2" s="182"/>
      <c r="K2" s="182"/>
      <c r="L2" s="183"/>
      <c r="M2" s="144"/>
      <c r="N2" s="3"/>
      <c r="O2" s="184" t="s">
        <v>6</v>
      </c>
      <c r="P2" s="185"/>
      <c r="Q2" s="185"/>
      <c r="R2" s="186"/>
      <c r="S2" s="145"/>
      <c r="T2" s="3"/>
      <c r="U2" s="187" t="s">
        <v>6</v>
      </c>
      <c r="V2" s="188"/>
      <c r="W2" s="188"/>
      <c r="X2" s="189"/>
      <c r="Y2" s="142"/>
      <c r="AA2" s="190" t="s">
        <v>6</v>
      </c>
      <c r="AB2" s="191"/>
      <c r="AC2" s="191"/>
      <c r="AD2" s="192"/>
      <c r="AE2" s="137"/>
      <c r="AG2" s="193" t="s">
        <v>6</v>
      </c>
      <c r="AH2" s="194"/>
      <c r="AI2" s="194"/>
      <c r="AJ2" s="195"/>
    </row>
    <row r="3" spans="1:37" s="4" customFormat="1" ht="33" customHeight="1" thickBot="1" x14ac:dyDescent="0.85">
      <c r="A3" s="5"/>
      <c r="B3" s="196"/>
      <c r="C3" s="196"/>
      <c r="D3" s="196"/>
      <c r="E3" s="336"/>
      <c r="F3" s="337"/>
      <c r="G3" s="148"/>
      <c r="H3" s="2"/>
      <c r="I3" s="211" t="s">
        <v>59</v>
      </c>
      <c r="J3" s="212"/>
      <c r="K3" s="212"/>
      <c r="L3" s="213"/>
      <c r="M3" s="144"/>
      <c r="N3" s="3"/>
      <c r="O3" s="214" t="s">
        <v>60</v>
      </c>
      <c r="P3" s="215"/>
      <c r="Q3" s="215"/>
      <c r="R3" s="216"/>
      <c r="S3" s="145"/>
      <c r="T3" s="3"/>
      <c r="U3" s="217" t="s">
        <v>61</v>
      </c>
      <c r="V3" s="218"/>
      <c r="W3" s="218"/>
      <c r="X3" s="219"/>
      <c r="Y3" s="142"/>
      <c r="AA3" s="220" t="s">
        <v>10</v>
      </c>
      <c r="AB3" s="221"/>
      <c r="AC3" s="221"/>
      <c r="AD3" s="222"/>
      <c r="AE3" s="137"/>
      <c r="AG3" s="223" t="s">
        <v>10</v>
      </c>
      <c r="AH3" s="224"/>
      <c r="AI3" s="224"/>
      <c r="AJ3" s="225"/>
    </row>
    <row r="4" spans="1:37" s="4" customFormat="1" ht="33" customHeight="1" thickBot="1" x14ac:dyDescent="0.85">
      <c r="A4" s="57"/>
      <c r="B4" s="226" t="s">
        <v>11</v>
      </c>
      <c r="C4" s="229" t="s">
        <v>12</v>
      </c>
      <c r="D4" s="232" t="s">
        <v>13</v>
      </c>
      <c r="E4" s="338"/>
      <c r="F4" s="338"/>
      <c r="G4" s="233"/>
      <c r="H4" s="2"/>
      <c r="I4" s="234" t="s">
        <v>14</v>
      </c>
      <c r="J4" s="235"/>
      <c r="K4" s="235" t="s">
        <v>15</v>
      </c>
      <c r="L4" s="236"/>
      <c r="M4" s="111"/>
      <c r="N4" s="6"/>
      <c r="O4" s="237" t="s">
        <v>14</v>
      </c>
      <c r="P4" s="238"/>
      <c r="Q4" s="238" t="s">
        <v>16</v>
      </c>
      <c r="R4" s="239"/>
      <c r="S4" s="117"/>
      <c r="T4" s="6"/>
      <c r="U4" s="240" t="s">
        <v>14</v>
      </c>
      <c r="V4" s="241"/>
      <c r="W4" s="241" t="s">
        <v>15</v>
      </c>
      <c r="X4" s="242"/>
      <c r="Y4" s="121"/>
      <c r="AA4" s="243" t="s">
        <v>14</v>
      </c>
      <c r="AB4" s="244"/>
      <c r="AC4" s="244" t="s">
        <v>16</v>
      </c>
      <c r="AD4" s="245"/>
      <c r="AE4" s="125"/>
      <c r="AG4" s="246" t="s">
        <v>14</v>
      </c>
      <c r="AH4" s="247"/>
      <c r="AI4" s="247" t="s">
        <v>16</v>
      </c>
      <c r="AJ4" s="248"/>
    </row>
    <row r="5" spans="1:37" s="4" customFormat="1" ht="45" customHeight="1" thickBot="1" x14ac:dyDescent="0.85">
      <c r="A5" s="58"/>
      <c r="B5" s="227"/>
      <c r="C5" s="230"/>
      <c r="D5" s="339">
        <f ca="1">+TODAY()</f>
        <v>46104</v>
      </c>
      <c r="E5" s="340"/>
      <c r="F5" s="340"/>
      <c r="G5" s="341"/>
      <c r="H5" s="2"/>
      <c r="I5" s="251" t="s">
        <v>17</v>
      </c>
      <c r="J5" s="143" t="s">
        <v>18</v>
      </c>
      <c r="K5" s="253" t="s">
        <v>19</v>
      </c>
      <c r="L5" s="255" t="s">
        <v>20</v>
      </c>
      <c r="M5" s="112"/>
      <c r="N5" s="2"/>
      <c r="O5" s="257" t="s">
        <v>17</v>
      </c>
      <c r="P5" s="77" t="s">
        <v>21</v>
      </c>
      <c r="Q5" s="259" t="s">
        <v>19</v>
      </c>
      <c r="R5" s="287" t="s">
        <v>20</v>
      </c>
      <c r="S5" s="118"/>
      <c r="T5" s="2"/>
      <c r="U5" s="289" t="s">
        <v>17</v>
      </c>
      <c r="V5" s="140" t="s">
        <v>22</v>
      </c>
      <c r="W5" s="291" t="s">
        <v>19</v>
      </c>
      <c r="X5" s="269" t="s">
        <v>20</v>
      </c>
      <c r="Y5" s="122"/>
      <c r="AA5" s="271" t="s">
        <v>17</v>
      </c>
      <c r="AB5" s="138" t="s">
        <v>22</v>
      </c>
      <c r="AC5" s="273" t="s">
        <v>19</v>
      </c>
      <c r="AD5" s="261" t="s">
        <v>20</v>
      </c>
      <c r="AE5" s="126"/>
      <c r="AG5" s="263" t="s">
        <v>17</v>
      </c>
      <c r="AH5" s="146" t="s">
        <v>22</v>
      </c>
      <c r="AI5" s="265" t="s">
        <v>19</v>
      </c>
      <c r="AJ5" s="267" t="s">
        <v>20</v>
      </c>
    </row>
    <row r="6" spans="1:37" s="4" customFormat="1" ht="30" customHeight="1" thickBot="1" x14ac:dyDescent="0.85">
      <c r="A6" s="59"/>
      <c r="B6" s="228"/>
      <c r="C6" s="231"/>
      <c r="D6" s="141" t="s">
        <v>23</v>
      </c>
      <c r="E6" s="141" t="s">
        <v>24</v>
      </c>
      <c r="F6" s="154" t="s">
        <v>62</v>
      </c>
      <c r="G6" s="154" t="s">
        <v>63</v>
      </c>
      <c r="H6" s="2"/>
      <c r="I6" s="252"/>
      <c r="J6" s="7">
        <v>0.19</v>
      </c>
      <c r="K6" s="254"/>
      <c r="L6" s="256"/>
      <c r="M6" s="112"/>
      <c r="N6" s="2"/>
      <c r="O6" s="258"/>
      <c r="P6" s="78">
        <v>0.19</v>
      </c>
      <c r="Q6" s="260"/>
      <c r="R6" s="288"/>
      <c r="S6" s="118"/>
      <c r="T6" s="2"/>
      <c r="U6" s="290"/>
      <c r="V6" s="108">
        <v>0.19</v>
      </c>
      <c r="W6" s="292"/>
      <c r="X6" s="270"/>
      <c r="Y6" s="122"/>
      <c r="AA6" s="272"/>
      <c r="AB6" s="8">
        <v>0.19</v>
      </c>
      <c r="AC6" s="274"/>
      <c r="AD6" s="262"/>
      <c r="AE6" s="126"/>
      <c r="AG6" s="264"/>
      <c r="AH6" s="92">
        <v>0.19</v>
      </c>
      <c r="AI6" s="266"/>
      <c r="AJ6" s="268"/>
    </row>
    <row r="7" spans="1:37" ht="22.15" x14ac:dyDescent="0.65">
      <c r="A7" s="101"/>
      <c r="B7" s="104">
        <v>1</v>
      </c>
      <c r="C7" s="105" t="s">
        <v>64</v>
      </c>
      <c r="D7" s="106" t="s">
        <v>65</v>
      </c>
      <c r="E7" s="9">
        <v>117782.39</v>
      </c>
      <c r="F7" s="155">
        <v>4000</v>
      </c>
      <c r="G7" s="153">
        <f>+E7*F7</f>
        <v>471129560</v>
      </c>
      <c r="H7" s="107"/>
      <c r="I7" s="65">
        <v>4750</v>
      </c>
      <c r="J7" s="11">
        <f>I7*$J$6</f>
        <v>902.5</v>
      </c>
      <c r="K7" s="11">
        <f>I7+J7</f>
        <v>5652.5</v>
      </c>
      <c r="L7" s="72">
        <f>E7*K7</f>
        <v>665764959.47500002</v>
      </c>
      <c r="M7" s="113">
        <f>+IF(I7-MIN(IF($I7&gt;0,$I7,100000*100000),IF($O7&gt;0,$O7,100000*100000),IF($U7&gt;0,$U7,100000*100000),IF($AA7&gt;0,$AA7,100000*100000),IF($AG7&gt;0,$AG7,100000*100000))&gt;0,I7-MIN(IF($I7&gt;0,$I7,100000*100000),IF($O7&gt;0,$O7,100000*100000),IF($U7&gt;0,$U7,100000*100000),IF($AA7&gt;0,$AA7,100000*100000),IF($AG7&gt;0,$AG7,100000*100000)),0)</f>
        <v>0</v>
      </c>
      <c r="N7" s="12"/>
      <c r="O7" s="65">
        <v>4750</v>
      </c>
      <c r="P7" s="11">
        <f t="shared" ref="P7:P13" si="0">O7*$P$6</f>
        <v>902.5</v>
      </c>
      <c r="Q7" s="79">
        <f>O7+P7</f>
        <v>5652.5</v>
      </c>
      <c r="R7" s="66">
        <f>E7*Q7</f>
        <v>665764959.47500002</v>
      </c>
      <c r="S7" s="113">
        <f>+IF(O7-MIN(IF($I7&gt;0,$I7,100000*100000),IF($O7&gt;0,$O7,100000*100000),IF($U7&gt;0,$U7,100000*100000),IF($AA7&gt;0,$AA7,100000*100000),IF($AG7&gt;0,$AG7,100000*100000))&gt;0,O7-MIN(IF($I7&gt;0,$I7,100000*100000),IF($O7&gt;0,$O7,100000*100000),IF($U7&gt;0,$U7,100000*100000),IF($AA7&gt;0,$AA7,100000*100000),IF($AG7&gt;0,$AG7,100000*100000)),0)</f>
        <v>0</v>
      </c>
      <c r="T7" s="12"/>
      <c r="U7" s="10">
        <f>+I7*1.03</f>
        <v>4892.5</v>
      </c>
      <c r="V7" s="11">
        <f t="shared" ref="V7" si="1">U7*$P$6</f>
        <v>929.57500000000005</v>
      </c>
      <c r="W7" s="10">
        <f t="shared" ref="W7:W13" si="2">U7+V7</f>
        <v>5822.0749999999998</v>
      </c>
      <c r="X7" s="109">
        <f>E7*W7</f>
        <v>685737908.25924993</v>
      </c>
      <c r="Y7" s="113">
        <f>+IF(U7-MIN(IF($I7&gt;0,$I7,100000*100000),IF($O7&gt;0,$O7,100000*100000),IF($U7&gt;0,$U7,100000*100000),IF($AA7&gt;0,$AA7,100000*100000),IF($AG7&gt;0,$AG7,100000*100000))&gt;0,U7-MIN(IF($I7&gt;0,$I7,100000*100000),IF($O7&gt;0,$O7,100000*100000),IF($U7&gt;0,$U7,100000*100000),IF($AA7&gt;0,$AA7,100000*100000),IF($AG7&gt;0,$AG7,100000*100000)),0)</f>
        <v>142.5</v>
      </c>
      <c r="AA7" s="14"/>
      <c r="AB7" s="10">
        <f t="shared" ref="AB7" si="3">AA7*$V$6</f>
        <v>0</v>
      </c>
      <c r="AC7" s="10">
        <f>AA7+AB7</f>
        <v>0</v>
      </c>
      <c r="AD7" s="66">
        <f>E7*AC7</f>
        <v>0</v>
      </c>
      <c r="AE7" s="113">
        <f>+IF(AA7-MIN(IF($I7&gt;0,$I7,100000*100000),IF($O7&gt;0,$O7,100000*100000),IF($U7&gt;0,$U7,100000*100000),IF($AA7&gt;0,$AA7,100000*100000),IF($AG7&gt;0,$AG7,100000*100000))&gt;0,AA7-MIN(IF($I7&gt;0,$I7,100000*100000),IF($O7&gt;0,$O7,100000*100000),IF($U7&gt;0,$U7,100000*100000),IF($AA7&gt;0,$AA7,100000*100000),IF($AG7&gt;0,$AG7,100000*100000)),0)</f>
        <v>0</v>
      </c>
      <c r="AG7" s="14"/>
      <c r="AH7" s="10">
        <f>+AG7*$AH$6</f>
        <v>0</v>
      </c>
      <c r="AI7" s="10">
        <f>+AG7+AH7</f>
        <v>0</v>
      </c>
      <c r="AJ7" s="13">
        <f>+E7*AI7</f>
        <v>0</v>
      </c>
      <c r="AK7" s="113">
        <f>+IF(AG7-MIN(IF($I7&gt;0,$I7,100000*100000),IF($O7&gt;0,$O7,100000*100000),IF($U7&gt;0,$U7,100000*100000),IF($AA7&gt;0,$AA7,100000*100000),IF($AG7&gt;0,$AG7,100000*100000))&gt;0,AG7-MIN(IF($I7&gt;0,$I7,100000*100000),IF($O7&gt;0,$O7,100000*100000),IF($U7&gt;0,$U7,100000*100000),IF($AA7&gt;0,$AA7,100000*100000),IF($AG7&gt;0,$AG7,100000*100000)),0)</f>
        <v>0</v>
      </c>
    </row>
    <row r="8" spans="1:37" s="100" customFormat="1" ht="22.5" thickBot="1" x14ac:dyDescent="0.85">
      <c r="A8" s="96"/>
      <c r="B8" s="97"/>
      <c r="C8" s="103" t="s">
        <v>66</v>
      </c>
      <c r="D8" s="99" t="s">
        <v>65</v>
      </c>
      <c r="E8" s="16">
        <v>11192.55</v>
      </c>
      <c r="F8" s="155">
        <v>5500</v>
      </c>
      <c r="G8" s="151">
        <f t="shared" ref="G8:G10" si="4">+E8*F8</f>
        <v>61559024.999999993</v>
      </c>
      <c r="H8" s="17"/>
      <c r="I8" s="65">
        <v>6500</v>
      </c>
      <c r="J8" s="11">
        <f t="shared" ref="J8:J9" si="5">I8*$J$6</f>
        <v>1235</v>
      </c>
      <c r="K8" s="11">
        <f t="shared" ref="K8:K9" si="6">I8+J8</f>
        <v>7735</v>
      </c>
      <c r="L8" s="72">
        <f t="shared" ref="L8:L9" si="7">E8*K8</f>
        <v>86574374.25</v>
      </c>
      <c r="M8" s="113"/>
      <c r="N8" s="17"/>
      <c r="O8" s="65">
        <v>6500</v>
      </c>
      <c r="P8" s="11">
        <f t="shared" ref="P8:P9" si="8">O8*$P$6</f>
        <v>1235</v>
      </c>
      <c r="Q8" s="79">
        <f t="shared" ref="Q8:Q9" si="9">O8+P8</f>
        <v>7735</v>
      </c>
      <c r="R8" s="66">
        <f t="shared" ref="R8:R9" si="10">E8*Q8</f>
        <v>86574374.25</v>
      </c>
      <c r="S8" s="113"/>
      <c r="T8" s="17"/>
      <c r="U8" s="10">
        <f t="shared" ref="U8:U9" si="11">+I8*1.03</f>
        <v>6695</v>
      </c>
      <c r="V8" s="11">
        <f t="shared" ref="V8:V9" si="12">U8*$P$6</f>
        <v>1272.05</v>
      </c>
      <c r="W8" s="10">
        <f t="shared" ref="W8:W9" si="13">U8+V8</f>
        <v>7967.05</v>
      </c>
      <c r="X8" s="109">
        <f t="shared" ref="X8:X9" si="14">E8*W8</f>
        <v>89171605.477499992</v>
      </c>
      <c r="Y8" s="113"/>
      <c r="AA8" s="14"/>
      <c r="AB8" s="10"/>
      <c r="AC8" s="10"/>
      <c r="AD8" s="66"/>
      <c r="AE8" s="113"/>
      <c r="AG8" s="14"/>
      <c r="AH8" s="10"/>
      <c r="AI8" s="10"/>
      <c r="AJ8" s="13"/>
      <c r="AK8" s="113"/>
    </row>
    <row r="9" spans="1:37" s="100" customFormat="1" ht="22.15" x14ac:dyDescent="0.8">
      <c r="A9" s="101"/>
      <c r="B9" s="102"/>
      <c r="C9" s="103" t="s">
        <v>67</v>
      </c>
      <c r="D9" s="99" t="s">
        <v>65</v>
      </c>
      <c r="E9" s="16">
        <v>4225.3500000000004</v>
      </c>
      <c r="F9" s="156">
        <v>11702</v>
      </c>
      <c r="G9" s="151">
        <f t="shared" si="4"/>
        <v>49445045.700000003</v>
      </c>
      <c r="H9" s="17"/>
      <c r="I9" s="65">
        <v>6000</v>
      </c>
      <c r="J9" s="11">
        <f t="shared" si="5"/>
        <v>1140</v>
      </c>
      <c r="K9" s="11">
        <f t="shared" si="6"/>
        <v>7140</v>
      </c>
      <c r="L9" s="72">
        <f t="shared" si="7"/>
        <v>30168999.000000004</v>
      </c>
      <c r="M9" s="113"/>
      <c r="N9" s="17"/>
      <c r="O9" s="65">
        <v>6000</v>
      </c>
      <c r="P9" s="11">
        <f t="shared" si="8"/>
        <v>1140</v>
      </c>
      <c r="Q9" s="79">
        <f t="shared" si="9"/>
        <v>7140</v>
      </c>
      <c r="R9" s="66">
        <f t="shared" si="10"/>
        <v>30168999.000000004</v>
      </c>
      <c r="S9" s="113"/>
      <c r="T9" s="17"/>
      <c r="U9" s="10">
        <f t="shared" si="11"/>
        <v>6180</v>
      </c>
      <c r="V9" s="11">
        <f t="shared" si="12"/>
        <v>1174.2</v>
      </c>
      <c r="W9" s="10">
        <f t="shared" si="13"/>
        <v>7354.2</v>
      </c>
      <c r="X9" s="109">
        <f t="shared" si="14"/>
        <v>31074068.970000003</v>
      </c>
      <c r="Y9" s="113"/>
      <c r="AA9" s="14"/>
      <c r="AB9" s="10"/>
      <c r="AC9" s="10"/>
      <c r="AD9" s="66"/>
      <c r="AE9" s="113"/>
      <c r="AG9" s="14"/>
      <c r="AH9" s="10"/>
      <c r="AI9" s="10"/>
      <c r="AJ9" s="13"/>
      <c r="AK9" s="113"/>
    </row>
    <row r="10" spans="1:37" s="100" customFormat="1" ht="22.15" hidden="1" x14ac:dyDescent="0.65">
      <c r="A10" s="96"/>
      <c r="B10" s="97"/>
      <c r="C10" s="98"/>
      <c r="D10" s="99"/>
      <c r="E10" s="16"/>
      <c r="F10" s="156">
        <v>44000</v>
      </c>
      <c r="G10" s="151">
        <f t="shared" si="4"/>
        <v>0</v>
      </c>
      <c r="H10" s="17"/>
      <c r="I10" s="65"/>
      <c r="J10" s="11"/>
      <c r="K10" s="11"/>
      <c r="L10" s="72"/>
      <c r="M10" s="113"/>
      <c r="N10" s="17"/>
      <c r="O10" s="65"/>
      <c r="P10" s="11"/>
      <c r="Q10" s="79"/>
      <c r="R10" s="66"/>
      <c r="S10" s="113"/>
      <c r="T10" s="17"/>
      <c r="U10" s="75"/>
      <c r="V10" s="10"/>
      <c r="W10" s="10"/>
      <c r="X10" s="66"/>
      <c r="Y10" s="113"/>
      <c r="AA10" s="14"/>
      <c r="AB10" s="10"/>
      <c r="AC10" s="10"/>
      <c r="AD10" s="66"/>
      <c r="AE10" s="113"/>
      <c r="AG10" s="14"/>
      <c r="AH10" s="10"/>
      <c r="AI10" s="10"/>
      <c r="AJ10" s="13"/>
      <c r="AK10" s="113"/>
    </row>
    <row r="11" spans="1:37" s="100" customFormat="1" ht="22.15" hidden="1" x14ac:dyDescent="0.65">
      <c r="A11" s="101"/>
      <c r="B11" s="102"/>
      <c r="C11" s="98"/>
      <c r="D11" s="99"/>
      <c r="E11" s="16"/>
      <c r="F11" s="156"/>
      <c r="G11" s="151"/>
      <c r="H11" s="17"/>
      <c r="I11" s="67"/>
      <c r="J11" s="11"/>
      <c r="K11" s="11"/>
      <c r="L11" s="72"/>
      <c r="M11" s="113"/>
      <c r="N11" s="17"/>
      <c r="O11" s="65"/>
      <c r="P11" s="11"/>
      <c r="Q11" s="79"/>
      <c r="R11" s="66"/>
      <c r="S11" s="113"/>
      <c r="T11" s="17"/>
      <c r="U11" s="75"/>
      <c r="V11" s="10"/>
      <c r="W11" s="10"/>
      <c r="X11" s="66"/>
      <c r="Y11" s="113"/>
      <c r="AA11" s="14"/>
      <c r="AB11" s="10"/>
      <c r="AC11" s="10"/>
      <c r="AD11" s="66"/>
      <c r="AE11" s="113"/>
      <c r="AG11" s="14"/>
      <c r="AH11" s="10"/>
      <c r="AI11" s="10"/>
      <c r="AJ11" s="13"/>
      <c r="AK11" s="113"/>
    </row>
    <row r="12" spans="1:37" s="100" customFormat="1" ht="22.15" hidden="1" x14ac:dyDescent="0.65">
      <c r="A12" s="96"/>
      <c r="B12" s="97">
        <v>6</v>
      </c>
      <c r="C12" s="98"/>
      <c r="D12" s="99"/>
      <c r="E12" s="16"/>
      <c r="F12" s="156"/>
      <c r="G12" s="151"/>
      <c r="H12" s="17"/>
      <c r="I12" s="65"/>
      <c r="J12" s="11">
        <f t="shared" ref="J12:J13" si="15">I12*$J$6</f>
        <v>0</v>
      </c>
      <c r="K12" s="11">
        <f t="shared" ref="K12:K13" si="16">I12+J12</f>
        <v>0</v>
      </c>
      <c r="L12" s="72">
        <f t="shared" ref="L12:L13" si="17">E12*K12</f>
        <v>0</v>
      </c>
      <c r="M12" s="113">
        <f t="shared" ref="M12:M13" si="18">+IF(I12-MIN(IF($I12&gt;0,$I12,100000*100000),IF($O12&gt;0,$O12,100000*100000),IF($U12&gt;0,$U12,100000*100000),IF($AA12&gt;0,$AA12,100000*100000),IF($AG12&gt;0,$AG12,100000*100000))&gt;0,I12-MIN(IF($I12&gt;0,$I12,100000*100000),IF($O12&gt;0,$O12,100000*100000),IF($U12&gt;0,$U12,100000*100000),IF($AA12&gt;0,$AA12,100000*100000),IF($AG12&gt;0,$AG12,100000*100000)),0)</f>
        <v>0</v>
      </c>
      <c r="N12" s="17"/>
      <c r="O12" s="65"/>
      <c r="P12" s="11">
        <f t="shared" si="0"/>
        <v>0</v>
      </c>
      <c r="Q12" s="79">
        <f t="shared" ref="Q12:Q13" si="19">O12+P12</f>
        <v>0</v>
      </c>
      <c r="R12" s="66">
        <f t="shared" ref="R12:R13" si="20">E12*Q12</f>
        <v>0</v>
      </c>
      <c r="S12" s="113">
        <f t="shared" ref="S12:S13" si="21">+IF(O12-MIN(IF($I12&gt;0,$I12,100000*100000),IF($O12&gt;0,$O12,100000*100000),IF($U12&gt;0,$U12,100000*100000),IF($AA12&gt;0,$AA12,100000*100000),IF($AG12&gt;0,$AG12,100000*100000))&gt;0,O12-MIN(IF($I12&gt;0,$I12,100000*100000),IF($O12&gt;0,$O12,100000*100000),IF($U12&gt;0,$U12,100000*100000),IF($AA12&gt;0,$AA12,100000*100000),IF($AG12&gt;0,$AG12,100000*100000)),0)</f>
        <v>0</v>
      </c>
      <c r="T12" s="17"/>
      <c r="U12" s="110"/>
      <c r="V12" s="10">
        <f t="shared" ref="V12:V13" si="22">U12*$V$6</f>
        <v>0</v>
      </c>
      <c r="W12" s="10">
        <f t="shared" si="2"/>
        <v>0</v>
      </c>
      <c r="X12" s="66">
        <f t="shared" ref="X12:X13" si="23">E12*W12</f>
        <v>0</v>
      </c>
      <c r="Y12" s="113">
        <f t="shared" ref="Y12:Y13" si="24">+IF(U12-MIN(IF($I12&gt;0,$I12,100000*100000),IF($O12&gt;0,$O12,100000*100000),IF($U12&gt;0,$U12,100000*100000),IF($AA12&gt;0,$AA12,100000*100000),IF($AG12&gt;0,$AG12,100000*100000))&gt;0,U12-MIN(IF($I12&gt;0,$I12,100000*100000),IF($O12&gt;0,$O12,100000*100000),IF($U12&gt;0,$U12,100000*100000),IF($AA12&gt;0,$AA12,100000*100000),IF($AG12&gt;0,$AG12,100000*100000)),0)</f>
        <v>0</v>
      </c>
      <c r="AA12" s="14"/>
      <c r="AB12" s="10">
        <f t="shared" ref="AB12:AB13" si="25">+AA12*$AB$6</f>
        <v>0</v>
      </c>
      <c r="AC12" s="10">
        <f t="shared" ref="AC12:AC13" si="26">+AA12+AB12</f>
        <v>0</v>
      </c>
      <c r="AD12" s="66">
        <f t="shared" ref="AD12:AD13" si="27">E12*AC12</f>
        <v>0</v>
      </c>
      <c r="AE12" s="113">
        <f t="shared" ref="AE12:AE13" si="28">+IF(AA12-MIN(IF($I12&gt;0,$I12,100000*100000),IF($O12&gt;0,$O12,100000*100000),IF($U12&gt;0,$U12,100000*100000),IF($AA12&gt;0,$AA12,100000*100000),IF($AG12&gt;0,$AG12,100000*100000))&gt;0,AA12-MIN(IF($I12&gt;0,$I12,100000*100000),IF($O12&gt;0,$O12,100000*100000),IF($U12&gt;0,$U12,100000*100000),IF($AA12&gt;0,$AA12,100000*100000),IF($AG12&gt;0,$AG12,100000*100000)),0)</f>
        <v>0</v>
      </c>
      <c r="AG12" s="14"/>
      <c r="AH12" s="10"/>
      <c r="AI12" s="10"/>
      <c r="AJ12" s="13"/>
      <c r="AK12" s="113">
        <f t="shared" ref="AK12:AK13" si="29">+IF(AG12-MIN(IF($I12&gt;0,$I12,100000*100000),IF($O12&gt;0,$O12,100000*100000),IF($U12&gt;0,$U12,100000*100000),IF($AA12&gt;0,$AA12,100000*100000),IF($AG12&gt;0,$AG12,100000*100000))&gt;0,AG12-MIN(IF($I12&gt;0,$I12,100000*100000),IF($O12&gt;0,$O12,100000*100000),IF($U12&gt;0,$U12,100000*100000),IF($AA12&gt;0,$AA12,100000*100000),IF($AG12&gt;0,$AG12,100000*100000)),0)</f>
        <v>0</v>
      </c>
    </row>
    <row r="13" spans="1:37" s="100" customFormat="1" ht="22.15" hidden="1" x14ac:dyDescent="0.65">
      <c r="A13" s="101"/>
      <c r="B13" s="102">
        <v>7</v>
      </c>
      <c r="C13" s="98"/>
      <c r="D13" s="99"/>
      <c r="E13" s="16"/>
      <c r="F13" s="156"/>
      <c r="G13" s="151"/>
      <c r="H13" s="17"/>
      <c r="I13" s="65"/>
      <c r="J13" s="11">
        <f t="shared" si="15"/>
        <v>0</v>
      </c>
      <c r="K13" s="11">
        <f t="shared" si="16"/>
        <v>0</v>
      </c>
      <c r="L13" s="72">
        <f t="shared" si="17"/>
        <v>0</v>
      </c>
      <c r="M13" s="113">
        <f t="shared" si="18"/>
        <v>0</v>
      </c>
      <c r="N13" s="17"/>
      <c r="O13" s="65"/>
      <c r="P13" s="11">
        <f t="shared" si="0"/>
        <v>0</v>
      </c>
      <c r="Q13" s="79">
        <f t="shared" si="19"/>
        <v>0</v>
      </c>
      <c r="R13" s="66">
        <f t="shared" si="20"/>
        <v>0</v>
      </c>
      <c r="S13" s="113">
        <f t="shared" si="21"/>
        <v>0</v>
      </c>
      <c r="T13" s="17"/>
      <c r="U13" s="76"/>
      <c r="V13" s="10">
        <f t="shared" si="22"/>
        <v>0</v>
      </c>
      <c r="W13" s="10">
        <f t="shared" si="2"/>
        <v>0</v>
      </c>
      <c r="X13" s="66">
        <f t="shared" si="23"/>
        <v>0</v>
      </c>
      <c r="Y13" s="113">
        <f t="shared" si="24"/>
        <v>0</v>
      </c>
      <c r="AA13" s="14"/>
      <c r="AB13" s="10">
        <f t="shared" si="25"/>
        <v>0</v>
      </c>
      <c r="AC13" s="10">
        <f t="shared" si="26"/>
        <v>0</v>
      </c>
      <c r="AD13" s="66">
        <f t="shared" si="27"/>
        <v>0</v>
      </c>
      <c r="AE13" s="113">
        <f t="shared" si="28"/>
        <v>0</v>
      </c>
      <c r="AG13" s="14"/>
      <c r="AH13" s="10"/>
      <c r="AI13" s="10"/>
      <c r="AJ13" s="13"/>
      <c r="AK13" s="113">
        <f t="shared" si="29"/>
        <v>0</v>
      </c>
    </row>
    <row r="14" spans="1:37" ht="22.5" hidden="1" thickBot="1" x14ac:dyDescent="0.85">
      <c r="A14" s="18"/>
      <c r="B14" s="18"/>
      <c r="C14" s="19"/>
      <c r="D14" s="20"/>
      <c r="E14" s="21"/>
      <c r="F14" s="157"/>
      <c r="G14" s="152"/>
      <c r="H14" s="22"/>
      <c r="I14" s="73"/>
      <c r="J14" s="71"/>
      <c r="K14" s="71"/>
      <c r="L14" s="74"/>
      <c r="M14" s="26"/>
      <c r="N14" s="26"/>
      <c r="O14" s="68"/>
      <c r="P14" s="71"/>
      <c r="Q14" s="71"/>
      <c r="R14" s="69"/>
      <c r="S14" s="17"/>
      <c r="T14" s="26"/>
      <c r="U14" s="73"/>
      <c r="V14" s="70"/>
      <c r="W14" s="70"/>
      <c r="X14" s="74"/>
      <c r="Y14" s="26"/>
      <c r="AA14" s="23"/>
      <c r="AB14" s="24"/>
      <c r="AC14" s="24"/>
      <c r="AD14" s="25"/>
      <c r="AE14" s="26"/>
      <c r="AG14" s="23"/>
      <c r="AH14" s="24"/>
      <c r="AI14" s="24"/>
      <c r="AJ14" s="25"/>
    </row>
    <row r="15" spans="1:37" ht="22.5" thickBot="1" x14ac:dyDescent="0.85">
      <c r="A15" s="27"/>
      <c r="B15" s="27"/>
      <c r="C15" s="28"/>
      <c r="D15" s="63"/>
      <c r="E15" s="64"/>
      <c r="F15" s="149"/>
      <c r="G15" s="149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AA15" s="30"/>
      <c r="AB15" s="30"/>
      <c r="AC15" s="30"/>
      <c r="AD15" s="30"/>
      <c r="AE15" s="30"/>
      <c r="AG15" s="30"/>
      <c r="AH15" s="30"/>
      <c r="AI15" s="30"/>
      <c r="AJ15" s="30"/>
    </row>
    <row r="16" spans="1:37" s="4" customFormat="1" ht="25.5" x14ac:dyDescent="0.8">
      <c r="A16" s="61"/>
      <c r="B16" s="27"/>
      <c r="C16" s="275" t="s">
        <v>30</v>
      </c>
      <c r="D16" s="276"/>
      <c r="E16" s="276"/>
      <c r="F16" s="342">
        <f>SUM(G7:G10)</f>
        <v>582133630.70000005</v>
      </c>
      <c r="G16" s="343"/>
      <c r="H16" s="31"/>
      <c r="I16" s="281"/>
      <c r="J16" s="282"/>
      <c r="K16" s="282"/>
      <c r="L16" s="285">
        <f>SUM(L7:L14)</f>
        <v>782508332.72500002</v>
      </c>
      <c r="M16" s="114"/>
      <c r="N16" s="32"/>
      <c r="O16" s="281"/>
      <c r="P16" s="282"/>
      <c r="Q16" s="282"/>
      <c r="R16" s="285">
        <f>SUM(R7:R14)</f>
        <v>782508332.72500002</v>
      </c>
      <c r="S16" s="114"/>
      <c r="T16" s="32"/>
      <c r="U16" s="281"/>
      <c r="V16" s="282"/>
      <c r="W16" s="282"/>
      <c r="X16" s="285">
        <f>SUM(X7:X14)</f>
        <v>805983582.70674992</v>
      </c>
      <c r="Y16" s="114"/>
      <c r="AA16" s="281"/>
      <c r="AB16" s="282"/>
      <c r="AC16" s="282"/>
      <c r="AD16" s="297">
        <f>SUM(AD7:AD15)</f>
        <v>0</v>
      </c>
      <c r="AE16" s="127"/>
      <c r="AG16" s="281"/>
      <c r="AH16" s="282"/>
      <c r="AI16" s="282"/>
      <c r="AJ16" s="299">
        <f>SUM(AJ7:AJ15)</f>
        <v>0</v>
      </c>
    </row>
    <row r="17" spans="1:36" s="4" customFormat="1" ht="25.9" thickBot="1" x14ac:dyDescent="0.85">
      <c r="A17" s="62"/>
      <c r="B17" s="27"/>
      <c r="C17" s="278"/>
      <c r="D17" s="279"/>
      <c r="E17" s="279"/>
      <c r="F17" s="344"/>
      <c r="G17" s="345"/>
      <c r="H17" s="31"/>
      <c r="I17" s="283"/>
      <c r="J17" s="284"/>
      <c r="K17" s="284"/>
      <c r="L17" s="286"/>
      <c r="M17" s="114"/>
      <c r="N17" s="32"/>
      <c r="O17" s="283"/>
      <c r="P17" s="284"/>
      <c r="Q17" s="284"/>
      <c r="R17" s="286"/>
      <c r="S17" s="114"/>
      <c r="T17" s="32"/>
      <c r="U17" s="283"/>
      <c r="V17" s="284"/>
      <c r="W17" s="284"/>
      <c r="X17" s="286"/>
      <c r="Y17" s="114"/>
      <c r="AA17" s="283"/>
      <c r="AB17" s="284"/>
      <c r="AC17" s="284"/>
      <c r="AD17" s="298"/>
      <c r="AE17" s="127"/>
      <c r="AG17" s="283"/>
      <c r="AH17" s="284"/>
      <c r="AI17" s="284"/>
      <c r="AJ17" s="300"/>
    </row>
    <row r="18" spans="1:36" s="4" customFormat="1" ht="8.25" customHeight="1" thickBot="1" x14ac:dyDescent="0.85">
      <c r="A18" s="28"/>
      <c r="B18" s="28"/>
      <c r="C18" s="28"/>
      <c r="D18" s="28"/>
      <c r="E18" s="33"/>
      <c r="F18" s="33"/>
      <c r="G18" s="33"/>
      <c r="H18" s="3"/>
      <c r="I18" s="35"/>
      <c r="J18" s="35"/>
      <c r="K18" s="35"/>
      <c r="L18" s="32"/>
      <c r="M18" s="32"/>
      <c r="N18" s="32"/>
      <c r="O18" s="35"/>
      <c r="P18" s="35"/>
      <c r="Q18" s="35"/>
      <c r="R18" s="32"/>
      <c r="S18" s="32"/>
      <c r="T18" s="32"/>
      <c r="U18" s="35"/>
      <c r="V18" s="35"/>
      <c r="W18" s="35"/>
      <c r="X18" s="32"/>
      <c r="Y18" s="32"/>
      <c r="AA18" s="35"/>
      <c r="AB18" s="35"/>
      <c r="AC18" s="35"/>
      <c r="AD18" s="32"/>
      <c r="AE18" s="32"/>
      <c r="AG18" s="35"/>
      <c r="AH18" s="35"/>
      <c r="AI18" s="35"/>
      <c r="AJ18" s="32"/>
    </row>
    <row r="19" spans="1:36" s="4" customFormat="1" ht="22.5" thickBot="1" x14ac:dyDescent="0.85">
      <c r="A19" s="87"/>
      <c r="B19" s="88" t="s">
        <v>31</v>
      </c>
      <c r="C19" s="88"/>
      <c r="D19" s="88"/>
      <c r="E19" s="89"/>
      <c r="F19" s="28"/>
      <c r="G19" s="28"/>
      <c r="H19" s="36"/>
      <c r="I19" s="301"/>
      <c r="J19" s="302"/>
      <c r="K19" s="302"/>
      <c r="L19" s="37">
        <f>+L16-MIN($L$16,$R$16,$X$16)</f>
        <v>0</v>
      </c>
      <c r="M19" s="115"/>
      <c r="N19" s="38"/>
      <c r="O19" s="301"/>
      <c r="P19" s="302"/>
      <c r="Q19" s="302"/>
      <c r="R19" s="39">
        <f>+R16-MIN($L$16,$R$16,$X$16)</f>
        <v>0</v>
      </c>
      <c r="S19" s="119"/>
      <c r="T19" s="38"/>
      <c r="U19" s="301"/>
      <c r="V19" s="302"/>
      <c r="W19" s="302"/>
      <c r="X19" s="40">
        <f>+X16-MIN($L$16,$R$16,$X$16)</f>
        <v>23475249.981749892</v>
      </c>
      <c r="Y19" s="123"/>
      <c r="AA19" s="301"/>
      <c r="AB19" s="302"/>
      <c r="AC19" s="302"/>
      <c r="AD19" s="41">
        <f>+AD16-MIN($L$16,$R$16,$X$16)</f>
        <v>-782508332.72500002</v>
      </c>
      <c r="AE19" s="128"/>
      <c r="AG19" s="301"/>
      <c r="AH19" s="302"/>
      <c r="AI19" s="302"/>
      <c r="AJ19" s="93">
        <f>+AJ16-MIN($L$16,$R$16,$X$16)</f>
        <v>-782508332.72500002</v>
      </c>
    </row>
    <row r="20" spans="1:36" s="4" customFormat="1" ht="22.5" thickBot="1" x14ac:dyDescent="0.85">
      <c r="A20" s="84"/>
      <c r="B20" s="85" t="s">
        <v>32</v>
      </c>
      <c r="C20" s="85"/>
      <c r="D20" s="85"/>
      <c r="E20" s="86"/>
      <c r="F20" s="46"/>
      <c r="G20" s="46"/>
      <c r="H20" s="36"/>
      <c r="I20" s="303"/>
      <c r="J20" s="304"/>
      <c r="K20" s="304"/>
      <c r="L20" s="42">
        <f>+L19/MIN($L$16,$X$16)</f>
        <v>0</v>
      </c>
      <c r="M20" s="116"/>
      <c r="N20" s="43"/>
      <c r="O20" s="303"/>
      <c r="P20" s="304"/>
      <c r="Q20" s="304"/>
      <c r="R20" s="44">
        <f>+R19/MIN($L$16,$R$16,$X$16)</f>
        <v>0</v>
      </c>
      <c r="S20" s="120"/>
      <c r="T20" s="43"/>
      <c r="U20" s="303"/>
      <c r="V20" s="304"/>
      <c r="W20" s="304"/>
      <c r="X20" s="130">
        <f>+X19/MIN($L$16,$X$16)</f>
        <v>2.999999999999986E-2</v>
      </c>
      <c r="Y20" s="124"/>
      <c r="AA20" s="303"/>
      <c r="AB20" s="304"/>
      <c r="AC20" s="304"/>
      <c r="AD20" s="45">
        <f>+AD19/MIN($L$16,$R$16,$X$16)</f>
        <v>-1</v>
      </c>
      <c r="AE20" s="129"/>
      <c r="AG20" s="303"/>
      <c r="AH20" s="304"/>
      <c r="AI20" s="304"/>
      <c r="AJ20" s="94">
        <f>+AJ19/MIN($L$16,$R$16,$X$16)</f>
        <v>-1</v>
      </c>
    </row>
    <row r="21" spans="1:36" s="4" customFormat="1" ht="7.5" customHeight="1" x14ac:dyDescent="0.8">
      <c r="A21" s="46"/>
      <c r="B21" s="46"/>
      <c r="C21" s="46"/>
      <c r="D21" s="46"/>
      <c r="E21" s="33"/>
      <c r="F21" s="33"/>
      <c r="G21" s="33"/>
      <c r="H21" s="34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AA21" s="47"/>
      <c r="AB21" s="47"/>
      <c r="AC21" s="47"/>
      <c r="AD21" s="47"/>
      <c r="AE21" s="47"/>
      <c r="AG21" s="47"/>
      <c r="AH21" s="47"/>
      <c r="AI21" s="47"/>
      <c r="AJ21" s="47"/>
    </row>
    <row r="22" spans="1:36" ht="9" customHeight="1" thickBot="1" x14ac:dyDescent="0.6">
      <c r="A22" s="48"/>
      <c r="B22" s="82"/>
      <c r="C22" s="82"/>
      <c r="D22" s="82"/>
      <c r="E22" s="82"/>
      <c r="F22" s="82"/>
      <c r="G22" s="82"/>
      <c r="H22" s="2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AA22" s="49"/>
      <c r="AB22" s="49"/>
      <c r="AC22" s="49"/>
      <c r="AD22" s="49"/>
      <c r="AE22" s="49"/>
      <c r="AG22" s="49"/>
      <c r="AH22" s="49"/>
      <c r="AI22" s="49"/>
      <c r="AJ22" s="49"/>
    </row>
    <row r="23" spans="1:36" ht="15" customHeight="1" x14ac:dyDescent="0.55000000000000004">
      <c r="A23" s="80"/>
      <c r="B23" s="82"/>
      <c r="C23" s="82"/>
      <c r="D23" s="82"/>
      <c r="E23" s="82"/>
      <c r="F23" s="82"/>
      <c r="G23" s="82"/>
      <c r="H23" s="50"/>
      <c r="I23" s="60" t="s">
        <v>33</v>
      </c>
      <c r="J23" s="293" t="s">
        <v>68</v>
      </c>
      <c r="K23" s="293"/>
      <c r="L23" s="294"/>
      <c r="M23" s="133"/>
      <c r="N23" s="133"/>
      <c r="O23" s="60" t="s">
        <v>33</v>
      </c>
      <c r="P23" s="293" t="s">
        <v>35</v>
      </c>
      <c r="Q23" s="293"/>
      <c r="R23" s="294"/>
      <c r="S23" s="133"/>
      <c r="T23" s="133"/>
      <c r="U23" s="60" t="s">
        <v>33</v>
      </c>
      <c r="V23" s="293" t="s">
        <v>35</v>
      </c>
      <c r="W23" s="293"/>
      <c r="X23" s="294"/>
      <c r="Y23" s="133"/>
      <c r="AA23" s="60" t="s">
        <v>33</v>
      </c>
      <c r="AB23" s="293" t="s">
        <v>35</v>
      </c>
      <c r="AC23" s="293"/>
      <c r="AD23" s="294"/>
      <c r="AE23" s="133"/>
      <c r="AG23" s="60" t="s">
        <v>33</v>
      </c>
      <c r="AH23" s="293" t="s">
        <v>35</v>
      </c>
      <c r="AI23" s="293"/>
      <c r="AJ23" s="294"/>
    </row>
    <row r="24" spans="1:36" ht="15" customHeight="1" x14ac:dyDescent="0.55000000000000004">
      <c r="A24" s="81"/>
      <c r="B24" s="82"/>
      <c r="C24" s="82"/>
      <c r="D24" s="82"/>
      <c r="E24" s="82"/>
      <c r="F24" s="82"/>
      <c r="G24" s="82"/>
      <c r="H24" s="50"/>
      <c r="I24" s="51"/>
      <c r="J24" s="53"/>
      <c r="K24" s="53"/>
      <c r="L24" s="54"/>
      <c r="M24" s="53"/>
      <c r="N24" s="53"/>
      <c r="O24" s="51"/>
      <c r="P24" s="53"/>
      <c r="Q24" s="53"/>
      <c r="R24" s="54"/>
      <c r="S24" s="53"/>
      <c r="T24" s="53"/>
      <c r="U24" s="51"/>
      <c r="V24" s="53"/>
      <c r="W24" s="53"/>
      <c r="X24" s="54"/>
      <c r="Y24" s="53"/>
      <c r="AA24" s="51"/>
      <c r="AB24" s="53"/>
      <c r="AC24" s="53"/>
      <c r="AD24" s="54"/>
      <c r="AE24" s="53"/>
      <c r="AG24" s="51"/>
      <c r="AH24" s="53"/>
      <c r="AI24" s="53"/>
      <c r="AJ24" s="54"/>
    </row>
    <row r="25" spans="1:36" ht="15" customHeight="1" x14ac:dyDescent="0.55000000000000004">
      <c r="A25" s="81"/>
      <c r="B25" s="82"/>
      <c r="C25" s="82"/>
      <c r="D25" s="82"/>
      <c r="E25" s="82"/>
      <c r="F25" s="82"/>
      <c r="G25" s="82"/>
      <c r="H25" s="50"/>
      <c r="I25" s="51" t="s">
        <v>36</v>
      </c>
      <c r="J25" s="52"/>
      <c r="K25" s="52"/>
      <c r="L25" s="55"/>
      <c r="M25" s="52"/>
      <c r="N25" s="139"/>
      <c r="O25" s="131" t="s">
        <v>36</v>
      </c>
      <c r="P25" s="90"/>
      <c r="Q25" s="90"/>
      <c r="R25" s="91"/>
      <c r="S25" s="90"/>
      <c r="T25" s="139"/>
      <c r="U25" s="131" t="s">
        <v>36</v>
      </c>
      <c r="V25" s="295"/>
      <c r="W25" s="295"/>
      <c r="X25" s="296"/>
      <c r="Y25" s="139"/>
      <c r="AA25" s="131" t="s">
        <v>36</v>
      </c>
      <c r="AB25" s="295"/>
      <c r="AC25" s="295"/>
      <c r="AD25" s="296"/>
      <c r="AE25" s="139"/>
      <c r="AG25" s="131" t="s">
        <v>36</v>
      </c>
      <c r="AH25" s="295"/>
      <c r="AI25" s="295"/>
      <c r="AJ25" s="296"/>
    </row>
    <row r="26" spans="1:36" ht="15" customHeight="1" x14ac:dyDescent="0.55000000000000004">
      <c r="A26" s="81"/>
      <c r="B26" s="82"/>
      <c r="C26" s="82"/>
      <c r="D26" s="82"/>
      <c r="E26" s="82"/>
      <c r="F26" s="82"/>
      <c r="G26" s="82"/>
      <c r="H26" s="50"/>
      <c r="I26" s="51"/>
      <c r="J26" s="53"/>
      <c r="K26" s="53"/>
      <c r="L26" s="54"/>
      <c r="M26" s="53"/>
      <c r="N26" s="53"/>
      <c r="O26" s="51"/>
      <c r="P26" s="53"/>
      <c r="Q26" s="53"/>
      <c r="R26" s="54"/>
      <c r="S26" s="53"/>
      <c r="T26" s="53"/>
      <c r="U26" s="51"/>
      <c r="V26" s="53"/>
      <c r="W26" s="53"/>
      <c r="X26" s="54"/>
      <c r="Y26" s="53"/>
      <c r="AA26" s="51"/>
      <c r="AB26" s="53"/>
      <c r="AC26" s="53"/>
      <c r="AD26" s="54"/>
      <c r="AE26" s="53"/>
      <c r="AG26" s="51"/>
      <c r="AH26" s="53"/>
      <c r="AI26" s="53"/>
      <c r="AJ26" s="54"/>
    </row>
    <row r="27" spans="1:36" ht="15" customHeight="1" x14ac:dyDescent="0.55000000000000004">
      <c r="A27" s="81"/>
      <c r="B27" s="82"/>
      <c r="C27" s="95" t="s">
        <v>37</v>
      </c>
      <c r="D27" s="82"/>
      <c r="E27" s="82"/>
      <c r="F27" s="82"/>
      <c r="G27" s="82"/>
      <c r="H27" s="50"/>
      <c r="I27" s="131" t="s">
        <v>38</v>
      </c>
      <c r="J27" s="305"/>
      <c r="K27" s="305"/>
      <c r="L27" s="306"/>
      <c r="M27" s="133"/>
      <c r="N27" s="133"/>
      <c r="O27" s="131" t="s">
        <v>38</v>
      </c>
      <c r="P27" s="305"/>
      <c r="Q27" s="305"/>
      <c r="R27" s="306"/>
      <c r="S27" s="133"/>
      <c r="T27" s="133"/>
      <c r="U27" s="131" t="s">
        <v>38</v>
      </c>
      <c r="V27" s="305"/>
      <c r="W27" s="305"/>
      <c r="X27" s="306"/>
      <c r="Y27" s="133"/>
      <c r="AA27" s="131" t="s">
        <v>38</v>
      </c>
      <c r="AB27" s="305"/>
      <c r="AC27" s="305"/>
      <c r="AD27" s="306"/>
      <c r="AE27" s="133"/>
      <c r="AG27" s="131" t="s">
        <v>38</v>
      </c>
      <c r="AH27" s="305"/>
      <c r="AI27" s="305"/>
      <c r="AJ27" s="306"/>
    </row>
    <row r="28" spans="1:36" ht="15" customHeight="1" x14ac:dyDescent="0.55000000000000004">
      <c r="A28" s="81"/>
      <c r="B28" s="82"/>
      <c r="C28" s="82" t="s">
        <v>39</v>
      </c>
      <c r="D28" s="82"/>
      <c r="E28" s="82"/>
      <c r="F28" s="82"/>
      <c r="G28" s="82"/>
      <c r="H28" s="50"/>
      <c r="I28" s="51"/>
      <c r="J28" s="52"/>
      <c r="K28" s="52"/>
      <c r="L28" s="55"/>
      <c r="M28" s="52"/>
      <c r="N28" s="52"/>
      <c r="O28" s="51"/>
      <c r="P28" s="52"/>
      <c r="Q28" s="52"/>
      <c r="R28" s="55"/>
      <c r="S28" s="52"/>
      <c r="T28" s="52"/>
      <c r="U28" s="51"/>
      <c r="V28" s="52"/>
      <c r="W28" s="52"/>
      <c r="X28" s="55"/>
      <c r="Y28" s="52"/>
      <c r="AA28" s="51"/>
      <c r="AB28" s="52"/>
      <c r="AC28" s="52"/>
      <c r="AD28" s="55"/>
      <c r="AE28" s="52"/>
      <c r="AG28" s="51"/>
      <c r="AH28" s="52"/>
      <c r="AI28" s="52"/>
      <c r="AJ28" s="55"/>
    </row>
    <row r="29" spans="1:36" ht="15" customHeight="1" x14ac:dyDescent="0.55000000000000004">
      <c r="A29" s="81"/>
      <c r="B29" s="82"/>
      <c r="C29" s="82" t="s">
        <v>40</v>
      </c>
      <c r="D29" s="82"/>
      <c r="E29" s="82"/>
      <c r="F29" s="82"/>
      <c r="G29" s="82"/>
      <c r="H29" s="50"/>
      <c r="I29" s="307" t="s">
        <v>41</v>
      </c>
      <c r="J29" s="308"/>
      <c r="K29" s="305"/>
      <c r="L29" s="306"/>
      <c r="M29" s="133"/>
      <c r="N29" s="133"/>
      <c r="O29" s="51" t="s">
        <v>41</v>
      </c>
      <c r="P29" s="52"/>
      <c r="Q29" s="52"/>
      <c r="R29" s="55"/>
      <c r="S29" s="52"/>
      <c r="T29" s="133"/>
      <c r="U29" s="307" t="s">
        <v>41</v>
      </c>
      <c r="V29" s="308"/>
      <c r="W29" s="305"/>
      <c r="X29" s="306"/>
      <c r="Y29" s="133"/>
      <c r="AA29" s="307" t="s">
        <v>41</v>
      </c>
      <c r="AB29" s="308"/>
      <c r="AC29" s="305"/>
      <c r="AD29" s="306"/>
      <c r="AE29" s="133"/>
      <c r="AG29" s="307" t="s">
        <v>41</v>
      </c>
      <c r="AH29" s="308"/>
      <c r="AI29" s="305"/>
      <c r="AJ29" s="306"/>
    </row>
    <row r="30" spans="1:36" ht="15" customHeight="1" x14ac:dyDescent="0.55000000000000004">
      <c r="A30" s="81"/>
      <c r="B30" s="82"/>
      <c r="C30" s="82" t="s">
        <v>42</v>
      </c>
      <c r="D30" s="82"/>
      <c r="E30" s="82"/>
      <c r="F30" s="82"/>
      <c r="G30" s="82"/>
      <c r="H30" s="50"/>
      <c r="I30" s="131"/>
      <c r="J30" s="132"/>
      <c r="K30" s="133"/>
      <c r="L30" s="134"/>
      <c r="M30" s="133"/>
      <c r="N30" s="133"/>
      <c r="O30" s="131"/>
      <c r="P30" s="132"/>
      <c r="Q30" s="133"/>
      <c r="R30" s="134"/>
      <c r="S30" s="133"/>
      <c r="T30" s="133"/>
      <c r="U30" s="131"/>
      <c r="V30" s="132"/>
      <c r="W30" s="133"/>
      <c r="X30" s="134"/>
      <c r="Y30" s="133"/>
      <c r="AA30" s="131"/>
      <c r="AB30" s="132"/>
      <c r="AC30" s="133"/>
      <c r="AD30" s="134"/>
      <c r="AE30" s="133"/>
      <c r="AG30" s="131"/>
      <c r="AH30" s="132"/>
      <c r="AI30" s="133"/>
      <c r="AJ30" s="134"/>
    </row>
    <row r="31" spans="1:36" ht="15" customHeight="1" x14ac:dyDescent="0.55000000000000004">
      <c r="A31" s="81"/>
      <c r="B31" s="82"/>
      <c r="C31" s="82" t="s">
        <v>43</v>
      </c>
      <c r="D31" s="82"/>
      <c r="E31" s="82"/>
      <c r="F31" s="82"/>
      <c r="G31" s="82"/>
      <c r="H31" s="50"/>
      <c r="I31" s="131" t="s">
        <v>44</v>
      </c>
      <c r="J31" s="52"/>
      <c r="K31" s="52"/>
      <c r="L31" s="55"/>
      <c r="M31" s="52"/>
      <c r="N31" s="135"/>
      <c r="O31" s="51" t="s">
        <v>44</v>
      </c>
      <c r="P31" s="52"/>
      <c r="Q31" s="52"/>
      <c r="R31" s="55"/>
      <c r="S31" s="52"/>
      <c r="T31" s="135"/>
      <c r="U31" s="131" t="s">
        <v>44</v>
      </c>
      <c r="V31" s="309"/>
      <c r="W31" s="309"/>
      <c r="X31" s="310"/>
      <c r="Y31" s="135"/>
      <c r="AA31" s="131" t="s">
        <v>44</v>
      </c>
      <c r="AB31" s="309"/>
      <c r="AC31" s="309"/>
      <c r="AD31" s="310"/>
      <c r="AE31" s="135"/>
      <c r="AG31" s="131" t="s">
        <v>44</v>
      </c>
      <c r="AH31" s="309"/>
      <c r="AI31" s="309"/>
      <c r="AJ31" s="310"/>
    </row>
    <row r="32" spans="1:36" ht="15" customHeight="1" x14ac:dyDescent="0.55000000000000004">
      <c r="A32" s="81"/>
      <c r="B32" s="82"/>
      <c r="C32" s="82" t="s">
        <v>45</v>
      </c>
      <c r="D32" s="82"/>
      <c r="E32" s="82"/>
      <c r="F32" s="82"/>
      <c r="G32" s="82"/>
      <c r="H32" s="50"/>
      <c r="I32" s="315" t="s">
        <v>69</v>
      </c>
      <c r="J32" s="316"/>
      <c r="K32" s="316"/>
      <c r="L32" s="317"/>
      <c r="M32" s="135"/>
      <c r="N32" s="135"/>
      <c r="O32" s="321" t="s">
        <v>70</v>
      </c>
      <c r="P32" s="319"/>
      <c r="Q32" s="319"/>
      <c r="R32" s="320"/>
      <c r="S32" s="136"/>
      <c r="T32" s="135"/>
      <c r="U32" s="321" t="s">
        <v>70</v>
      </c>
      <c r="V32" s="319"/>
      <c r="W32" s="319"/>
      <c r="X32" s="320"/>
      <c r="Y32" s="136"/>
      <c r="AA32" s="322" t="s">
        <v>49</v>
      </c>
      <c r="AB32" s="323"/>
      <c r="AC32" s="323"/>
      <c r="AD32" s="324"/>
      <c r="AE32" s="136"/>
      <c r="AG32" s="325" t="s">
        <v>50</v>
      </c>
      <c r="AH32" s="326"/>
      <c r="AI32" s="326"/>
      <c r="AJ32" s="327"/>
    </row>
    <row r="33" spans="1:36" ht="15" customHeight="1" x14ac:dyDescent="0.55000000000000004">
      <c r="A33" s="81"/>
      <c r="B33" s="82"/>
      <c r="C33" s="82" t="s">
        <v>51</v>
      </c>
      <c r="D33" s="82"/>
      <c r="E33" s="82"/>
      <c r="F33" s="82"/>
      <c r="G33" s="82"/>
      <c r="H33" s="50"/>
      <c r="I33" s="315"/>
      <c r="J33" s="316"/>
      <c r="K33" s="316"/>
      <c r="L33" s="317"/>
      <c r="M33" s="135"/>
      <c r="N33" s="135"/>
      <c r="O33" s="321"/>
      <c r="P33" s="319"/>
      <c r="Q33" s="319"/>
      <c r="R33" s="320"/>
      <c r="S33" s="136"/>
      <c r="T33" s="135"/>
      <c r="U33" s="321"/>
      <c r="V33" s="319"/>
      <c r="W33" s="319"/>
      <c r="X33" s="320"/>
      <c r="Y33" s="135"/>
      <c r="AA33" s="314"/>
      <c r="AB33" s="309"/>
      <c r="AC33" s="309"/>
      <c r="AD33" s="310"/>
      <c r="AE33" s="135"/>
      <c r="AG33" s="314"/>
      <c r="AH33" s="309"/>
      <c r="AI33" s="309"/>
      <c r="AJ33" s="310"/>
    </row>
    <row r="34" spans="1:36" ht="15" customHeight="1" x14ac:dyDescent="0.55000000000000004">
      <c r="A34" s="81"/>
      <c r="B34" s="82"/>
      <c r="C34" s="82"/>
      <c r="D34" s="82"/>
      <c r="E34" s="82"/>
      <c r="F34" s="82"/>
      <c r="G34" s="82"/>
      <c r="H34" s="50"/>
      <c r="I34" s="315"/>
      <c r="J34" s="316"/>
      <c r="K34" s="316"/>
      <c r="L34" s="317"/>
      <c r="M34" s="135"/>
      <c r="N34" s="135"/>
      <c r="O34" s="321"/>
      <c r="P34" s="319"/>
      <c r="Q34" s="319"/>
      <c r="R34" s="320"/>
      <c r="S34" s="136"/>
      <c r="T34" s="135"/>
      <c r="U34" s="321"/>
      <c r="V34" s="319"/>
      <c r="W34" s="319"/>
      <c r="X34" s="320"/>
      <c r="Y34" s="135"/>
      <c r="AA34" s="314"/>
      <c r="AB34" s="309"/>
      <c r="AC34" s="309"/>
      <c r="AD34" s="310"/>
      <c r="AE34" s="135"/>
      <c r="AG34" s="314"/>
      <c r="AH34" s="309"/>
      <c r="AI34" s="309"/>
      <c r="AJ34" s="310"/>
    </row>
    <row r="35" spans="1:36" ht="15" customHeight="1" x14ac:dyDescent="0.55000000000000004">
      <c r="A35" s="81"/>
      <c r="B35" s="82"/>
      <c r="C35" s="82"/>
      <c r="D35" s="82"/>
      <c r="E35" s="82"/>
      <c r="F35" s="82"/>
      <c r="G35" s="82"/>
      <c r="H35" s="50"/>
      <c r="I35" s="131" t="s">
        <v>52</v>
      </c>
      <c r="J35" s="53"/>
      <c r="K35" s="53"/>
      <c r="L35" s="54"/>
      <c r="M35" s="53"/>
      <c r="N35" s="133"/>
      <c r="O35" s="51" t="s">
        <v>52</v>
      </c>
      <c r="P35" s="52"/>
      <c r="Q35" s="52"/>
      <c r="R35" s="55"/>
      <c r="S35" s="52"/>
      <c r="T35" s="133"/>
      <c r="U35" s="131" t="s">
        <v>52</v>
      </c>
      <c r="V35" s="53"/>
      <c r="W35" s="53"/>
      <c r="X35" s="54"/>
      <c r="Y35" s="53"/>
      <c r="AA35" s="131" t="s">
        <v>52</v>
      </c>
      <c r="AB35" s="305" t="s">
        <v>53</v>
      </c>
      <c r="AC35" s="305"/>
      <c r="AD35" s="306"/>
      <c r="AE35" s="133"/>
      <c r="AG35" s="131" t="s">
        <v>52</v>
      </c>
      <c r="AH35" s="305" t="s">
        <v>53</v>
      </c>
      <c r="AI35" s="305"/>
      <c r="AJ35" s="306"/>
    </row>
    <row r="36" spans="1:36" ht="15" customHeight="1" thickBot="1" x14ac:dyDescent="0.6">
      <c r="A36" s="83"/>
      <c r="B36" s="82"/>
      <c r="C36" s="346"/>
      <c r="D36" s="347"/>
      <c r="E36" s="347"/>
      <c r="F36" s="150"/>
      <c r="G36" s="150"/>
      <c r="H36" s="50"/>
      <c r="I36" s="311"/>
      <c r="J36" s="312"/>
      <c r="K36" s="312"/>
      <c r="L36" s="313"/>
      <c r="M36" s="56"/>
      <c r="N36" s="56"/>
      <c r="O36" s="311"/>
      <c r="P36" s="312"/>
      <c r="Q36" s="312"/>
      <c r="R36" s="313"/>
      <c r="S36" s="56"/>
      <c r="T36" s="56"/>
      <c r="U36" s="311"/>
      <c r="V36" s="312"/>
      <c r="W36" s="312"/>
      <c r="X36" s="313"/>
      <c r="Y36" s="56"/>
      <c r="AA36" s="311"/>
      <c r="AB36" s="312"/>
      <c r="AC36" s="312"/>
      <c r="AD36" s="313"/>
      <c r="AE36" s="56"/>
      <c r="AG36" s="311"/>
      <c r="AH36" s="312"/>
      <c r="AI36" s="312"/>
      <c r="AJ36" s="313"/>
    </row>
    <row r="37" spans="1:36" ht="18.75" x14ac:dyDescent="0.55000000000000004">
      <c r="A37" s="80"/>
      <c r="B37" s="82"/>
      <c r="C37" s="346"/>
      <c r="D37" s="347"/>
      <c r="E37" s="347"/>
      <c r="F37" s="150"/>
      <c r="G37" s="150"/>
      <c r="H37" s="50"/>
    </row>
    <row r="38" spans="1:36" ht="18.75" x14ac:dyDescent="0.55000000000000004">
      <c r="A38" s="81"/>
      <c r="B38" s="82"/>
      <c r="C38" s="82"/>
      <c r="D38" s="82"/>
      <c r="E38" s="82"/>
      <c r="F38" s="82"/>
      <c r="G38" s="82"/>
      <c r="H38" s="50"/>
    </row>
  </sheetData>
  <mergeCells count="105">
    <mergeCell ref="AA36:AD36"/>
    <mergeCell ref="AG36:AJ36"/>
    <mergeCell ref="O32:R34"/>
    <mergeCell ref="U32:X34"/>
    <mergeCell ref="AA34:AD34"/>
    <mergeCell ref="AG34:AJ34"/>
    <mergeCell ref="AB35:AD35"/>
    <mergeCell ref="AH35:AJ35"/>
    <mergeCell ref="C36:C37"/>
    <mergeCell ref="D36:E37"/>
    <mergeCell ref="I36:L36"/>
    <mergeCell ref="O36:R36"/>
    <mergeCell ref="U36:X36"/>
    <mergeCell ref="I32:L34"/>
    <mergeCell ref="AA32:AD32"/>
    <mergeCell ref="AG32:AJ32"/>
    <mergeCell ref="AA33:AD33"/>
    <mergeCell ref="AG33:AJ33"/>
    <mergeCell ref="AC29:AD29"/>
    <mergeCell ref="AG29:AH29"/>
    <mergeCell ref="AI29:AJ29"/>
    <mergeCell ref="V31:X31"/>
    <mergeCell ref="AB31:AD31"/>
    <mergeCell ref="AH31:AJ31"/>
    <mergeCell ref="J27:L27"/>
    <mergeCell ref="P27:R27"/>
    <mergeCell ref="V27:X27"/>
    <mergeCell ref="AB27:AD27"/>
    <mergeCell ref="AH27:AJ27"/>
    <mergeCell ref="I29:J29"/>
    <mergeCell ref="K29:L29"/>
    <mergeCell ref="U29:V29"/>
    <mergeCell ref="W29:X29"/>
    <mergeCell ref="AA29:AB29"/>
    <mergeCell ref="J23:L23"/>
    <mergeCell ref="P23:R23"/>
    <mergeCell ref="V23:X23"/>
    <mergeCell ref="AB23:AD23"/>
    <mergeCell ref="AH23:AJ23"/>
    <mergeCell ref="V25:X25"/>
    <mergeCell ref="AB25:AD25"/>
    <mergeCell ref="AH25:AJ25"/>
    <mergeCell ref="X16:X17"/>
    <mergeCell ref="AA16:AC17"/>
    <mergeCell ref="AD16:AD17"/>
    <mergeCell ref="AG16:AI17"/>
    <mergeCell ref="AJ16:AJ17"/>
    <mergeCell ref="I19:K20"/>
    <mergeCell ref="O19:Q20"/>
    <mergeCell ref="U19:W20"/>
    <mergeCell ref="AA19:AC20"/>
    <mergeCell ref="AG19:AI20"/>
    <mergeCell ref="C16:E17"/>
    <mergeCell ref="I16:K17"/>
    <mergeCell ref="L16:L17"/>
    <mergeCell ref="O16:Q17"/>
    <mergeCell ref="R16:R17"/>
    <mergeCell ref="U16:W17"/>
    <mergeCell ref="R5:R6"/>
    <mergeCell ref="U5:U6"/>
    <mergeCell ref="W5:W6"/>
    <mergeCell ref="F16:G17"/>
    <mergeCell ref="AA4:AB4"/>
    <mergeCell ref="AC4:AD4"/>
    <mergeCell ref="AG4:AH4"/>
    <mergeCell ref="AI4:AJ4"/>
    <mergeCell ref="I5:I6"/>
    <mergeCell ref="K5:K6"/>
    <mergeCell ref="L5:L6"/>
    <mergeCell ref="O5:O6"/>
    <mergeCell ref="Q5:Q6"/>
    <mergeCell ref="AD5:AD6"/>
    <mergeCell ref="AG5:AG6"/>
    <mergeCell ref="AI5:AI6"/>
    <mergeCell ref="AJ5:AJ6"/>
    <mergeCell ref="X5:X6"/>
    <mergeCell ref="AA5:AA6"/>
    <mergeCell ref="AC5:AC6"/>
    <mergeCell ref="B4:B6"/>
    <mergeCell ref="C4:C6"/>
    <mergeCell ref="I4:J4"/>
    <mergeCell ref="K4:L4"/>
    <mergeCell ref="O4:P4"/>
    <mergeCell ref="Q4:R4"/>
    <mergeCell ref="U4:V4"/>
    <mergeCell ref="W4:X4"/>
    <mergeCell ref="D4:G4"/>
    <mergeCell ref="D5:G5"/>
    <mergeCell ref="AG1:AJ1"/>
    <mergeCell ref="I2:L2"/>
    <mergeCell ref="O2:R2"/>
    <mergeCell ref="U2:X2"/>
    <mergeCell ref="AA2:AD2"/>
    <mergeCell ref="AG2:AJ2"/>
    <mergeCell ref="B1:D3"/>
    <mergeCell ref="I1:L1"/>
    <mergeCell ref="O1:R1"/>
    <mergeCell ref="U1:X1"/>
    <mergeCell ref="AA1:AD1"/>
    <mergeCell ref="I3:L3"/>
    <mergeCell ref="O3:R3"/>
    <mergeCell ref="U3:X3"/>
    <mergeCell ref="AA3:AD3"/>
    <mergeCell ref="E1:F3"/>
    <mergeCell ref="AG3:AJ3"/>
  </mergeCells>
  <printOptions horizontalCentered="1" verticalCentered="1"/>
  <pageMargins left="0.25" right="0.25" top="0.75" bottom="0.75" header="0.3" footer="0.3"/>
  <pageSetup scale="3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36"/>
  <sheetViews>
    <sheetView topLeftCell="B1" zoomScale="70" zoomScaleNormal="70" workbookViewId="0">
      <pane xSplit="3" ySplit="6" topLeftCell="E7" activePane="bottomRight" state="frozen"/>
      <selection pane="topRight" activeCell="D1" sqref="D1"/>
      <selection pane="bottomLeft" activeCell="B12" sqref="B12"/>
      <selection pane="bottomRight" activeCell="H8" sqref="H8"/>
    </sheetView>
  </sheetViews>
  <sheetFormatPr baseColWidth="10" defaultColWidth="11.3984375" defaultRowHeight="15.75" x14ac:dyDescent="0.55000000000000004"/>
  <cols>
    <col min="1" max="1" width="5.265625" style="15" customWidth="1"/>
    <col min="2" max="2" width="8.3984375" style="15" customWidth="1"/>
    <col min="3" max="3" width="43.73046875" style="15" customWidth="1"/>
    <col min="4" max="4" width="20.73046875" style="15" customWidth="1"/>
    <col min="5" max="5" width="29.73046875" style="15" customWidth="1"/>
    <col min="6" max="6" width="3.73046875" style="15" customWidth="1"/>
    <col min="7" max="7" width="17.73046875" style="15" customWidth="1"/>
    <col min="8" max="8" width="18.59765625" style="15" customWidth="1"/>
    <col min="9" max="9" width="16.86328125" style="15" customWidth="1"/>
    <col min="10" max="10" width="23.86328125" style="15" customWidth="1"/>
    <col min="11" max="11" width="19.3984375" style="15" customWidth="1"/>
    <col min="12" max="12" width="3.73046875" style="15" customWidth="1"/>
    <col min="13" max="13" width="19.86328125" style="15" customWidth="1"/>
    <col min="14" max="14" width="17.3984375" style="15" customWidth="1"/>
    <col min="15" max="15" width="16" style="15" customWidth="1"/>
    <col min="16" max="17" width="25.3984375" style="15" customWidth="1"/>
    <col min="18" max="18" width="3.73046875" style="15" hidden="1" customWidth="1"/>
    <col min="19" max="19" width="20.1328125" style="15" hidden="1" customWidth="1"/>
    <col min="20" max="20" width="14.3984375" style="15" hidden="1" customWidth="1"/>
    <col min="21" max="21" width="17" style="15" hidden="1" customWidth="1"/>
    <col min="22" max="23" width="22.3984375" style="15" hidden="1" customWidth="1"/>
    <col min="24" max="24" width="2.59765625" style="15" hidden="1" customWidth="1"/>
    <col min="25" max="25" width="24.73046875" style="15" hidden="1" customWidth="1"/>
    <col min="26" max="26" width="14.265625" style="15" hidden="1" customWidth="1"/>
    <col min="27" max="27" width="18.3984375" style="15" hidden="1" customWidth="1"/>
    <col min="28" max="29" width="23.265625" style="15" hidden="1" customWidth="1"/>
    <col min="30" max="30" width="11.3984375" style="15" hidden="1" customWidth="1"/>
    <col min="31" max="31" width="24.73046875" style="15" hidden="1" customWidth="1"/>
    <col min="32" max="32" width="17.265625" style="15" hidden="1" customWidth="1"/>
    <col min="33" max="33" width="18.3984375" style="15" hidden="1" customWidth="1"/>
    <col min="34" max="34" width="23.265625" style="15" hidden="1" customWidth="1"/>
    <col min="35" max="35" width="17.73046875" style="15" customWidth="1"/>
    <col min="36" max="16384" width="11.3984375" style="15"/>
  </cols>
  <sheetData>
    <row r="1" spans="1:35" s="4" customFormat="1" ht="33" customHeight="1" x14ac:dyDescent="0.8">
      <c r="A1" s="1"/>
      <c r="B1" s="196" t="s">
        <v>71</v>
      </c>
      <c r="C1" s="196"/>
      <c r="D1" s="196"/>
      <c r="E1" s="197" t="s">
        <v>1</v>
      </c>
      <c r="F1" s="2"/>
      <c r="G1" s="199" t="s">
        <v>72</v>
      </c>
      <c r="H1" s="200"/>
      <c r="I1" s="200"/>
      <c r="J1" s="201"/>
      <c r="K1" s="144"/>
      <c r="L1" s="3"/>
      <c r="M1" s="202" t="s">
        <v>73</v>
      </c>
      <c r="N1" s="203"/>
      <c r="O1" s="203"/>
      <c r="P1" s="204"/>
      <c r="Q1" s="145"/>
      <c r="R1" s="3"/>
      <c r="S1" s="205" t="s">
        <v>5</v>
      </c>
      <c r="T1" s="206"/>
      <c r="U1" s="206"/>
      <c r="V1" s="207"/>
      <c r="W1" s="142"/>
      <c r="Y1" s="208" t="s">
        <v>5</v>
      </c>
      <c r="Z1" s="209"/>
      <c r="AA1" s="209"/>
      <c r="AB1" s="210"/>
      <c r="AC1" s="137"/>
      <c r="AE1" s="178" t="s">
        <v>5</v>
      </c>
      <c r="AF1" s="179"/>
      <c r="AG1" s="179"/>
      <c r="AH1" s="180"/>
    </row>
    <row r="2" spans="1:35" s="4" customFormat="1" ht="33" customHeight="1" x14ac:dyDescent="0.8">
      <c r="A2" s="5"/>
      <c r="B2" s="196"/>
      <c r="C2" s="196"/>
      <c r="D2" s="196"/>
      <c r="E2" s="198"/>
      <c r="F2" s="2"/>
      <c r="G2" s="181" t="s">
        <v>58</v>
      </c>
      <c r="H2" s="182"/>
      <c r="I2" s="182"/>
      <c r="J2" s="183"/>
      <c r="K2" s="144"/>
      <c r="L2" s="3"/>
      <c r="M2" s="184" t="s">
        <v>6</v>
      </c>
      <c r="N2" s="185"/>
      <c r="O2" s="185"/>
      <c r="P2" s="186"/>
      <c r="Q2" s="145"/>
      <c r="R2" s="3"/>
      <c r="S2" s="187" t="s">
        <v>6</v>
      </c>
      <c r="T2" s="188"/>
      <c r="U2" s="188"/>
      <c r="V2" s="189"/>
      <c r="W2" s="142"/>
      <c r="Y2" s="190" t="s">
        <v>6</v>
      </c>
      <c r="Z2" s="191"/>
      <c r="AA2" s="191"/>
      <c r="AB2" s="192"/>
      <c r="AC2" s="137"/>
      <c r="AE2" s="193" t="s">
        <v>6</v>
      </c>
      <c r="AF2" s="194"/>
      <c r="AG2" s="194"/>
      <c r="AH2" s="195"/>
    </row>
    <row r="3" spans="1:35" s="4" customFormat="1" ht="33" customHeight="1" thickBot="1" x14ac:dyDescent="0.85">
      <c r="A3" s="5"/>
      <c r="B3" s="196"/>
      <c r="C3" s="196"/>
      <c r="D3" s="196"/>
      <c r="E3" s="198"/>
      <c r="F3" s="2"/>
      <c r="G3" s="211" t="s">
        <v>74</v>
      </c>
      <c r="H3" s="212"/>
      <c r="I3" s="212"/>
      <c r="J3" s="213"/>
      <c r="K3" s="144"/>
      <c r="L3" s="3"/>
      <c r="M3" s="214" t="s">
        <v>75</v>
      </c>
      <c r="N3" s="215"/>
      <c r="O3" s="215"/>
      <c r="P3" s="216"/>
      <c r="Q3" s="145"/>
      <c r="R3" s="3"/>
      <c r="S3" s="217" t="s">
        <v>74</v>
      </c>
      <c r="T3" s="218"/>
      <c r="U3" s="218"/>
      <c r="V3" s="219"/>
      <c r="W3" s="142"/>
      <c r="Y3" s="220" t="s">
        <v>10</v>
      </c>
      <c r="Z3" s="221"/>
      <c r="AA3" s="221"/>
      <c r="AB3" s="222"/>
      <c r="AC3" s="137"/>
      <c r="AE3" s="223" t="s">
        <v>10</v>
      </c>
      <c r="AF3" s="224"/>
      <c r="AG3" s="224"/>
      <c r="AH3" s="225"/>
    </row>
    <row r="4" spans="1:35" s="4" customFormat="1" ht="33" customHeight="1" thickBot="1" x14ac:dyDescent="0.85">
      <c r="A4" s="57"/>
      <c r="B4" s="226" t="s">
        <v>11</v>
      </c>
      <c r="C4" s="229" t="s">
        <v>12</v>
      </c>
      <c r="D4" s="232" t="s">
        <v>13</v>
      </c>
      <c r="E4" s="233"/>
      <c r="F4" s="2"/>
      <c r="G4" s="234" t="s">
        <v>14</v>
      </c>
      <c r="H4" s="235"/>
      <c r="I4" s="235" t="s">
        <v>15</v>
      </c>
      <c r="J4" s="236"/>
      <c r="K4" s="111"/>
      <c r="L4" s="6"/>
      <c r="M4" s="237" t="s">
        <v>14</v>
      </c>
      <c r="N4" s="238"/>
      <c r="O4" s="238" t="s">
        <v>16</v>
      </c>
      <c r="P4" s="239"/>
      <c r="Q4" s="117"/>
      <c r="R4" s="6"/>
      <c r="S4" s="240" t="s">
        <v>14</v>
      </c>
      <c r="T4" s="241"/>
      <c r="U4" s="241" t="s">
        <v>15</v>
      </c>
      <c r="V4" s="242"/>
      <c r="W4" s="121"/>
      <c r="Y4" s="243" t="s">
        <v>14</v>
      </c>
      <c r="Z4" s="244"/>
      <c r="AA4" s="244" t="s">
        <v>16</v>
      </c>
      <c r="AB4" s="245"/>
      <c r="AC4" s="125"/>
      <c r="AE4" s="246" t="s">
        <v>14</v>
      </c>
      <c r="AF4" s="247"/>
      <c r="AG4" s="247" t="s">
        <v>16</v>
      </c>
      <c r="AH4" s="248"/>
    </row>
    <row r="5" spans="1:35" s="4" customFormat="1" ht="45" customHeight="1" thickBot="1" x14ac:dyDescent="0.85">
      <c r="A5" s="58"/>
      <c r="B5" s="227"/>
      <c r="C5" s="230"/>
      <c r="D5" s="249">
        <f ca="1">+TODAY()</f>
        <v>46104</v>
      </c>
      <c r="E5" s="250"/>
      <c r="F5" s="2"/>
      <c r="G5" s="251" t="s">
        <v>17</v>
      </c>
      <c r="H5" s="143" t="s">
        <v>18</v>
      </c>
      <c r="I5" s="253" t="s">
        <v>19</v>
      </c>
      <c r="J5" s="255" t="s">
        <v>20</v>
      </c>
      <c r="K5" s="112"/>
      <c r="L5" s="2"/>
      <c r="M5" s="257" t="s">
        <v>17</v>
      </c>
      <c r="N5" s="77" t="s">
        <v>21</v>
      </c>
      <c r="O5" s="259" t="s">
        <v>19</v>
      </c>
      <c r="P5" s="287" t="s">
        <v>20</v>
      </c>
      <c r="Q5" s="118"/>
      <c r="R5" s="2"/>
      <c r="S5" s="289" t="s">
        <v>17</v>
      </c>
      <c r="T5" s="140" t="s">
        <v>22</v>
      </c>
      <c r="U5" s="291" t="s">
        <v>19</v>
      </c>
      <c r="V5" s="269" t="s">
        <v>20</v>
      </c>
      <c r="W5" s="122"/>
      <c r="Y5" s="271" t="s">
        <v>17</v>
      </c>
      <c r="Z5" s="138" t="s">
        <v>22</v>
      </c>
      <c r="AA5" s="273" t="s">
        <v>19</v>
      </c>
      <c r="AB5" s="261" t="s">
        <v>20</v>
      </c>
      <c r="AC5" s="126"/>
      <c r="AE5" s="263" t="s">
        <v>17</v>
      </c>
      <c r="AF5" s="146" t="s">
        <v>22</v>
      </c>
      <c r="AG5" s="265" t="s">
        <v>19</v>
      </c>
      <c r="AH5" s="267" t="s">
        <v>20</v>
      </c>
    </row>
    <row r="6" spans="1:35" s="4" customFormat="1" ht="30" customHeight="1" thickBot="1" x14ac:dyDescent="0.85">
      <c r="A6" s="59"/>
      <c r="B6" s="228"/>
      <c r="C6" s="231"/>
      <c r="D6" s="141" t="s">
        <v>23</v>
      </c>
      <c r="E6" s="141" t="s">
        <v>24</v>
      </c>
      <c r="F6" s="2"/>
      <c r="G6" s="252"/>
      <c r="H6" s="7">
        <v>0.05</v>
      </c>
      <c r="I6" s="254"/>
      <c r="J6" s="256"/>
      <c r="K6" s="112"/>
      <c r="L6" s="2"/>
      <c r="M6" s="258"/>
      <c r="N6" s="78">
        <v>0.05</v>
      </c>
      <c r="O6" s="260"/>
      <c r="P6" s="288"/>
      <c r="Q6" s="118"/>
      <c r="R6" s="2"/>
      <c r="S6" s="290"/>
      <c r="T6" s="108">
        <v>0.19</v>
      </c>
      <c r="U6" s="292"/>
      <c r="V6" s="270"/>
      <c r="W6" s="122"/>
      <c r="Y6" s="272"/>
      <c r="Z6" s="8">
        <v>0.19</v>
      </c>
      <c r="AA6" s="274"/>
      <c r="AB6" s="262"/>
      <c r="AC6" s="126"/>
      <c r="AE6" s="264"/>
      <c r="AF6" s="92">
        <v>0.19</v>
      </c>
      <c r="AG6" s="266"/>
      <c r="AH6" s="268"/>
    </row>
    <row r="7" spans="1:35" ht="22.15" x14ac:dyDescent="0.65">
      <c r="A7" s="101"/>
      <c r="B7" s="104">
        <v>1</v>
      </c>
      <c r="C7" s="105" t="s">
        <v>76</v>
      </c>
      <c r="D7" s="106" t="s">
        <v>77</v>
      </c>
      <c r="E7" s="9">
        <v>50</v>
      </c>
      <c r="F7" s="107"/>
      <c r="G7" s="65">
        <v>9000</v>
      </c>
      <c r="H7" s="11">
        <f>G7*$H$6</f>
        <v>450</v>
      </c>
      <c r="I7" s="11">
        <f>G7+H7</f>
        <v>9450</v>
      </c>
      <c r="J7" s="72">
        <f>E7*I7</f>
        <v>472500</v>
      </c>
      <c r="K7" s="113">
        <f>+IF(G7-MIN(IF($G7&gt;0,$G7,100000*100000),IF($M7&gt;0,$M7,100000*100000),IF($S7&gt;0,$S7,100000*100000),IF($Y7&gt;0,$Y7,100000*100000),IF($AE7&gt;0,$AE7,100000*100000))&gt;0,G7-MIN(IF($G7&gt;0,$G7,100000*100000),IF($M7&gt;0,$M7,100000*100000),IF($S7&gt;0,$S7,100000*100000),IF($Y7&gt;0,$Y7,100000*100000),IF($AE7&gt;0,$AE7,100000*100000)),0)</f>
        <v>0</v>
      </c>
      <c r="L7" s="12"/>
      <c r="M7" s="65">
        <v>9259</v>
      </c>
      <c r="N7" s="11">
        <f>M7*$H$6</f>
        <v>462.95000000000005</v>
      </c>
      <c r="O7" s="79">
        <f>M7+N7</f>
        <v>9721.9500000000007</v>
      </c>
      <c r="P7" s="66">
        <f>E7*O7</f>
        <v>486097.50000000006</v>
      </c>
      <c r="Q7" s="113">
        <f>+IF(M7-MIN(IF($G7&gt;0,$G7,100000*100000),IF($M7&gt;0,$M7,100000*100000),IF($S7&gt;0,$S7,100000*100000),IF($Y7&gt;0,$Y7,100000*100000),IF($AE7&gt;0,$AE7,100000*100000))&gt;0,M7-MIN(IF($G7&gt;0,$G7,100000*100000),IF($M7&gt;0,$M7,100000*100000),IF($S7&gt;0,$S7,100000*100000),IF($Y7&gt;0,$Y7,100000*100000),IF($AE7&gt;0,$AE7,100000*100000)),0)</f>
        <v>259</v>
      </c>
      <c r="R7" s="12"/>
      <c r="S7" s="10"/>
      <c r="T7" s="10"/>
      <c r="U7" s="10">
        <f t="shared" ref="U7" si="0">S7+T7</f>
        <v>0</v>
      </c>
      <c r="V7" s="109">
        <f>E7*U7</f>
        <v>0</v>
      </c>
      <c r="W7" s="113">
        <f>+IF(S7-MIN(IF($G7&gt;0,$G7,100000*100000),IF($M7&gt;0,$M7,100000*100000),IF($S7&gt;0,$S7,100000*100000),IF($Y7&gt;0,$Y7,100000*100000),IF($AE7&gt;0,$AE7,100000*100000))&gt;0,S7-MIN(IF($G7&gt;0,$G7,100000*100000),IF($M7&gt;0,$M7,100000*100000),IF($S7&gt;0,$S7,100000*100000),IF($Y7&gt;0,$Y7,100000*100000),IF($AE7&gt;0,$AE7,100000*100000)),0)</f>
        <v>0</v>
      </c>
      <c r="Y7" s="14"/>
      <c r="Z7" s="10">
        <f t="shared" ref="Z7" si="1">Y7*$T$6</f>
        <v>0</v>
      </c>
      <c r="AA7" s="10">
        <f>Y7+Z7</f>
        <v>0</v>
      </c>
      <c r="AB7" s="66">
        <f>E7*AA7</f>
        <v>0</v>
      </c>
      <c r="AC7" s="113">
        <f>+IF(Y7-MIN(IF($G7&gt;0,$G7,100000*100000),IF($M7&gt;0,$M7,100000*100000),IF($S7&gt;0,$S7,100000*100000),IF($Y7&gt;0,$Y7,100000*100000),IF($AE7&gt;0,$AE7,100000*100000))&gt;0,Y7-MIN(IF($G7&gt;0,$G7,100000*100000),IF($M7&gt;0,$M7,100000*100000),IF($S7&gt;0,$S7,100000*100000),IF($Y7&gt;0,$Y7,100000*100000),IF($AE7&gt;0,$AE7,100000*100000)),0)</f>
        <v>0</v>
      </c>
      <c r="AE7" s="14"/>
      <c r="AF7" s="10">
        <f>+AE7*$AF$6</f>
        <v>0</v>
      </c>
      <c r="AG7" s="10">
        <f>+AE7+AF7</f>
        <v>0</v>
      </c>
      <c r="AH7" s="13">
        <f>+E7*AG7</f>
        <v>0</v>
      </c>
      <c r="AI7" s="113">
        <f>+IF(AE7-MIN(IF($G7&gt;0,$G7,100000*100000),IF($M7&gt;0,$M7,100000*100000),IF($S7&gt;0,$S7,100000*100000),IF($Y7&gt;0,$Y7,100000*100000),IF($AE7&gt;0,$AE7,100000*100000))&gt;0,AE7-MIN(IF($G7&gt;0,$G7,100000*100000),IF($M7&gt;0,$M7,100000*100000),IF($S7&gt;0,$S7,100000*100000),IF($Y7&gt;0,$Y7,100000*100000),IF($AE7&gt;0,$AE7,100000*100000)),0)</f>
        <v>0</v>
      </c>
    </row>
    <row r="8" spans="1:35" s="100" customFormat="1" ht="22.15" x14ac:dyDescent="0.8">
      <c r="A8" s="96"/>
      <c r="B8" s="97"/>
      <c r="C8" s="103"/>
      <c r="D8" s="99"/>
      <c r="E8" s="16"/>
      <c r="F8" s="17"/>
      <c r="G8" s="65"/>
      <c r="H8" s="11"/>
      <c r="I8" s="11"/>
      <c r="J8" s="72"/>
      <c r="K8" s="113"/>
      <c r="L8" s="17"/>
      <c r="M8" s="65"/>
      <c r="N8" s="11"/>
      <c r="O8" s="79"/>
      <c r="P8" s="66"/>
      <c r="Q8" s="113"/>
      <c r="R8" s="17"/>
      <c r="S8" s="10"/>
      <c r="T8" s="10"/>
      <c r="U8" s="10"/>
      <c r="V8" s="109"/>
      <c r="W8" s="113"/>
      <c r="Y8" s="14"/>
      <c r="Z8" s="10"/>
      <c r="AA8" s="10"/>
      <c r="AB8" s="66"/>
      <c r="AC8" s="113"/>
      <c r="AE8" s="14"/>
      <c r="AF8" s="10"/>
      <c r="AG8" s="10"/>
      <c r="AH8" s="13"/>
      <c r="AI8" s="113"/>
    </row>
    <row r="9" spans="1:35" s="100" customFormat="1" ht="22.15" hidden="1" x14ac:dyDescent="0.8">
      <c r="A9" s="101"/>
      <c r="B9" s="102"/>
      <c r="C9" s="103"/>
      <c r="D9" s="99"/>
      <c r="E9" s="16"/>
      <c r="F9" s="17"/>
      <c r="G9" s="65"/>
      <c r="H9" s="11"/>
      <c r="I9" s="11"/>
      <c r="J9" s="72"/>
      <c r="K9" s="113"/>
      <c r="L9" s="17"/>
      <c r="M9" s="65"/>
      <c r="N9" s="11"/>
      <c r="O9" s="79"/>
      <c r="P9" s="66"/>
      <c r="Q9" s="113"/>
      <c r="R9" s="17"/>
      <c r="S9" s="75"/>
      <c r="T9" s="10"/>
      <c r="U9" s="10"/>
      <c r="V9" s="66"/>
      <c r="W9" s="113"/>
      <c r="Y9" s="14"/>
      <c r="Z9" s="10"/>
      <c r="AA9" s="10"/>
      <c r="AB9" s="66"/>
      <c r="AC9" s="113"/>
      <c r="AE9" s="14"/>
      <c r="AF9" s="10"/>
      <c r="AG9" s="10"/>
      <c r="AH9" s="13"/>
      <c r="AI9" s="113"/>
    </row>
    <row r="10" spans="1:35" s="100" customFormat="1" ht="22.5" hidden="1" thickBot="1" x14ac:dyDescent="0.7">
      <c r="A10" s="96"/>
      <c r="B10" s="97"/>
      <c r="C10" s="98"/>
      <c r="D10" s="99"/>
      <c r="E10" s="16"/>
      <c r="F10" s="17"/>
      <c r="G10" s="65"/>
      <c r="H10" s="11"/>
      <c r="I10" s="11"/>
      <c r="J10" s="72"/>
      <c r="K10" s="113"/>
      <c r="L10" s="17"/>
      <c r="M10" s="65"/>
      <c r="N10" s="11"/>
      <c r="O10" s="79"/>
      <c r="P10" s="66"/>
      <c r="Q10" s="113"/>
      <c r="R10" s="17"/>
      <c r="S10" s="75"/>
      <c r="T10" s="10"/>
      <c r="U10" s="10"/>
      <c r="V10" s="66"/>
      <c r="W10" s="113"/>
      <c r="Y10" s="14"/>
      <c r="Z10" s="10"/>
      <c r="AA10" s="10"/>
      <c r="AB10" s="66"/>
      <c r="AC10" s="113"/>
      <c r="AE10" s="14"/>
      <c r="AF10" s="10"/>
      <c r="AG10" s="10"/>
      <c r="AH10" s="13"/>
      <c r="AI10" s="113"/>
    </row>
    <row r="11" spans="1:35" s="100" customFormat="1" ht="22.15" hidden="1" x14ac:dyDescent="0.65">
      <c r="A11" s="101"/>
      <c r="B11" s="102"/>
      <c r="C11" s="98"/>
      <c r="D11" s="99"/>
      <c r="E11" s="16"/>
      <c r="F11" s="17"/>
      <c r="G11" s="67"/>
      <c r="H11" s="11"/>
      <c r="I11" s="11"/>
      <c r="J11" s="72"/>
      <c r="K11" s="113"/>
      <c r="L11" s="17"/>
      <c r="M11" s="65"/>
      <c r="N11" s="11"/>
      <c r="O11" s="79"/>
      <c r="P11" s="66"/>
      <c r="Q11" s="113"/>
      <c r="R11" s="17"/>
      <c r="S11" s="75"/>
      <c r="T11" s="10"/>
      <c r="U11" s="10"/>
      <c r="V11" s="66"/>
      <c r="W11" s="113"/>
      <c r="Y11" s="14"/>
      <c r="Z11" s="10"/>
      <c r="AA11" s="10"/>
      <c r="AB11" s="66"/>
      <c r="AC11" s="113"/>
      <c r="AE11" s="14"/>
      <c r="AF11" s="10"/>
      <c r="AG11" s="10"/>
      <c r="AH11" s="13"/>
      <c r="AI11" s="113"/>
    </row>
    <row r="12" spans="1:35" ht="22.5" thickBot="1" x14ac:dyDescent="0.85">
      <c r="A12" s="18"/>
      <c r="B12" s="18"/>
      <c r="C12" s="19"/>
      <c r="D12" s="20"/>
      <c r="E12" s="21"/>
      <c r="F12" s="22"/>
      <c r="G12" s="73"/>
      <c r="H12" s="71"/>
      <c r="I12" s="71"/>
      <c r="J12" s="74"/>
      <c r="K12" s="26"/>
      <c r="L12" s="26"/>
      <c r="M12" s="68"/>
      <c r="N12" s="71"/>
      <c r="O12" s="71"/>
      <c r="P12" s="69"/>
      <c r="Q12" s="17"/>
      <c r="R12" s="26"/>
      <c r="S12" s="73"/>
      <c r="T12" s="70"/>
      <c r="U12" s="70"/>
      <c r="V12" s="74"/>
      <c r="W12" s="26"/>
      <c r="Y12" s="23"/>
      <c r="Z12" s="24"/>
      <c r="AA12" s="24"/>
      <c r="AB12" s="25"/>
      <c r="AC12" s="26"/>
      <c r="AE12" s="23"/>
      <c r="AF12" s="24"/>
      <c r="AG12" s="24"/>
      <c r="AH12" s="25"/>
    </row>
    <row r="13" spans="1:35" ht="22.5" thickBot="1" x14ac:dyDescent="0.85">
      <c r="A13" s="27"/>
      <c r="B13" s="27"/>
      <c r="C13" s="28"/>
      <c r="D13" s="63"/>
      <c r="E13" s="64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Y13" s="30"/>
      <c r="Z13" s="30"/>
      <c r="AA13" s="30"/>
      <c r="AB13" s="30"/>
      <c r="AC13" s="30"/>
      <c r="AE13" s="30"/>
      <c r="AF13" s="30"/>
      <c r="AG13" s="30"/>
      <c r="AH13" s="30"/>
    </row>
    <row r="14" spans="1:35" s="4" customFormat="1" ht="25.5" x14ac:dyDescent="0.8">
      <c r="A14" s="61"/>
      <c r="B14" s="27"/>
      <c r="C14" s="275" t="s">
        <v>30</v>
      </c>
      <c r="D14" s="276"/>
      <c r="E14" s="277"/>
      <c r="F14" s="31"/>
      <c r="G14" s="281"/>
      <c r="H14" s="282"/>
      <c r="I14" s="282"/>
      <c r="J14" s="285">
        <f>SUM(J7:J12)</f>
        <v>472500</v>
      </c>
      <c r="K14" s="114"/>
      <c r="L14" s="32"/>
      <c r="M14" s="281"/>
      <c r="N14" s="282"/>
      <c r="O14" s="282"/>
      <c r="P14" s="285">
        <f>SUM(P7:P12)</f>
        <v>486097.50000000006</v>
      </c>
      <c r="Q14" s="114"/>
      <c r="R14" s="32"/>
      <c r="S14" s="281"/>
      <c r="T14" s="282"/>
      <c r="U14" s="282"/>
      <c r="V14" s="285">
        <f>SUM(V7:V12)</f>
        <v>0</v>
      </c>
      <c r="W14" s="114"/>
      <c r="Y14" s="281"/>
      <c r="Z14" s="282"/>
      <c r="AA14" s="282"/>
      <c r="AB14" s="297">
        <f>SUM(AB7:AB13)</f>
        <v>0</v>
      </c>
      <c r="AC14" s="127"/>
      <c r="AE14" s="281"/>
      <c r="AF14" s="282"/>
      <c r="AG14" s="282"/>
      <c r="AH14" s="299">
        <f>SUM(AH7:AH13)</f>
        <v>0</v>
      </c>
    </row>
    <row r="15" spans="1:35" s="4" customFormat="1" ht="25.9" thickBot="1" x14ac:dyDescent="0.85">
      <c r="A15" s="62"/>
      <c r="B15" s="27"/>
      <c r="C15" s="278"/>
      <c r="D15" s="279"/>
      <c r="E15" s="280"/>
      <c r="F15" s="31"/>
      <c r="G15" s="283"/>
      <c r="H15" s="284"/>
      <c r="I15" s="284"/>
      <c r="J15" s="286"/>
      <c r="K15" s="114"/>
      <c r="L15" s="32"/>
      <c r="M15" s="283"/>
      <c r="N15" s="284"/>
      <c r="O15" s="284"/>
      <c r="P15" s="286"/>
      <c r="Q15" s="114"/>
      <c r="R15" s="32"/>
      <c r="S15" s="283"/>
      <c r="T15" s="284"/>
      <c r="U15" s="284"/>
      <c r="V15" s="286"/>
      <c r="W15" s="114"/>
      <c r="Y15" s="283"/>
      <c r="Z15" s="284"/>
      <c r="AA15" s="284"/>
      <c r="AB15" s="298"/>
      <c r="AC15" s="127"/>
      <c r="AE15" s="283"/>
      <c r="AF15" s="284"/>
      <c r="AG15" s="284"/>
      <c r="AH15" s="300"/>
    </row>
    <row r="16" spans="1:35" s="4" customFormat="1" ht="8.25" customHeight="1" thickBot="1" x14ac:dyDescent="0.85">
      <c r="A16" s="28"/>
      <c r="B16" s="28"/>
      <c r="C16" s="28"/>
      <c r="D16" s="28"/>
      <c r="E16" s="33"/>
      <c r="F16" s="3"/>
      <c r="G16" s="35"/>
      <c r="H16" s="35"/>
      <c r="I16" s="35"/>
      <c r="J16" s="32"/>
      <c r="K16" s="32"/>
      <c r="L16" s="32"/>
      <c r="M16" s="35"/>
      <c r="N16" s="35"/>
      <c r="O16" s="35"/>
      <c r="P16" s="32"/>
      <c r="Q16" s="32"/>
      <c r="R16" s="32"/>
      <c r="S16" s="35"/>
      <c r="T16" s="35"/>
      <c r="U16" s="35"/>
      <c r="V16" s="32"/>
      <c r="W16" s="32"/>
      <c r="Y16" s="35"/>
      <c r="Z16" s="35"/>
      <c r="AA16" s="35"/>
      <c r="AB16" s="32"/>
      <c r="AC16" s="32"/>
      <c r="AE16" s="35"/>
      <c r="AF16" s="35"/>
      <c r="AG16" s="35"/>
      <c r="AH16" s="32"/>
    </row>
    <row r="17" spans="1:34" s="4" customFormat="1" ht="22.5" thickBot="1" x14ac:dyDescent="0.85">
      <c r="A17" s="87"/>
      <c r="B17" s="88" t="s">
        <v>31</v>
      </c>
      <c r="C17" s="88"/>
      <c r="D17" s="88"/>
      <c r="E17" s="89"/>
      <c r="F17" s="36"/>
      <c r="G17" s="301"/>
      <c r="H17" s="302"/>
      <c r="I17" s="302"/>
      <c r="J17" s="37">
        <f>+J14-MIN($J$14,$P$14)</f>
        <v>0</v>
      </c>
      <c r="K17" s="115"/>
      <c r="L17" s="38"/>
      <c r="M17" s="301"/>
      <c r="N17" s="302"/>
      <c r="O17" s="302"/>
      <c r="P17" s="39">
        <f>+P14-MIN($J$14,$P$14)</f>
        <v>13597.500000000058</v>
      </c>
      <c r="Q17" s="119"/>
      <c r="R17" s="38"/>
      <c r="S17" s="301"/>
      <c r="T17" s="302"/>
      <c r="U17" s="302"/>
      <c r="V17" s="40">
        <f>+V14-MIN($J$14,$P$14,$V$14)</f>
        <v>0</v>
      </c>
      <c r="W17" s="123"/>
      <c r="Y17" s="301"/>
      <c r="Z17" s="302"/>
      <c r="AA17" s="302"/>
      <c r="AB17" s="41">
        <f>+AB14-MIN($J$14,$P$14,$V$14)</f>
        <v>0</v>
      </c>
      <c r="AC17" s="128"/>
      <c r="AE17" s="301"/>
      <c r="AF17" s="302"/>
      <c r="AG17" s="302"/>
      <c r="AH17" s="93">
        <f>+AH14-MIN($J$14,$P$14,$V$14)</f>
        <v>0</v>
      </c>
    </row>
    <row r="18" spans="1:34" s="4" customFormat="1" ht="22.5" thickBot="1" x14ac:dyDescent="0.85">
      <c r="A18" s="84"/>
      <c r="B18" s="85" t="s">
        <v>32</v>
      </c>
      <c r="C18" s="85"/>
      <c r="D18" s="85"/>
      <c r="E18" s="86"/>
      <c r="F18" s="36"/>
      <c r="G18" s="303"/>
      <c r="H18" s="304"/>
      <c r="I18" s="304"/>
      <c r="J18" s="42">
        <f>+J17/MIN($J$14,$P$14)</f>
        <v>0</v>
      </c>
      <c r="K18" s="116"/>
      <c r="L18" s="43"/>
      <c r="M18" s="303"/>
      <c r="N18" s="304"/>
      <c r="O18" s="304"/>
      <c r="P18" s="44">
        <f>+P17/MIN($J$14,$P$14)</f>
        <v>2.8777777777777902E-2</v>
      </c>
      <c r="Q18" s="120"/>
      <c r="R18" s="43"/>
      <c r="S18" s="303"/>
      <c r="T18" s="304"/>
      <c r="U18" s="304"/>
      <c r="V18" s="130" t="e">
        <f>+V17/MIN($J$14,$V$14)</f>
        <v>#DIV/0!</v>
      </c>
      <c r="W18" s="124"/>
      <c r="Y18" s="303"/>
      <c r="Z18" s="304"/>
      <c r="AA18" s="304"/>
      <c r="AB18" s="45" t="e">
        <f>+AB17/MIN($J$14,$P$14,$V$14)</f>
        <v>#DIV/0!</v>
      </c>
      <c r="AC18" s="129"/>
      <c r="AE18" s="303"/>
      <c r="AF18" s="304"/>
      <c r="AG18" s="304"/>
      <c r="AH18" s="94" t="e">
        <f>+AH17/MIN($J$14,$P$14,$V$14)</f>
        <v>#DIV/0!</v>
      </c>
    </row>
    <row r="19" spans="1:34" s="4" customFormat="1" ht="7.5" customHeight="1" x14ac:dyDescent="0.8">
      <c r="A19" s="46"/>
      <c r="B19" s="46"/>
      <c r="C19" s="46"/>
      <c r="D19" s="46"/>
      <c r="E19" s="33"/>
      <c r="F19" s="34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Y19" s="47"/>
      <c r="Z19" s="47"/>
      <c r="AA19" s="47"/>
      <c r="AB19" s="47"/>
      <c r="AC19" s="47"/>
      <c r="AE19" s="47"/>
      <c r="AF19" s="47"/>
      <c r="AG19" s="47"/>
      <c r="AH19" s="47"/>
    </row>
    <row r="20" spans="1:34" ht="9" customHeight="1" thickBot="1" x14ac:dyDescent="0.6">
      <c r="A20" s="48"/>
      <c r="B20" s="82"/>
      <c r="C20" s="82"/>
      <c r="D20" s="82"/>
      <c r="E20" s="82"/>
      <c r="F20" s="2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Y20" s="49"/>
      <c r="Z20" s="49"/>
      <c r="AA20" s="49"/>
      <c r="AB20" s="49"/>
      <c r="AC20" s="49"/>
      <c r="AE20" s="49"/>
      <c r="AF20" s="49"/>
      <c r="AG20" s="49"/>
      <c r="AH20" s="49"/>
    </row>
    <row r="21" spans="1:34" ht="15" customHeight="1" x14ac:dyDescent="0.55000000000000004">
      <c r="A21" s="80"/>
      <c r="B21" s="82"/>
      <c r="C21" s="82"/>
      <c r="D21" s="82"/>
      <c r="E21" s="82"/>
      <c r="F21" s="50"/>
      <c r="G21" s="60" t="s">
        <v>33</v>
      </c>
      <c r="H21" s="293" t="s">
        <v>35</v>
      </c>
      <c r="I21" s="293"/>
      <c r="J21" s="294"/>
      <c r="K21" s="133"/>
      <c r="L21" s="133"/>
      <c r="M21" s="60" t="s">
        <v>33</v>
      </c>
      <c r="N21" s="293" t="s">
        <v>35</v>
      </c>
      <c r="O21" s="293"/>
      <c r="P21" s="294"/>
      <c r="Q21" s="133"/>
      <c r="R21" s="133"/>
      <c r="S21" s="60" t="s">
        <v>33</v>
      </c>
      <c r="T21" s="293" t="s">
        <v>35</v>
      </c>
      <c r="U21" s="293"/>
      <c r="V21" s="294"/>
      <c r="W21" s="133"/>
      <c r="Y21" s="60" t="s">
        <v>33</v>
      </c>
      <c r="Z21" s="293" t="s">
        <v>35</v>
      </c>
      <c r="AA21" s="293"/>
      <c r="AB21" s="294"/>
      <c r="AC21" s="133"/>
      <c r="AE21" s="60" t="s">
        <v>33</v>
      </c>
      <c r="AF21" s="293" t="s">
        <v>35</v>
      </c>
      <c r="AG21" s="293"/>
      <c r="AH21" s="294"/>
    </row>
    <row r="22" spans="1:34" ht="15" customHeight="1" x14ac:dyDescent="0.55000000000000004">
      <c r="A22" s="81"/>
      <c r="B22" s="82"/>
      <c r="C22" s="82"/>
      <c r="D22" s="82"/>
      <c r="E22" s="82"/>
      <c r="F22" s="50"/>
      <c r="G22" s="51"/>
      <c r="H22" s="53"/>
      <c r="I22" s="53"/>
      <c r="J22" s="54"/>
      <c r="K22" s="53"/>
      <c r="L22" s="53"/>
      <c r="M22" s="51"/>
      <c r="N22" s="53"/>
      <c r="O22" s="53"/>
      <c r="P22" s="54"/>
      <c r="Q22" s="53"/>
      <c r="R22" s="53"/>
      <c r="S22" s="51"/>
      <c r="T22" s="53"/>
      <c r="U22" s="53"/>
      <c r="V22" s="54"/>
      <c r="W22" s="53"/>
      <c r="Y22" s="51"/>
      <c r="Z22" s="53"/>
      <c r="AA22" s="53"/>
      <c r="AB22" s="54"/>
      <c r="AC22" s="53"/>
      <c r="AE22" s="51"/>
      <c r="AF22" s="53"/>
      <c r="AG22" s="53"/>
      <c r="AH22" s="54"/>
    </row>
    <row r="23" spans="1:34" ht="15" customHeight="1" x14ac:dyDescent="0.55000000000000004">
      <c r="A23" s="81"/>
      <c r="B23" s="82"/>
      <c r="C23" s="82"/>
      <c r="D23" s="82"/>
      <c r="E23" s="82"/>
      <c r="F23" s="50"/>
      <c r="G23" s="51" t="s">
        <v>36</v>
      </c>
      <c r="H23" s="52"/>
      <c r="I23" s="52"/>
      <c r="J23" s="55"/>
      <c r="K23" s="52"/>
      <c r="L23" s="139"/>
      <c r="M23" s="131" t="s">
        <v>36</v>
      </c>
      <c r="N23" s="90"/>
      <c r="O23" s="90"/>
      <c r="P23" s="91"/>
      <c r="Q23" s="90"/>
      <c r="R23" s="139"/>
      <c r="S23" s="131" t="s">
        <v>36</v>
      </c>
      <c r="T23" s="295"/>
      <c r="U23" s="295"/>
      <c r="V23" s="296"/>
      <c r="W23" s="139"/>
      <c r="Y23" s="131" t="s">
        <v>36</v>
      </c>
      <c r="Z23" s="295"/>
      <c r="AA23" s="295"/>
      <c r="AB23" s="296"/>
      <c r="AC23" s="139"/>
      <c r="AE23" s="131" t="s">
        <v>36</v>
      </c>
      <c r="AF23" s="295"/>
      <c r="AG23" s="295"/>
      <c r="AH23" s="296"/>
    </row>
    <row r="24" spans="1:34" ht="15" customHeight="1" x14ac:dyDescent="0.55000000000000004">
      <c r="A24" s="81"/>
      <c r="B24" s="82"/>
      <c r="C24" s="82"/>
      <c r="D24" s="82"/>
      <c r="E24" s="82"/>
      <c r="F24" s="50"/>
      <c r="G24" s="51"/>
      <c r="H24" s="53"/>
      <c r="I24" s="53"/>
      <c r="J24" s="54"/>
      <c r="K24" s="53"/>
      <c r="L24" s="53"/>
      <c r="M24" s="51"/>
      <c r="N24" s="53"/>
      <c r="O24" s="53"/>
      <c r="P24" s="54"/>
      <c r="Q24" s="53"/>
      <c r="R24" s="53"/>
      <c r="S24" s="51"/>
      <c r="T24" s="53"/>
      <c r="U24" s="53"/>
      <c r="V24" s="54"/>
      <c r="W24" s="53"/>
      <c r="Y24" s="51"/>
      <c r="Z24" s="53"/>
      <c r="AA24" s="53"/>
      <c r="AB24" s="54"/>
      <c r="AC24" s="53"/>
      <c r="AE24" s="51"/>
      <c r="AF24" s="53"/>
      <c r="AG24" s="53"/>
      <c r="AH24" s="54"/>
    </row>
    <row r="25" spans="1:34" ht="15" customHeight="1" x14ac:dyDescent="0.55000000000000004">
      <c r="A25" s="81"/>
      <c r="B25" s="82"/>
      <c r="C25" s="95" t="s">
        <v>37</v>
      </c>
      <c r="D25" s="82"/>
      <c r="E25" s="82"/>
      <c r="F25" s="50"/>
      <c r="G25" s="131" t="s">
        <v>38</v>
      </c>
      <c r="H25" s="305"/>
      <c r="I25" s="305"/>
      <c r="J25" s="306"/>
      <c r="K25" s="133"/>
      <c r="L25" s="133"/>
      <c r="M25" s="131" t="s">
        <v>38</v>
      </c>
      <c r="N25" s="305"/>
      <c r="O25" s="305"/>
      <c r="P25" s="306"/>
      <c r="Q25" s="133"/>
      <c r="R25" s="133"/>
      <c r="S25" s="131" t="s">
        <v>38</v>
      </c>
      <c r="T25" s="305"/>
      <c r="U25" s="305"/>
      <c r="V25" s="306"/>
      <c r="W25" s="133"/>
      <c r="Y25" s="131" t="s">
        <v>38</v>
      </c>
      <c r="Z25" s="305"/>
      <c r="AA25" s="305"/>
      <c r="AB25" s="306"/>
      <c r="AC25" s="133"/>
      <c r="AE25" s="131" t="s">
        <v>38</v>
      </c>
      <c r="AF25" s="305"/>
      <c r="AG25" s="305"/>
      <c r="AH25" s="306"/>
    </row>
    <row r="26" spans="1:34" ht="15" customHeight="1" x14ac:dyDescent="0.55000000000000004">
      <c r="A26" s="81"/>
      <c r="B26" s="82"/>
      <c r="C26" s="82" t="s">
        <v>39</v>
      </c>
      <c r="D26" s="82"/>
      <c r="E26" s="82"/>
      <c r="F26" s="50"/>
      <c r="G26" s="51"/>
      <c r="H26" s="52"/>
      <c r="I26" s="52"/>
      <c r="J26" s="55"/>
      <c r="K26" s="52"/>
      <c r="L26" s="52"/>
      <c r="M26" s="51"/>
      <c r="N26" s="52"/>
      <c r="O26" s="52"/>
      <c r="P26" s="55"/>
      <c r="Q26" s="52"/>
      <c r="R26" s="52"/>
      <c r="S26" s="51"/>
      <c r="T26" s="52"/>
      <c r="U26" s="52"/>
      <c r="V26" s="55"/>
      <c r="W26" s="52"/>
      <c r="Y26" s="51"/>
      <c r="Z26" s="52"/>
      <c r="AA26" s="52"/>
      <c r="AB26" s="55"/>
      <c r="AC26" s="52"/>
      <c r="AE26" s="51"/>
      <c r="AF26" s="52"/>
      <c r="AG26" s="52"/>
      <c r="AH26" s="55"/>
    </row>
    <row r="27" spans="1:34" ht="15" customHeight="1" x14ac:dyDescent="0.55000000000000004">
      <c r="A27" s="81"/>
      <c r="B27" s="82"/>
      <c r="C27" s="82" t="s">
        <v>40</v>
      </c>
      <c r="D27" s="82"/>
      <c r="E27" s="82"/>
      <c r="F27" s="50"/>
      <c r="G27" s="307" t="s">
        <v>41</v>
      </c>
      <c r="H27" s="308"/>
      <c r="I27" s="305"/>
      <c r="J27" s="306"/>
      <c r="K27" s="133"/>
      <c r="L27" s="133"/>
      <c r="M27" s="51" t="s">
        <v>41</v>
      </c>
      <c r="N27" s="52"/>
      <c r="O27" s="52"/>
      <c r="P27" s="55"/>
      <c r="Q27" s="52"/>
      <c r="R27" s="133"/>
      <c r="S27" s="307" t="s">
        <v>41</v>
      </c>
      <c r="T27" s="308"/>
      <c r="U27" s="305"/>
      <c r="V27" s="306"/>
      <c r="W27" s="133"/>
      <c r="Y27" s="307" t="s">
        <v>41</v>
      </c>
      <c r="Z27" s="308"/>
      <c r="AA27" s="305"/>
      <c r="AB27" s="306"/>
      <c r="AC27" s="133"/>
      <c r="AE27" s="307" t="s">
        <v>41</v>
      </c>
      <c r="AF27" s="308"/>
      <c r="AG27" s="305"/>
      <c r="AH27" s="306"/>
    </row>
    <row r="28" spans="1:34" ht="15" customHeight="1" x14ac:dyDescent="0.55000000000000004">
      <c r="A28" s="81"/>
      <c r="B28" s="82"/>
      <c r="C28" s="82" t="s">
        <v>42</v>
      </c>
      <c r="D28" s="82"/>
      <c r="E28" s="82"/>
      <c r="F28" s="50"/>
      <c r="G28" s="131"/>
      <c r="H28" s="132"/>
      <c r="I28" s="133"/>
      <c r="J28" s="134"/>
      <c r="K28" s="133"/>
      <c r="L28" s="133"/>
      <c r="M28" s="131"/>
      <c r="N28" s="132"/>
      <c r="O28" s="133"/>
      <c r="P28" s="134"/>
      <c r="Q28" s="133"/>
      <c r="R28" s="133"/>
      <c r="S28" s="131"/>
      <c r="T28" s="132"/>
      <c r="U28" s="133"/>
      <c r="V28" s="134"/>
      <c r="W28" s="133"/>
      <c r="Y28" s="131"/>
      <c r="Z28" s="132"/>
      <c r="AA28" s="133"/>
      <c r="AB28" s="134"/>
      <c r="AC28" s="133"/>
      <c r="AE28" s="131"/>
      <c r="AF28" s="132"/>
      <c r="AG28" s="133"/>
      <c r="AH28" s="134"/>
    </row>
    <row r="29" spans="1:34" ht="15" customHeight="1" x14ac:dyDescent="0.55000000000000004">
      <c r="A29" s="81"/>
      <c r="B29" s="82"/>
      <c r="C29" s="82" t="s">
        <v>43</v>
      </c>
      <c r="D29" s="82"/>
      <c r="E29" s="82"/>
      <c r="F29" s="50"/>
      <c r="G29" s="131" t="s">
        <v>44</v>
      </c>
      <c r="H29" s="52"/>
      <c r="I29" s="52"/>
      <c r="J29" s="55"/>
      <c r="K29" s="52"/>
      <c r="L29" s="135"/>
      <c r="M29" s="51" t="s">
        <v>44</v>
      </c>
      <c r="N29" s="52"/>
      <c r="O29" s="52"/>
      <c r="P29" s="55"/>
      <c r="Q29" s="52"/>
      <c r="R29" s="135"/>
      <c r="S29" s="131" t="s">
        <v>44</v>
      </c>
      <c r="T29" s="309"/>
      <c r="U29" s="309"/>
      <c r="V29" s="310"/>
      <c r="W29" s="135"/>
      <c r="Y29" s="131" t="s">
        <v>44</v>
      </c>
      <c r="Z29" s="309"/>
      <c r="AA29" s="309"/>
      <c r="AB29" s="310"/>
      <c r="AC29" s="135"/>
      <c r="AE29" s="131" t="s">
        <v>44</v>
      </c>
      <c r="AF29" s="309"/>
      <c r="AG29" s="309"/>
      <c r="AH29" s="310"/>
    </row>
    <row r="30" spans="1:34" ht="15" customHeight="1" x14ac:dyDescent="0.55000000000000004">
      <c r="A30" s="81"/>
      <c r="B30" s="82"/>
      <c r="C30" s="82" t="s">
        <v>45</v>
      </c>
      <c r="D30" s="82"/>
      <c r="E30" s="82"/>
      <c r="F30" s="50"/>
      <c r="G30" s="315"/>
      <c r="H30" s="316"/>
      <c r="I30" s="316"/>
      <c r="J30" s="317"/>
      <c r="K30" s="135"/>
      <c r="L30" s="135"/>
      <c r="M30" s="322"/>
      <c r="N30" s="323"/>
      <c r="O30" s="323"/>
      <c r="P30" s="324"/>
      <c r="Q30" s="136"/>
      <c r="R30" s="135"/>
      <c r="S30" s="322"/>
      <c r="T30" s="323"/>
      <c r="U30" s="323"/>
      <c r="V30" s="324"/>
      <c r="W30" s="136"/>
      <c r="Y30" s="322" t="s">
        <v>49</v>
      </c>
      <c r="Z30" s="323"/>
      <c r="AA30" s="323"/>
      <c r="AB30" s="324"/>
      <c r="AC30" s="136"/>
      <c r="AE30" s="325" t="s">
        <v>50</v>
      </c>
      <c r="AF30" s="326"/>
      <c r="AG30" s="326"/>
      <c r="AH30" s="327"/>
    </row>
    <row r="31" spans="1:34" ht="15" customHeight="1" x14ac:dyDescent="0.55000000000000004">
      <c r="A31" s="81"/>
      <c r="B31" s="82"/>
      <c r="C31" s="82" t="s">
        <v>51</v>
      </c>
      <c r="D31" s="82"/>
      <c r="E31" s="82"/>
      <c r="F31" s="50"/>
      <c r="G31" s="315"/>
      <c r="H31" s="316"/>
      <c r="I31" s="316"/>
      <c r="J31" s="317"/>
      <c r="K31" s="135"/>
      <c r="L31" s="135"/>
      <c r="M31" s="322"/>
      <c r="N31" s="323"/>
      <c r="O31" s="323"/>
      <c r="P31" s="324"/>
      <c r="Q31" s="136"/>
      <c r="R31" s="135"/>
      <c r="S31" s="314"/>
      <c r="T31" s="309"/>
      <c r="U31" s="309"/>
      <c r="V31" s="310"/>
      <c r="W31" s="135"/>
      <c r="Y31" s="314"/>
      <c r="Z31" s="309"/>
      <c r="AA31" s="309"/>
      <c r="AB31" s="310"/>
      <c r="AC31" s="135"/>
      <c r="AE31" s="314"/>
      <c r="AF31" s="309"/>
      <c r="AG31" s="309"/>
      <c r="AH31" s="310"/>
    </row>
    <row r="32" spans="1:34" ht="15" customHeight="1" x14ac:dyDescent="0.55000000000000004">
      <c r="A32" s="81"/>
      <c r="B32" s="82"/>
      <c r="C32" s="82"/>
      <c r="D32" s="82"/>
      <c r="E32" s="82"/>
      <c r="F32" s="50"/>
      <c r="G32" s="315"/>
      <c r="H32" s="316"/>
      <c r="I32" s="316"/>
      <c r="J32" s="317"/>
      <c r="K32" s="135"/>
      <c r="L32" s="135"/>
      <c r="M32" s="322"/>
      <c r="N32" s="323"/>
      <c r="O32" s="323"/>
      <c r="P32" s="324"/>
      <c r="Q32" s="136"/>
      <c r="R32" s="135"/>
      <c r="S32" s="314"/>
      <c r="T32" s="309"/>
      <c r="U32" s="309"/>
      <c r="V32" s="310"/>
      <c r="W32" s="135"/>
      <c r="Y32" s="314"/>
      <c r="Z32" s="309"/>
      <c r="AA32" s="309"/>
      <c r="AB32" s="310"/>
      <c r="AC32" s="135"/>
      <c r="AE32" s="314"/>
      <c r="AF32" s="309"/>
      <c r="AG32" s="309"/>
      <c r="AH32" s="310"/>
    </row>
    <row r="33" spans="1:34" ht="15" customHeight="1" x14ac:dyDescent="0.55000000000000004">
      <c r="A33" s="81"/>
      <c r="B33" s="82"/>
      <c r="C33" s="82"/>
      <c r="D33" s="82"/>
      <c r="E33" s="82"/>
      <c r="F33" s="50"/>
      <c r="G33" s="131" t="s">
        <v>52</v>
      </c>
      <c r="H33" s="53"/>
      <c r="I33" s="53"/>
      <c r="J33" s="54"/>
      <c r="K33" s="53"/>
      <c r="L33" s="133"/>
      <c r="M33" s="51" t="s">
        <v>52</v>
      </c>
      <c r="N33" s="52"/>
      <c r="O33" s="52"/>
      <c r="P33" s="55"/>
      <c r="Q33" s="52"/>
      <c r="R33" s="133"/>
      <c r="S33" s="131" t="s">
        <v>52</v>
      </c>
      <c r="T33" s="53"/>
      <c r="U33" s="53"/>
      <c r="V33" s="54"/>
      <c r="W33" s="53"/>
      <c r="Y33" s="131" t="s">
        <v>52</v>
      </c>
      <c r="Z33" s="305" t="s">
        <v>53</v>
      </c>
      <c r="AA33" s="305"/>
      <c r="AB33" s="306"/>
      <c r="AC33" s="133"/>
      <c r="AE33" s="131" t="s">
        <v>52</v>
      </c>
      <c r="AF33" s="305" t="s">
        <v>53</v>
      </c>
      <c r="AG33" s="305"/>
      <c r="AH33" s="306"/>
    </row>
    <row r="34" spans="1:34" ht="15" customHeight="1" thickBot="1" x14ac:dyDescent="0.6">
      <c r="A34" s="83"/>
      <c r="B34" s="82"/>
      <c r="C34" s="82"/>
      <c r="D34" s="82"/>
      <c r="E34" s="82"/>
      <c r="F34" s="50"/>
      <c r="G34" s="311"/>
      <c r="H34" s="312"/>
      <c r="I34" s="312"/>
      <c r="J34" s="313"/>
      <c r="K34" s="56"/>
      <c r="L34" s="56"/>
      <c r="M34" s="311"/>
      <c r="N34" s="312"/>
      <c r="O34" s="312"/>
      <c r="P34" s="313"/>
      <c r="Q34" s="56"/>
      <c r="R34" s="56"/>
      <c r="S34" s="311"/>
      <c r="T34" s="312"/>
      <c r="U34" s="312"/>
      <c r="V34" s="313"/>
      <c r="W34" s="56"/>
      <c r="Y34" s="311"/>
      <c r="Z34" s="312"/>
      <c r="AA34" s="312"/>
      <c r="AB34" s="313"/>
      <c r="AC34" s="56"/>
      <c r="AE34" s="311"/>
      <c r="AF34" s="312"/>
      <c r="AG34" s="312"/>
      <c r="AH34" s="313"/>
    </row>
    <row r="35" spans="1:34" ht="18.75" x14ac:dyDescent="0.55000000000000004">
      <c r="A35" s="80"/>
      <c r="B35" s="82"/>
      <c r="F35" s="50"/>
    </row>
    <row r="36" spans="1:34" ht="18.75" x14ac:dyDescent="0.55000000000000004">
      <c r="A36" s="81"/>
      <c r="B36" s="82"/>
      <c r="F36" s="50"/>
    </row>
  </sheetData>
  <mergeCells count="106">
    <mergeCell ref="S32:V32"/>
    <mergeCell ref="Y32:AB32"/>
    <mergeCell ref="AE32:AH32"/>
    <mergeCell ref="Z33:AB33"/>
    <mergeCell ref="AF33:AH33"/>
    <mergeCell ref="G34:J34"/>
    <mergeCell ref="M34:P34"/>
    <mergeCell ref="S34:V34"/>
    <mergeCell ref="Y34:AB34"/>
    <mergeCell ref="AE34:AH34"/>
    <mergeCell ref="G30:J32"/>
    <mergeCell ref="M30:P30"/>
    <mergeCell ref="S30:V30"/>
    <mergeCell ref="Y30:AB30"/>
    <mergeCell ref="AE30:AH30"/>
    <mergeCell ref="M31:P31"/>
    <mergeCell ref="S31:V31"/>
    <mergeCell ref="Y31:AB31"/>
    <mergeCell ref="AE31:AH31"/>
    <mergeCell ref="M32:P32"/>
    <mergeCell ref="AA27:AB27"/>
    <mergeCell ref="AE27:AF27"/>
    <mergeCell ref="AG27:AH27"/>
    <mergeCell ref="T29:V29"/>
    <mergeCell ref="Z29:AB29"/>
    <mergeCell ref="AF29:AH29"/>
    <mergeCell ref="H25:J25"/>
    <mergeCell ref="N25:P25"/>
    <mergeCell ref="T25:V25"/>
    <mergeCell ref="Z25:AB25"/>
    <mergeCell ref="AF25:AH25"/>
    <mergeCell ref="G27:H27"/>
    <mergeCell ref="I27:J27"/>
    <mergeCell ref="S27:T27"/>
    <mergeCell ref="U27:V27"/>
    <mergeCell ref="Y27:Z27"/>
    <mergeCell ref="H21:J21"/>
    <mergeCell ref="N21:P21"/>
    <mergeCell ref="T21:V21"/>
    <mergeCell ref="Z21:AB21"/>
    <mergeCell ref="AF21:AH21"/>
    <mergeCell ref="T23:V23"/>
    <mergeCell ref="Z23:AB23"/>
    <mergeCell ref="AF23:AH23"/>
    <mergeCell ref="V14:V15"/>
    <mergeCell ref="Y14:AA15"/>
    <mergeCell ref="AB14:AB15"/>
    <mergeCell ref="AE14:AG15"/>
    <mergeCell ref="AH14:AH15"/>
    <mergeCell ref="G17:I18"/>
    <mergeCell ref="M17:O18"/>
    <mergeCell ref="S17:U18"/>
    <mergeCell ref="Y17:AA18"/>
    <mergeCell ref="AE17:AG18"/>
    <mergeCell ref="C14:E15"/>
    <mergeCell ref="G14:I15"/>
    <mergeCell ref="J14:J15"/>
    <mergeCell ref="M14:O15"/>
    <mergeCell ref="P14:P15"/>
    <mergeCell ref="S14:U15"/>
    <mergeCell ref="P5:P6"/>
    <mergeCell ref="S5:S6"/>
    <mergeCell ref="U5:U6"/>
    <mergeCell ref="Y4:Z4"/>
    <mergeCell ref="AA4:AB4"/>
    <mergeCell ref="AE4:AF4"/>
    <mergeCell ref="AG4:AH4"/>
    <mergeCell ref="D5:E5"/>
    <mergeCell ref="G5:G6"/>
    <mergeCell ref="I5:I6"/>
    <mergeCell ref="J5:J6"/>
    <mergeCell ref="M5:M6"/>
    <mergeCell ref="O5:O6"/>
    <mergeCell ref="AB5:AB6"/>
    <mergeCell ref="AE5:AE6"/>
    <mergeCell ref="AG5:AG6"/>
    <mergeCell ref="AH5:AH6"/>
    <mergeCell ref="V5:V6"/>
    <mergeCell ref="Y5:Y6"/>
    <mergeCell ref="AA5:AA6"/>
    <mergeCell ref="B4:B6"/>
    <mergeCell ref="C4:C6"/>
    <mergeCell ref="D4:E4"/>
    <mergeCell ref="G4:H4"/>
    <mergeCell ref="I4:J4"/>
    <mergeCell ref="M4:N4"/>
    <mergeCell ref="O4:P4"/>
    <mergeCell ref="S4:T4"/>
    <mergeCell ref="U4:V4"/>
    <mergeCell ref="AE1:AH1"/>
    <mergeCell ref="G2:J2"/>
    <mergeCell ref="M2:P2"/>
    <mergeCell ref="S2:V2"/>
    <mergeCell ref="Y2:AB2"/>
    <mergeCell ref="AE2:AH2"/>
    <mergeCell ref="B1:D3"/>
    <mergeCell ref="E1:E3"/>
    <mergeCell ref="G1:J1"/>
    <mergeCell ref="M1:P1"/>
    <mergeCell ref="S1:V1"/>
    <mergeCell ref="Y1:AB1"/>
    <mergeCell ref="G3:J3"/>
    <mergeCell ref="M3:P3"/>
    <mergeCell ref="S3:V3"/>
    <mergeCell ref="Y3:AB3"/>
    <mergeCell ref="AE3:AH3"/>
  </mergeCells>
  <printOptions horizontalCentered="1" verticalCentered="1"/>
  <pageMargins left="0.25" right="0.25" top="0.75" bottom="0.75" header="0.3" footer="0.3"/>
  <pageSetup scale="32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I36"/>
  <sheetViews>
    <sheetView topLeftCell="B1" zoomScale="70" zoomScaleNormal="70" workbookViewId="0">
      <pane xSplit="3" ySplit="6" topLeftCell="E7" activePane="bottomRight" state="frozen"/>
      <selection pane="topRight" activeCell="D1" sqref="D1"/>
      <selection pane="bottomLeft" activeCell="B12" sqref="B12"/>
      <selection pane="bottomRight" activeCell="D6" sqref="D6"/>
    </sheetView>
  </sheetViews>
  <sheetFormatPr baseColWidth="10" defaultColWidth="11.3984375" defaultRowHeight="15.75" x14ac:dyDescent="0.55000000000000004"/>
  <cols>
    <col min="1" max="1" width="5.265625" style="15" customWidth="1"/>
    <col min="2" max="2" width="8.3984375" style="15" customWidth="1"/>
    <col min="3" max="3" width="43.73046875" style="15" customWidth="1"/>
    <col min="4" max="4" width="20.73046875" style="15" customWidth="1"/>
    <col min="5" max="5" width="29.73046875" style="15" customWidth="1"/>
    <col min="6" max="6" width="3.73046875" style="15" customWidth="1"/>
    <col min="7" max="7" width="17.73046875" style="15" customWidth="1"/>
    <col min="8" max="8" width="18.59765625" style="15" customWidth="1"/>
    <col min="9" max="9" width="16.86328125" style="15" customWidth="1"/>
    <col min="10" max="10" width="23.86328125" style="15" customWidth="1"/>
    <col min="11" max="11" width="19.3984375" style="15" customWidth="1"/>
    <col min="12" max="12" width="3.73046875" style="15" customWidth="1"/>
    <col min="13" max="13" width="19.86328125" style="15" customWidth="1"/>
    <col min="14" max="14" width="17.3984375" style="15" customWidth="1"/>
    <col min="15" max="15" width="16" style="15" customWidth="1"/>
    <col min="16" max="17" width="25.3984375" style="15" customWidth="1"/>
    <col min="18" max="18" width="3.73046875" style="15" customWidth="1"/>
    <col min="19" max="19" width="20.1328125" style="15" customWidth="1"/>
    <col min="20" max="20" width="14.3984375" style="15" customWidth="1"/>
    <col min="21" max="21" width="17" style="15" customWidth="1"/>
    <col min="22" max="22" width="22.3984375" style="15" bestFit="1" customWidth="1"/>
    <col min="23" max="23" width="22.3984375" style="15" customWidth="1"/>
    <col min="24" max="24" width="2.59765625" style="15" hidden="1" customWidth="1"/>
    <col min="25" max="25" width="24.73046875" style="15" hidden="1" customWidth="1"/>
    <col min="26" max="26" width="14.265625" style="15" hidden="1" customWidth="1"/>
    <col min="27" max="27" width="18.3984375" style="15" hidden="1" customWidth="1"/>
    <col min="28" max="29" width="23.265625" style="15" hidden="1" customWidth="1"/>
    <col min="30" max="30" width="11.3984375" style="15" hidden="1" customWidth="1"/>
    <col min="31" max="31" width="24.73046875" style="15" hidden="1" customWidth="1"/>
    <col min="32" max="32" width="17.265625" style="15" hidden="1" customWidth="1"/>
    <col min="33" max="33" width="18.3984375" style="15" hidden="1" customWidth="1"/>
    <col min="34" max="34" width="23.265625" style="15" hidden="1" customWidth="1"/>
    <col min="35" max="35" width="17.73046875" style="15" customWidth="1"/>
    <col min="36" max="16384" width="11.3984375" style="15"/>
  </cols>
  <sheetData>
    <row r="1" spans="1:35" s="4" customFormat="1" ht="33" customHeight="1" x14ac:dyDescent="0.8">
      <c r="A1" s="1"/>
      <c r="B1" s="196" t="s">
        <v>78</v>
      </c>
      <c r="C1" s="196"/>
      <c r="D1" s="196"/>
      <c r="E1" s="197" t="s">
        <v>1</v>
      </c>
      <c r="F1" s="2"/>
      <c r="G1" s="199" t="s">
        <v>79</v>
      </c>
      <c r="H1" s="200"/>
      <c r="I1" s="200"/>
      <c r="J1" s="201"/>
      <c r="K1" s="144"/>
      <c r="L1" s="3"/>
      <c r="M1" s="202" t="s">
        <v>80</v>
      </c>
      <c r="N1" s="203"/>
      <c r="O1" s="203"/>
      <c r="P1" s="204"/>
      <c r="Q1" s="145"/>
      <c r="R1" s="3"/>
      <c r="S1" s="205" t="s">
        <v>81</v>
      </c>
      <c r="T1" s="206"/>
      <c r="U1" s="206"/>
      <c r="V1" s="207"/>
      <c r="W1" s="142"/>
      <c r="Y1" s="208" t="s">
        <v>5</v>
      </c>
      <c r="Z1" s="209"/>
      <c r="AA1" s="209"/>
      <c r="AB1" s="210"/>
      <c r="AC1" s="137"/>
      <c r="AE1" s="178" t="s">
        <v>5</v>
      </c>
      <c r="AF1" s="179"/>
      <c r="AG1" s="179"/>
      <c r="AH1" s="180"/>
    </row>
    <row r="2" spans="1:35" s="4" customFormat="1" ht="33" customHeight="1" x14ac:dyDescent="0.8">
      <c r="A2" s="5"/>
      <c r="B2" s="196"/>
      <c r="C2" s="196"/>
      <c r="D2" s="196"/>
      <c r="E2" s="198"/>
      <c r="F2" s="2"/>
      <c r="G2" s="181" t="s">
        <v>6</v>
      </c>
      <c r="H2" s="182"/>
      <c r="I2" s="182"/>
      <c r="J2" s="183"/>
      <c r="K2" s="144"/>
      <c r="L2" s="3"/>
      <c r="M2" s="184" t="s">
        <v>6</v>
      </c>
      <c r="N2" s="185"/>
      <c r="O2" s="185"/>
      <c r="P2" s="186"/>
      <c r="Q2" s="145"/>
      <c r="R2" s="3"/>
      <c r="S2" s="187" t="s">
        <v>6</v>
      </c>
      <c r="T2" s="188"/>
      <c r="U2" s="188"/>
      <c r="V2" s="189"/>
      <c r="W2" s="142"/>
      <c r="Y2" s="190" t="s">
        <v>6</v>
      </c>
      <c r="Z2" s="191"/>
      <c r="AA2" s="191"/>
      <c r="AB2" s="192"/>
      <c r="AC2" s="137"/>
      <c r="AE2" s="193" t="s">
        <v>6</v>
      </c>
      <c r="AF2" s="194"/>
      <c r="AG2" s="194"/>
      <c r="AH2" s="195"/>
    </row>
    <row r="3" spans="1:35" s="4" customFormat="1" ht="33" customHeight="1" thickBot="1" x14ac:dyDescent="0.85">
      <c r="A3" s="5"/>
      <c r="B3" s="196"/>
      <c r="C3" s="196"/>
      <c r="D3" s="196"/>
      <c r="E3" s="198"/>
      <c r="F3" s="2"/>
      <c r="G3" s="211" t="s">
        <v>74</v>
      </c>
      <c r="H3" s="212"/>
      <c r="I3" s="212"/>
      <c r="J3" s="213"/>
      <c r="K3" s="144"/>
      <c r="L3" s="3"/>
      <c r="M3" s="214" t="s">
        <v>75</v>
      </c>
      <c r="N3" s="215"/>
      <c r="O3" s="215"/>
      <c r="P3" s="216"/>
      <c r="Q3" s="145"/>
      <c r="R3" s="3"/>
      <c r="S3" s="217" t="s">
        <v>74</v>
      </c>
      <c r="T3" s="218"/>
      <c r="U3" s="218"/>
      <c r="V3" s="219"/>
      <c r="W3" s="142"/>
      <c r="Y3" s="220" t="s">
        <v>10</v>
      </c>
      <c r="Z3" s="221"/>
      <c r="AA3" s="221"/>
      <c r="AB3" s="222"/>
      <c r="AC3" s="137"/>
      <c r="AE3" s="223" t="s">
        <v>10</v>
      </c>
      <c r="AF3" s="224"/>
      <c r="AG3" s="224"/>
      <c r="AH3" s="225"/>
    </row>
    <row r="4" spans="1:35" s="4" customFormat="1" ht="33" customHeight="1" thickBot="1" x14ac:dyDescent="0.85">
      <c r="A4" s="57"/>
      <c r="B4" s="226" t="s">
        <v>11</v>
      </c>
      <c r="C4" s="229" t="s">
        <v>12</v>
      </c>
      <c r="D4" s="232" t="s">
        <v>13</v>
      </c>
      <c r="E4" s="233"/>
      <c r="F4" s="2"/>
      <c r="G4" s="234" t="s">
        <v>14</v>
      </c>
      <c r="H4" s="235"/>
      <c r="I4" s="235" t="s">
        <v>15</v>
      </c>
      <c r="J4" s="236"/>
      <c r="K4" s="111"/>
      <c r="L4" s="6"/>
      <c r="M4" s="237" t="s">
        <v>14</v>
      </c>
      <c r="N4" s="238"/>
      <c r="O4" s="238" t="s">
        <v>16</v>
      </c>
      <c r="P4" s="239"/>
      <c r="Q4" s="117"/>
      <c r="R4" s="6"/>
      <c r="S4" s="240" t="s">
        <v>14</v>
      </c>
      <c r="T4" s="241"/>
      <c r="U4" s="241" t="s">
        <v>15</v>
      </c>
      <c r="V4" s="242"/>
      <c r="W4" s="121"/>
      <c r="Y4" s="243" t="s">
        <v>14</v>
      </c>
      <c r="Z4" s="244"/>
      <c r="AA4" s="244" t="s">
        <v>16</v>
      </c>
      <c r="AB4" s="245"/>
      <c r="AC4" s="125"/>
      <c r="AE4" s="246" t="s">
        <v>14</v>
      </c>
      <c r="AF4" s="247"/>
      <c r="AG4" s="247" t="s">
        <v>16</v>
      </c>
      <c r="AH4" s="248"/>
    </row>
    <row r="5" spans="1:35" s="4" customFormat="1" ht="45" customHeight="1" thickBot="1" x14ac:dyDescent="0.85">
      <c r="A5" s="58"/>
      <c r="B5" s="227"/>
      <c r="C5" s="230"/>
      <c r="D5" s="249">
        <f ca="1">+TODAY()</f>
        <v>46104</v>
      </c>
      <c r="E5" s="250"/>
      <c r="F5" s="2"/>
      <c r="G5" s="251" t="s">
        <v>17</v>
      </c>
      <c r="H5" s="143" t="s">
        <v>18</v>
      </c>
      <c r="I5" s="253" t="s">
        <v>19</v>
      </c>
      <c r="J5" s="255" t="s">
        <v>20</v>
      </c>
      <c r="K5" s="112"/>
      <c r="L5" s="2"/>
      <c r="M5" s="257" t="s">
        <v>17</v>
      </c>
      <c r="N5" s="77" t="s">
        <v>21</v>
      </c>
      <c r="O5" s="259" t="s">
        <v>19</v>
      </c>
      <c r="P5" s="287" t="s">
        <v>20</v>
      </c>
      <c r="Q5" s="118"/>
      <c r="R5" s="2"/>
      <c r="S5" s="289" t="s">
        <v>17</v>
      </c>
      <c r="T5" s="140" t="s">
        <v>22</v>
      </c>
      <c r="U5" s="291" t="s">
        <v>19</v>
      </c>
      <c r="V5" s="269" t="s">
        <v>20</v>
      </c>
      <c r="W5" s="122"/>
      <c r="Y5" s="271" t="s">
        <v>17</v>
      </c>
      <c r="Z5" s="138" t="s">
        <v>22</v>
      </c>
      <c r="AA5" s="273" t="s">
        <v>19</v>
      </c>
      <c r="AB5" s="261" t="s">
        <v>20</v>
      </c>
      <c r="AC5" s="126"/>
      <c r="AE5" s="263" t="s">
        <v>17</v>
      </c>
      <c r="AF5" s="146" t="s">
        <v>22</v>
      </c>
      <c r="AG5" s="265" t="s">
        <v>19</v>
      </c>
      <c r="AH5" s="267" t="s">
        <v>20</v>
      </c>
    </row>
    <row r="6" spans="1:35" s="4" customFormat="1" ht="30" customHeight="1" thickBot="1" x14ac:dyDescent="0.85">
      <c r="A6" s="59"/>
      <c r="B6" s="228"/>
      <c r="C6" s="231"/>
      <c r="D6" s="141" t="s">
        <v>23</v>
      </c>
      <c r="E6" s="141" t="s">
        <v>24</v>
      </c>
      <c r="F6" s="2"/>
      <c r="G6" s="252"/>
      <c r="H6" s="7">
        <v>0.19</v>
      </c>
      <c r="I6" s="254"/>
      <c r="J6" s="256"/>
      <c r="K6" s="112"/>
      <c r="L6" s="2"/>
      <c r="M6" s="258"/>
      <c r="N6" s="78">
        <v>0.19</v>
      </c>
      <c r="O6" s="260"/>
      <c r="P6" s="288"/>
      <c r="Q6" s="118"/>
      <c r="R6" s="2"/>
      <c r="S6" s="290"/>
      <c r="T6" s="108">
        <v>0.19</v>
      </c>
      <c r="U6" s="292"/>
      <c r="V6" s="270"/>
      <c r="W6" s="122"/>
      <c r="Y6" s="272"/>
      <c r="Z6" s="8">
        <v>0.19</v>
      </c>
      <c r="AA6" s="274"/>
      <c r="AB6" s="262"/>
      <c r="AC6" s="126"/>
      <c r="AE6" s="264"/>
      <c r="AF6" s="92">
        <v>0.19</v>
      </c>
      <c r="AG6" s="266"/>
      <c r="AH6" s="268"/>
    </row>
    <row r="7" spans="1:35" ht="22.15" x14ac:dyDescent="0.65">
      <c r="A7" s="101"/>
      <c r="B7" s="104">
        <v>1</v>
      </c>
      <c r="C7" s="105" t="s">
        <v>82</v>
      </c>
      <c r="D7" s="106" t="s">
        <v>83</v>
      </c>
      <c r="E7" s="9">
        <v>100</v>
      </c>
      <c r="F7" s="107"/>
      <c r="G7" s="65">
        <v>2475</v>
      </c>
      <c r="H7" s="11">
        <f>G7*$H$6</f>
        <v>470.25</v>
      </c>
      <c r="I7" s="11">
        <f>G7+H7</f>
        <v>2945.25</v>
      </c>
      <c r="J7" s="72">
        <f>E7*I7</f>
        <v>294525</v>
      </c>
      <c r="K7" s="113">
        <f>+IF(G7-MIN(IF($G7&gt;0,$G7,100000*100000),IF($M7&gt;0,$M7,100000*100000),IF($S7&gt;0,$S7,100000*100000),IF($Y7&gt;0,$Y7,100000*100000),IF($AE7&gt;0,$AE7,100000*100000))&gt;0,G7-MIN(IF($G7&gt;0,$G7,100000*100000),IF($M7&gt;0,$M7,100000*100000),IF($S7&gt;0,$S7,100000*100000),IF($Y7&gt;0,$Y7,100000*100000),IF($AE7&gt;0,$AE7,100000*100000)),0)</f>
        <v>160</v>
      </c>
      <c r="L7" s="12"/>
      <c r="M7" s="65">
        <v>2315</v>
      </c>
      <c r="N7" s="11">
        <f>M7*$H$6</f>
        <v>439.85</v>
      </c>
      <c r="O7" s="79">
        <f>M7+N7</f>
        <v>2754.85</v>
      </c>
      <c r="P7" s="66">
        <f>E7*O7</f>
        <v>275485</v>
      </c>
      <c r="Q7" s="113">
        <f>+IF(M7-MIN(IF($G7&gt;0,$G7,100000*100000),IF($M7&gt;0,$M7,100000*100000),IF($S7&gt;0,$S7,100000*100000),IF($Y7&gt;0,$Y7,100000*100000),IF($AE7&gt;0,$AE7,100000*100000))&gt;0,M7-MIN(IF($G7&gt;0,$G7,100000*100000),IF($M7&gt;0,$M7,100000*100000),IF($S7&gt;0,$S7,100000*100000),IF($Y7&gt;0,$Y7,100000*100000),IF($AE7&gt;0,$AE7,100000*100000)),0)</f>
        <v>0</v>
      </c>
      <c r="R7" s="12"/>
      <c r="S7" s="10">
        <v>2900</v>
      </c>
      <c r="T7" s="11">
        <f>S7*$H$6</f>
        <v>551</v>
      </c>
      <c r="U7" s="10">
        <f t="shared" ref="U7:U11" si="0">S7+T7</f>
        <v>3451</v>
      </c>
      <c r="V7" s="109">
        <f>E7*U7</f>
        <v>345100</v>
      </c>
      <c r="W7" s="113">
        <f>+IF(S7-MIN(IF($G7&gt;0,$G7,100000*100000),IF($M7&gt;0,$M7,100000*100000),IF($S7&gt;0,$S7,100000*100000),IF($Y7&gt;0,$Y7,100000*100000),IF($AE7&gt;0,$AE7,100000*100000))&gt;0,S7-MIN(IF($G7&gt;0,$G7,100000*100000),IF($M7&gt;0,$M7,100000*100000),IF($S7&gt;0,$S7,100000*100000),IF($Y7&gt;0,$Y7,100000*100000),IF($AE7&gt;0,$AE7,100000*100000)),0)</f>
        <v>585</v>
      </c>
      <c r="Y7" s="14"/>
      <c r="Z7" s="10">
        <f t="shared" ref="Z7:Z8" si="1">Y7*$T$6</f>
        <v>0</v>
      </c>
      <c r="AA7" s="10">
        <f>Y7+Z7</f>
        <v>0</v>
      </c>
      <c r="AB7" s="66">
        <f>E7*AA7</f>
        <v>0</v>
      </c>
      <c r="AC7" s="113">
        <f>+IF(Y7-MIN(IF($G7&gt;0,$G7,100000*100000),IF($M7&gt;0,$M7,100000*100000),IF($S7&gt;0,$S7,100000*100000),IF($Y7&gt;0,$Y7,100000*100000),IF($AE7&gt;0,$AE7,100000*100000))&gt;0,Y7-MIN(IF($G7&gt;0,$G7,100000*100000),IF($M7&gt;0,$M7,100000*100000),IF($S7&gt;0,$S7,100000*100000),IF($Y7&gt;0,$Y7,100000*100000),IF($AE7&gt;0,$AE7,100000*100000)),0)</f>
        <v>0</v>
      </c>
      <c r="AE7" s="14"/>
      <c r="AF7" s="10">
        <f>+AE7*$AF$6</f>
        <v>0</v>
      </c>
      <c r="AG7" s="10">
        <f>+AE7+AF7</f>
        <v>0</v>
      </c>
      <c r="AH7" s="13">
        <f>+E7*AG7</f>
        <v>0</v>
      </c>
      <c r="AI7" s="113">
        <f>+IF(AE7-MIN(IF($G7&gt;0,$G7,100000*100000),IF($M7&gt;0,$M7,100000*100000),IF($S7&gt;0,$S7,100000*100000),IF($Y7&gt;0,$Y7,100000*100000),IF($AE7&gt;0,$AE7,100000*100000))&gt;0,AE7-MIN(IF($G7&gt;0,$G7,100000*100000),IF($M7&gt;0,$M7,100000*100000),IF($S7&gt;0,$S7,100000*100000),IF($Y7&gt;0,$Y7,100000*100000),IF($AE7&gt;0,$AE7,100000*100000)),0)</f>
        <v>0</v>
      </c>
    </row>
    <row r="8" spans="1:35" s="100" customFormat="1" ht="22.5" hidden="1" thickBot="1" x14ac:dyDescent="0.85">
      <c r="A8" s="96"/>
      <c r="B8" s="97">
        <v>2</v>
      </c>
      <c r="C8" s="103"/>
      <c r="D8" s="99"/>
      <c r="E8" s="16"/>
      <c r="F8" s="17"/>
      <c r="G8" s="65"/>
      <c r="H8" s="11">
        <f t="shared" ref="H8:H11" si="2">G8*$H$6</f>
        <v>0</v>
      </c>
      <c r="I8" s="11">
        <f t="shared" ref="I8:I11" si="3">G8+H8</f>
        <v>0</v>
      </c>
      <c r="J8" s="72">
        <f>E8*I8</f>
        <v>0</v>
      </c>
      <c r="K8" s="113">
        <f t="shared" ref="K8:K11" si="4">+IF(G8-MIN(IF($G8&gt;0,$G8,100000*100000),IF($M8&gt;0,$M8,100000*100000),IF($S8&gt;0,$S8,100000*100000),IF($Y8&gt;0,$Y8,100000*100000),IF($AE8&gt;0,$AE8,100000*100000))&gt;0,G8-MIN(IF($G8&gt;0,$G8,100000*100000),IF($M8&gt;0,$M8,100000*100000),IF($S8&gt;0,$S8,100000*100000),IF($Y8&gt;0,$Y8,100000*100000),IF($AE8&gt;0,$AE8,100000*100000)),0)</f>
        <v>0</v>
      </c>
      <c r="L8" s="17"/>
      <c r="M8" s="65"/>
      <c r="N8" s="11">
        <f t="shared" ref="N8:N11" si="5">M8*$N$6</f>
        <v>0</v>
      </c>
      <c r="O8" s="79">
        <f t="shared" ref="O8:O11" si="6">M8+N8</f>
        <v>0</v>
      </c>
      <c r="P8" s="66">
        <f t="shared" ref="P8:P11" si="7">E8*O8</f>
        <v>0</v>
      </c>
      <c r="Q8" s="113">
        <f t="shared" ref="Q8:Q11" si="8">+IF(M8-MIN(IF($G8&gt;0,$G8,100000*100000),IF($M8&gt;0,$M8,100000*100000),IF($S8&gt;0,$S8,100000*100000),IF($Y8&gt;0,$Y8,100000*100000),IF($AE8&gt;0,$AE8,100000*100000))&gt;0,M8-MIN(IF($G8&gt;0,$G8,100000*100000),IF($M8&gt;0,$M8,100000*100000),IF($S8&gt;0,$S8,100000*100000),IF($Y8&gt;0,$Y8,100000*100000),IF($AE8&gt;0,$AE8,100000*100000)),0)</f>
        <v>0</v>
      </c>
      <c r="R8" s="17"/>
      <c r="S8" s="10"/>
      <c r="T8" s="10">
        <f t="shared" ref="T8:T11" si="9">S8*$T$6</f>
        <v>0</v>
      </c>
      <c r="U8" s="10">
        <f t="shared" si="0"/>
        <v>0</v>
      </c>
      <c r="V8" s="109">
        <f>E8*U8</f>
        <v>0</v>
      </c>
      <c r="W8" s="113">
        <f t="shared" ref="W8:W11" si="10">+IF(S8-MIN(IF($G8&gt;0,$G8,100000*100000),IF($M8&gt;0,$M8,100000*100000),IF($S8&gt;0,$S8,100000*100000),IF($Y8&gt;0,$Y8,100000*100000),IF($AE8&gt;0,$AE8,100000*100000))&gt;0,S8-MIN(IF($G8&gt;0,$G8,100000*100000),IF($M8&gt;0,$M8,100000*100000),IF($S8&gt;0,$S8,100000*100000),IF($Y8&gt;0,$Y8,100000*100000),IF($AE8&gt;0,$AE8,100000*100000)),0)</f>
        <v>0</v>
      </c>
      <c r="Y8" s="14"/>
      <c r="Z8" s="10">
        <f t="shared" si="1"/>
        <v>0</v>
      </c>
      <c r="AA8" s="10">
        <f t="shared" ref="AA8" si="11">Y8+Z8</f>
        <v>0</v>
      </c>
      <c r="AB8" s="66">
        <f t="shared" ref="AB8:AB11" si="12">E8*AA8</f>
        <v>0</v>
      </c>
      <c r="AC8" s="113">
        <f t="shared" ref="AC8:AC11" si="13">+IF(Y8-MIN(IF($G8&gt;0,$G8,100000*100000),IF($M8&gt;0,$M8,100000*100000),IF($S8&gt;0,$S8,100000*100000),IF($Y8&gt;0,$Y8,100000*100000),IF($AE8&gt;0,$AE8,100000*100000))&gt;0,Y8-MIN(IF($G8&gt;0,$G8,100000*100000),IF($M8&gt;0,$M8,100000*100000),IF($S8&gt;0,$S8,100000*100000),IF($Y8&gt;0,$Y8,100000*100000),IF($AE8&gt;0,$AE8,100000*100000)),0)</f>
        <v>0</v>
      </c>
      <c r="AE8" s="14"/>
      <c r="AF8" s="10">
        <f>+AE8*$AF$6</f>
        <v>0</v>
      </c>
      <c r="AG8" s="10">
        <f>+AE8+AF8</f>
        <v>0</v>
      </c>
      <c r="AH8" s="13">
        <f>+E8*AG8</f>
        <v>0</v>
      </c>
      <c r="AI8" s="113">
        <f t="shared" ref="AI8:AI11" si="14">+IF(AE8-MIN(IF($G8&gt;0,$G8,100000*100000),IF($M8&gt;0,$M8,100000*100000),IF($S8&gt;0,$S8,100000*100000),IF($Y8&gt;0,$Y8,100000*100000),IF($AE8&gt;0,$AE8,100000*100000))&gt;0,AE8-MIN(IF($G8&gt;0,$G8,100000*100000),IF($M8&gt;0,$M8,100000*100000),IF($S8&gt;0,$S8,100000*100000),IF($Y8&gt;0,$Y8,100000*100000),IF($AE8&gt;0,$AE8,100000*100000)),0)</f>
        <v>0</v>
      </c>
    </row>
    <row r="9" spans="1:35" s="100" customFormat="1" ht="22.15" hidden="1" x14ac:dyDescent="0.8">
      <c r="A9" s="101"/>
      <c r="B9" s="102">
        <v>3</v>
      </c>
      <c r="C9" s="103"/>
      <c r="D9" s="99"/>
      <c r="E9" s="16"/>
      <c r="F9" s="17"/>
      <c r="G9" s="65"/>
      <c r="H9" s="11"/>
      <c r="I9" s="11"/>
      <c r="J9" s="72">
        <f>E9*I9</f>
        <v>0</v>
      </c>
      <c r="K9" s="113">
        <f t="shared" si="4"/>
        <v>0</v>
      </c>
      <c r="L9" s="17"/>
      <c r="M9" s="65"/>
      <c r="N9" s="11">
        <f t="shared" si="5"/>
        <v>0</v>
      </c>
      <c r="O9" s="79">
        <f t="shared" si="6"/>
        <v>0</v>
      </c>
      <c r="P9" s="66">
        <f t="shared" si="7"/>
        <v>0</v>
      </c>
      <c r="Q9" s="113">
        <f t="shared" si="8"/>
        <v>0</v>
      </c>
      <c r="R9" s="17"/>
      <c r="S9" s="75"/>
      <c r="T9" s="10">
        <f t="shared" si="9"/>
        <v>0</v>
      </c>
      <c r="U9" s="10">
        <f t="shared" si="0"/>
        <v>0</v>
      </c>
      <c r="V9" s="66">
        <f>E9*U9</f>
        <v>0</v>
      </c>
      <c r="W9" s="113">
        <f t="shared" si="10"/>
        <v>0</v>
      </c>
      <c r="Y9" s="14"/>
      <c r="Z9" s="10">
        <f>+Y9*$Z$6</f>
        <v>0</v>
      </c>
      <c r="AA9" s="10">
        <f>+Y9+Z9</f>
        <v>0</v>
      </c>
      <c r="AB9" s="66">
        <f t="shared" si="12"/>
        <v>0</v>
      </c>
      <c r="AC9" s="113">
        <f t="shared" si="13"/>
        <v>0</v>
      </c>
      <c r="AE9" s="14"/>
      <c r="AF9" s="10"/>
      <c r="AG9" s="10"/>
      <c r="AH9" s="13"/>
      <c r="AI9" s="113">
        <f t="shared" si="14"/>
        <v>0</v>
      </c>
    </row>
    <row r="10" spans="1:35" s="100" customFormat="1" ht="22.5" hidden="1" thickBot="1" x14ac:dyDescent="0.7">
      <c r="A10" s="96"/>
      <c r="B10" s="97">
        <v>4</v>
      </c>
      <c r="C10" s="98"/>
      <c r="D10" s="99"/>
      <c r="E10" s="16"/>
      <c r="F10" s="17"/>
      <c r="G10" s="65"/>
      <c r="H10" s="11">
        <f t="shared" si="2"/>
        <v>0</v>
      </c>
      <c r="I10" s="11">
        <f t="shared" si="3"/>
        <v>0</v>
      </c>
      <c r="J10" s="72">
        <f>E10*I10</f>
        <v>0</v>
      </c>
      <c r="K10" s="113">
        <f t="shared" si="4"/>
        <v>0</v>
      </c>
      <c r="L10" s="17"/>
      <c r="M10" s="65"/>
      <c r="N10" s="11">
        <f t="shared" si="5"/>
        <v>0</v>
      </c>
      <c r="O10" s="79">
        <f t="shared" si="6"/>
        <v>0</v>
      </c>
      <c r="P10" s="66">
        <f t="shared" si="7"/>
        <v>0</v>
      </c>
      <c r="Q10" s="113">
        <f t="shared" si="8"/>
        <v>0</v>
      </c>
      <c r="R10" s="17"/>
      <c r="S10" s="75"/>
      <c r="T10" s="10">
        <f t="shared" si="9"/>
        <v>0</v>
      </c>
      <c r="U10" s="10">
        <f t="shared" si="0"/>
        <v>0</v>
      </c>
      <c r="V10" s="66">
        <f>E10*U10</f>
        <v>0</v>
      </c>
      <c r="W10" s="113">
        <f t="shared" si="10"/>
        <v>0</v>
      </c>
      <c r="Y10" s="14"/>
      <c r="Z10" s="10">
        <f t="shared" ref="Z10:Z11" si="15">+Y10*$Z$6</f>
        <v>0</v>
      </c>
      <c r="AA10" s="10">
        <f t="shared" ref="AA10:AA11" si="16">+Y10+Z10</f>
        <v>0</v>
      </c>
      <c r="AB10" s="66">
        <f t="shared" si="12"/>
        <v>0</v>
      </c>
      <c r="AC10" s="113">
        <f t="shared" si="13"/>
        <v>0</v>
      </c>
      <c r="AE10" s="14"/>
      <c r="AF10" s="10"/>
      <c r="AG10" s="10"/>
      <c r="AH10" s="13"/>
      <c r="AI10" s="113">
        <f t="shared" si="14"/>
        <v>0</v>
      </c>
    </row>
    <row r="11" spans="1:35" s="100" customFormat="1" ht="22.15" hidden="1" x14ac:dyDescent="0.65">
      <c r="A11" s="101"/>
      <c r="B11" s="102">
        <v>5</v>
      </c>
      <c r="C11" s="98"/>
      <c r="D11" s="99"/>
      <c r="E11" s="16"/>
      <c r="F11" s="17"/>
      <c r="G11" s="67"/>
      <c r="H11" s="11">
        <f t="shared" si="2"/>
        <v>0</v>
      </c>
      <c r="I11" s="11">
        <f t="shared" si="3"/>
        <v>0</v>
      </c>
      <c r="J11" s="72">
        <f t="shared" ref="J11" si="17">E11*I11</f>
        <v>0</v>
      </c>
      <c r="K11" s="113">
        <f t="shared" si="4"/>
        <v>0</v>
      </c>
      <c r="L11" s="17"/>
      <c r="M11" s="65"/>
      <c r="N11" s="11">
        <f t="shared" si="5"/>
        <v>0</v>
      </c>
      <c r="O11" s="79">
        <f t="shared" si="6"/>
        <v>0</v>
      </c>
      <c r="P11" s="66">
        <f t="shared" si="7"/>
        <v>0</v>
      </c>
      <c r="Q11" s="113">
        <f t="shared" si="8"/>
        <v>0</v>
      </c>
      <c r="R11" s="17"/>
      <c r="S11" s="75"/>
      <c r="T11" s="10">
        <f t="shared" si="9"/>
        <v>0</v>
      </c>
      <c r="U11" s="10">
        <f t="shared" si="0"/>
        <v>0</v>
      </c>
      <c r="V11" s="66">
        <f t="shared" ref="V11" si="18">E11*U11</f>
        <v>0</v>
      </c>
      <c r="W11" s="113">
        <f t="shared" si="10"/>
        <v>0</v>
      </c>
      <c r="Y11" s="14"/>
      <c r="Z11" s="10">
        <f t="shared" si="15"/>
        <v>0</v>
      </c>
      <c r="AA11" s="10">
        <f t="shared" si="16"/>
        <v>0</v>
      </c>
      <c r="AB11" s="66">
        <f t="shared" si="12"/>
        <v>0</v>
      </c>
      <c r="AC11" s="113">
        <f t="shared" si="13"/>
        <v>0</v>
      </c>
      <c r="AE11" s="14"/>
      <c r="AF11" s="10"/>
      <c r="AG11" s="10"/>
      <c r="AH11" s="13"/>
      <c r="AI11" s="113">
        <f t="shared" si="14"/>
        <v>0</v>
      </c>
    </row>
    <row r="12" spans="1:35" ht="22.5" thickBot="1" x14ac:dyDescent="0.85">
      <c r="A12" s="18"/>
      <c r="B12" s="18"/>
      <c r="C12" s="19"/>
      <c r="D12" s="20"/>
      <c r="E12" s="21"/>
      <c r="F12" s="22"/>
      <c r="G12" s="73"/>
      <c r="H12" s="71"/>
      <c r="I12" s="71"/>
      <c r="J12" s="74"/>
      <c r="K12" s="26"/>
      <c r="L12" s="26"/>
      <c r="M12" s="68"/>
      <c r="N12" s="71"/>
      <c r="O12" s="71"/>
      <c r="P12" s="69"/>
      <c r="Q12" s="17"/>
      <c r="R12" s="26"/>
      <c r="S12" s="73"/>
      <c r="T12" s="70"/>
      <c r="U12" s="70"/>
      <c r="V12" s="74"/>
      <c r="W12" s="26"/>
      <c r="Y12" s="23"/>
      <c r="Z12" s="24"/>
      <c r="AA12" s="24"/>
      <c r="AB12" s="25"/>
      <c r="AC12" s="26"/>
      <c r="AE12" s="23"/>
      <c r="AF12" s="24"/>
      <c r="AG12" s="24"/>
      <c r="AH12" s="25"/>
    </row>
    <row r="13" spans="1:35" ht="22.5" thickBot="1" x14ac:dyDescent="0.85">
      <c r="A13" s="27"/>
      <c r="B13" s="27"/>
      <c r="C13" s="28"/>
      <c r="D13" s="63"/>
      <c r="E13" s="64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Y13" s="30"/>
      <c r="Z13" s="30"/>
      <c r="AA13" s="30"/>
      <c r="AB13" s="30"/>
      <c r="AC13" s="30"/>
      <c r="AE13" s="30"/>
      <c r="AF13" s="30"/>
      <c r="AG13" s="30"/>
      <c r="AH13" s="30"/>
    </row>
    <row r="14" spans="1:35" s="4" customFormat="1" ht="25.5" x14ac:dyDescent="0.8">
      <c r="A14" s="61"/>
      <c r="B14" s="27"/>
      <c r="C14" s="275" t="s">
        <v>30</v>
      </c>
      <c r="D14" s="276"/>
      <c r="E14" s="277"/>
      <c r="F14" s="31"/>
      <c r="G14" s="281"/>
      <c r="H14" s="282"/>
      <c r="I14" s="282"/>
      <c r="J14" s="285">
        <f>SUM(J7:J12)</f>
        <v>294525</v>
      </c>
      <c r="K14" s="114"/>
      <c r="L14" s="32"/>
      <c r="M14" s="281"/>
      <c r="N14" s="282"/>
      <c r="O14" s="282"/>
      <c r="P14" s="285">
        <f>SUM(P7:P12)</f>
        <v>275485</v>
      </c>
      <c r="Q14" s="114"/>
      <c r="R14" s="32"/>
      <c r="S14" s="281"/>
      <c r="T14" s="282"/>
      <c r="U14" s="282"/>
      <c r="V14" s="285">
        <f>SUM(V7:V12)</f>
        <v>345100</v>
      </c>
      <c r="W14" s="114"/>
      <c r="Y14" s="281"/>
      <c r="Z14" s="282"/>
      <c r="AA14" s="282"/>
      <c r="AB14" s="297">
        <f>SUM(AB7:AB13)</f>
        <v>0</v>
      </c>
      <c r="AC14" s="127"/>
      <c r="AE14" s="281"/>
      <c r="AF14" s="282"/>
      <c r="AG14" s="282"/>
      <c r="AH14" s="299">
        <f>SUM(AH7:AH13)</f>
        <v>0</v>
      </c>
    </row>
    <row r="15" spans="1:35" s="4" customFormat="1" ht="25.9" thickBot="1" x14ac:dyDescent="0.85">
      <c r="A15" s="62"/>
      <c r="B15" s="27"/>
      <c r="C15" s="278"/>
      <c r="D15" s="279"/>
      <c r="E15" s="280"/>
      <c r="F15" s="31"/>
      <c r="G15" s="283"/>
      <c r="H15" s="284"/>
      <c r="I15" s="284"/>
      <c r="J15" s="286"/>
      <c r="K15" s="114"/>
      <c r="L15" s="32"/>
      <c r="M15" s="283"/>
      <c r="N15" s="284"/>
      <c r="O15" s="284"/>
      <c r="P15" s="286"/>
      <c r="Q15" s="114"/>
      <c r="R15" s="32"/>
      <c r="S15" s="283"/>
      <c r="T15" s="284"/>
      <c r="U15" s="284"/>
      <c r="V15" s="286"/>
      <c r="W15" s="114"/>
      <c r="Y15" s="283"/>
      <c r="Z15" s="284"/>
      <c r="AA15" s="284"/>
      <c r="AB15" s="298"/>
      <c r="AC15" s="127"/>
      <c r="AE15" s="283"/>
      <c r="AF15" s="284"/>
      <c r="AG15" s="284"/>
      <c r="AH15" s="300"/>
    </row>
    <row r="16" spans="1:35" s="4" customFormat="1" ht="8.25" customHeight="1" thickBot="1" x14ac:dyDescent="0.85">
      <c r="A16" s="28"/>
      <c r="B16" s="28"/>
      <c r="C16" s="28"/>
      <c r="D16" s="28"/>
      <c r="E16" s="33"/>
      <c r="F16" s="3"/>
      <c r="G16" s="35"/>
      <c r="H16" s="35"/>
      <c r="I16" s="35"/>
      <c r="J16" s="32"/>
      <c r="K16" s="32"/>
      <c r="L16" s="32"/>
      <c r="M16" s="35"/>
      <c r="N16" s="35"/>
      <c r="O16" s="35"/>
      <c r="P16" s="32"/>
      <c r="Q16" s="32"/>
      <c r="R16" s="32"/>
      <c r="S16" s="35"/>
      <c r="T16" s="35"/>
      <c r="U16" s="35"/>
      <c r="V16" s="32"/>
      <c r="W16" s="32"/>
      <c r="Y16" s="35"/>
      <c r="Z16" s="35"/>
      <c r="AA16" s="35"/>
      <c r="AB16" s="32"/>
      <c r="AC16" s="32"/>
      <c r="AE16" s="35"/>
      <c r="AF16" s="35"/>
      <c r="AG16" s="35"/>
      <c r="AH16" s="32"/>
    </row>
    <row r="17" spans="1:34" s="4" customFormat="1" ht="22.5" thickBot="1" x14ac:dyDescent="0.85">
      <c r="A17" s="87"/>
      <c r="B17" s="88" t="s">
        <v>31</v>
      </c>
      <c r="C17" s="88"/>
      <c r="D17" s="88"/>
      <c r="E17" s="89"/>
      <c r="F17" s="36"/>
      <c r="G17" s="301"/>
      <c r="H17" s="302"/>
      <c r="I17" s="302"/>
      <c r="J17" s="37">
        <f>+J14-MIN($J$14,$P$14,$V$14)</f>
        <v>19040</v>
      </c>
      <c r="K17" s="115"/>
      <c r="L17" s="38"/>
      <c r="M17" s="301"/>
      <c r="N17" s="302"/>
      <c r="O17" s="302"/>
      <c r="P17" s="39">
        <f>+P14-MIN($J$14,$P$14,$V$14)</f>
        <v>0</v>
      </c>
      <c r="Q17" s="119"/>
      <c r="R17" s="38"/>
      <c r="S17" s="301"/>
      <c r="T17" s="302"/>
      <c r="U17" s="302"/>
      <c r="V17" s="40">
        <f>+V14-MIN($J$14,$P$14,$V$14)</f>
        <v>69615</v>
      </c>
      <c r="W17" s="123"/>
      <c r="Y17" s="301"/>
      <c r="Z17" s="302"/>
      <c r="AA17" s="302"/>
      <c r="AB17" s="41">
        <f>+AB14-MIN($J$14,$P$14,$V$14)</f>
        <v>-275485</v>
      </c>
      <c r="AC17" s="128"/>
      <c r="AE17" s="301"/>
      <c r="AF17" s="302"/>
      <c r="AG17" s="302"/>
      <c r="AH17" s="93">
        <f>+AH14-MIN($J$14,$P$14,$V$14)</f>
        <v>-275485</v>
      </c>
    </row>
    <row r="18" spans="1:34" s="4" customFormat="1" ht="22.5" thickBot="1" x14ac:dyDescent="0.85">
      <c r="A18" s="84"/>
      <c r="B18" s="85" t="s">
        <v>32</v>
      </c>
      <c r="C18" s="85"/>
      <c r="D18" s="85"/>
      <c r="E18" s="86"/>
      <c r="F18" s="36"/>
      <c r="G18" s="303"/>
      <c r="H18" s="304"/>
      <c r="I18" s="304"/>
      <c r="J18" s="42">
        <f>+J17/MIN($J$14,$V$14)</f>
        <v>6.4646464646464646E-2</v>
      </c>
      <c r="K18" s="116"/>
      <c r="L18" s="43"/>
      <c r="M18" s="303"/>
      <c r="N18" s="304"/>
      <c r="O18" s="304"/>
      <c r="P18" s="44">
        <f>+P17/MIN($J$14,$P$14,$V$14)</f>
        <v>0</v>
      </c>
      <c r="Q18" s="120"/>
      <c r="R18" s="43"/>
      <c r="S18" s="303"/>
      <c r="T18" s="304"/>
      <c r="U18" s="304"/>
      <c r="V18" s="130">
        <f>+V17/MIN($J$14,$V$14)</f>
        <v>0.23636363636363636</v>
      </c>
      <c r="W18" s="124"/>
      <c r="Y18" s="303"/>
      <c r="Z18" s="304"/>
      <c r="AA18" s="304"/>
      <c r="AB18" s="45">
        <f>+AB17/MIN($J$14,$P$14,$V$14)</f>
        <v>-1</v>
      </c>
      <c r="AC18" s="129"/>
      <c r="AE18" s="303"/>
      <c r="AF18" s="304"/>
      <c r="AG18" s="304"/>
      <c r="AH18" s="94">
        <f>+AH17/MIN($J$14,$P$14,$V$14)</f>
        <v>-1</v>
      </c>
    </row>
    <row r="19" spans="1:34" s="4" customFormat="1" ht="7.5" customHeight="1" x14ac:dyDescent="0.8">
      <c r="A19" s="46"/>
      <c r="B19" s="46"/>
      <c r="C19" s="46"/>
      <c r="D19" s="46"/>
      <c r="E19" s="33"/>
      <c r="F19" s="34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Y19" s="47"/>
      <c r="Z19" s="47"/>
      <c r="AA19" s="47"/>
      <c r="AB19" s="47"/>
      <c r="AC19" s="47"/>
      <c r="AE19" s="47"/>
      <c r="AF19" s="47"/>
      <c r="AG19" s="47"/>
      <c r="AH19" s="47"/>
    </row>
    <row r="20" spans="1:34" ht="9" customHeight="1" thickBot="1" x14ac:dyDescent="0.6">
      <c r="A20" s="48"/>
      <c r="B20" s="82"/>
      <c r="C20" s="82"/>
      <c r="D20" s="82"/>
      <c r="E20" s="82"/>
      <c r="F20" s="2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Y20" s="49"/>
      <c r="Z20" s="49"/>
      <c r="AA20" s="49"/>
      <c r="AB20" s="49"/>
      <c r="AC20" s="49"/>
      <c r="AE20" s="49"/>
      <c r="AF20" s="49"/>
      <c r="AG20" s="49"/>
      <c r="AH20" s="49"/>
    </row>
    <row r="21" spans="1:34" ht="15" customHeight="1" x14ac:dyDescent="0.55000000000000004">
      <c r="A21" s="80"/>
      <c r="B21" s="82"/>
      <c r="C21" s="82"/>
      <c r="D21" s="82"/>
      <c r="E21" s="82"/>
      <c r="F21" s="50"/>
      <c r="G21" s="60" t="s">
        <v>33</v>
      </c>
      <c r="H21" s="293" t="s">
        <v>35</v>
      </c>
      <c r="I21" s="293"/>
      <c r="J21" s="294"/>
      <c r="K21" s="133"/>
      <c r="L21" s="133"/>
      <c r="M21" s="60" t="s">
        <v>33</v>
      </c>
      <c r="N21" s="293" t="s">
        <v>35</v>
      </c>
      <c r="O21" s="293"/>
      <c r="P21" s="294"/>
      <c r="Q21" s="133"/>
      <c r="R21" s="133"/>
      <c r="S21" s="60" t="s">
        <v>33</v>
      </c>
      <c r="T21" s="293" t="s">
        <v>35</v>
      </c>
      <c r="U21" s="293"/>
      <c r="V21" s="294"/>
      <c r="W21" s="133"/>
      <c r="Y21" s="60" t="s">
        <v>33</v>
      </c>
      <c r="Z21" s="293" t="s">
        <v>35</v>
      </c>
      <c r="AA21" s="293"/>
      <c r="AB21" s="294"/>
      <c r="AC21" s="133"/>
      <c r="AE21" s="60" t="s">
        <v>33</v>
      </c>
      <c r="AF21" s="293" t="s">
        <v>35</v>
      </c>
      <c r="AG21" s="293"/>
      <c r="AH21" s="294"/>
    </row>
    <row r="22" spans="1:34" ht="15" customHeight="1" x14ac:dyDescent="0.55000000000000004">
      <c r="A22" s="81"/>
      <c r="B22" s="82"/>
      <c r="C22" s="82"/>
      <c r="D22" s="82"/>
      <c r="E22" s="82"/>
      <c r="F22" s="50"/>
      <c r="G22" s="51"/>
      <c r="H22" s="53"/>
      <c r="I22" s="53"/>
      <c r="J22" s="54"/>
      <c r="K22" s="53"/>
      <c r="L22" s="53"/>
      <c r="M22" s="51"/>
      <c r="N22" s="53"/>
      <c r="O22" s="53"/>
      <c r="P22" s="54"/>
      <c r="Q22" s="53"/>
      <c r="R22" s="53"/>
      <c r="S22" s="51"/>
      <c r="T22" s="53"/>
      <c r="U22" s="53"/>
      <c r="V22" s="54"/>
      <c r="W22" s="53"/>
      <c r="Y22" s="51"/>
      <c r="Z22" s="53"/>
      <c r="AA22" s="53"/>
      <c r="AB22" s="54"/>
      <c r="AC22" s="53"/>
      <c r="AE22" s="51"/>
      <c r="AF22" s="53"/>
      <c r="AG22" s="53"/>
      <c r="AH22" s="54"/>
    </row>
    <row r="23" spans="1:34" ht="15" customHeight="1" x14ac:dyDescent="0.55000000000000004">
      <c r="A23" s="81"/>
      <c r="B23" s="82"/>
      <c r="C23" s="82"/>
      <c r="D23" s="82"/>
      <c r="E23" s="82"/>
      <c r="F23" s="50"/>
      <c r="G23" s="51" t="s">
        <v>36</v>
      </c>
      <c r="H23" s="52"/>
      <c r="I23" s="52"/>
      <c r="J23" s="55"/>
      <c r="K23" s="52"/>
      <c r="L23" s="139"/>
      <c r="M23" s="131" t="s">
        <v>36</v>
      </c>
      <c r="N23" s="90"/>
      <c r="O23" s="90"/>
      <c r="P23" s="91"/>
      <c r="Q23" s="90"/>
      <c r="R23" s="139"/>
      <c r="S23" s="131" t="s">
        <v>36</v>
      </c>
      <c r="T23" s="295"/>
      <c r="U23" s="295"/>
      <c r="V23" s="296"/>
      <c r="W23" s="139"/>
      <c r="Y23" s="131" t="s">
        <v>36</v>
      </c>
      <c r="Z23" s="295"/>
      <c r="AA23" s="295"/>
      <c r="AB23" s="296"/>
      <c r="AC23" s="139"/>
      <c r="AE23" s="131" t="s">
        <v>36</v>
      </c>
      <c r="AF23" s="295"/>
      <c r="AG23" s="295"/>
      <c r="AH23" s="296"/>
    </row>
    <row r="24" spans="1:34" ht="15" customHeight="1" x14ac:dyDescent="0.55000000000000004">
      <c r="A24" s="81"/>
      <c r="B24" s="82"/>
      <c r="C24" s="82"/>
      <c r="D24" s="82"/>
      <c r="E24" s="82"/>
      <c r="F24" s="50"/>
      <c r="G24" s="51"/>
      <c r="H24" s="53"/>
      <c r="I24" s="53"/>
      <c r="J24" s="54"/>
      <c r="K24" s="53"/>
      <c r="L24" s="53"/>
      <c r="M24" s="51"/>
      <c r="N24" s="53"/>
      <c r="O24" s="53"/>
      <c r="P24" s="54"/>
      <c r="Q24" s="53"/>
      <c r="R24" s="53"/>
      <c r="S24" s="51"/>
      <c r="T24" s="53"/>
      <c r="U24" s="53"/>
      <c r="V24" s="54"/>
      <c r="W24" s="53"/>
      <c r="Y24" s="51"/>
      <c r="Z24" s="53"/>
      <c r="AA24" s="53"/>
      <c r="AB24" s="54"/>
      <c r="AC24" s="53"/>
      <c r="AE24" s="51"/>
      <c r="AF24" s="53"/>
      <c r="AG24" s="53"/>
      <c r="AH24" s="54"/>
    </row>
    <row r="25" spans="1:34" ht="15" customHeight="1" x14ac:dyDescent="0.55000000000000004">
      <c r="A25" s="81"/>
      <c r="B25" s="82"/>
      <c r="C25" s="95" t="s">
        <v>37</v>
      </c>
      <c r="D25" s="82"/>
      <c r="E25" s="82"/>
      <c r="F25" s="50"/>
      <c r="G25" s="131" t="s">
        <v>38</v>
      </c>
      <c r="H25" s="305"/>
      <c r="I25" s="305"/>
      <c r="J25" s="306"/>
      <c r="K25" s="133"/>
      <c r="L25" s="133"/>
      <c r="M25" s="131" t="s">
        <v>38</v>
      </c>
      <c r="N25" s="305"/>
      <c r="O25" s="305"/>
      <c r="P25" s="306"/>
      <c r="Q25" s="133"/>
      <c r="R25" s="133"/>
      <c r="S25" s="131" t="s">
        <v>38</v>
      </c>
      <c r="T25" s="305"/>
      <c r="U25" s="305"/>
      <c r="V25" s="306"/>
      <c r="W25" s="133"/>
      <c r="Y25" s="131" t="s">
        <v>38</v>
      </c>
      <c r="Z25" s="305"/>
      <c r="AA25" s="305"/>
      <c r="AB25" s="306"/>
      <c r="AC25" s="133"/>
      <c r="AE25" s="131" t="s">
        <v>38</v>
      </c>
      <c r="AF25" s="305"/>
      <c r="AG25" s="305"/>
      <c r="AH25" s="306"/>
    </row>
    <row r="26" spans="1:34" ht="15" customHeight="1" x14ac:dyDescent="0.55000000000000004">
      <c r="A26" s="81"/>
      <c r="B26" s="82"/>
      <c r="C26" s="82" t="s">
        <v>39</v>
      </c>
      <c r="D26" s="82"/>
      <c r="E26" s="82"/>
      <c r="F26" s="50"/>
      <c r="G26" s="51"/>
      <c r="H26" s="52"/>
      <c r="I26" s="52"/>
      <c r="J26" s="55"/>
      <c r="K26" s="52"/>
      <c r="L26" s="52"/>
      <c r="M26" s="51"/>
      <c r="N26" s="52"/>
      <c r="O26" s="52"/>
      <c r="P26" s="55"/>
      <c r="Q26" s="52"/>
      <c r="R26" s="52"/>
      <c r="S26" s="51"/>
      <c r="T26" s="52"/>
      <c r="U26" s="52"/>
      <c r="V26" s="55"/>
      <c r="W26" s="52"/>
      <c r="Y26" s="51"/>
      <c r="Z26" s="52"/>
      <c r="AA26" s="52"/>
      <c r="AB26" s="55"/>
      <c r="AC26" s="52"/>
      <c r="AE26" s="51"/>
      <c r="AF26" s="52"/>
      <c r="AG26" s="52"/>
      <c r="AH26" s="55"/>
    </row>
    <row r="27" spans="1:34" ht="15" customHeight="1" x14ac:dyDescent="0.55000000000000004">
      <c r="A27" s="81"/>
      <c r="B27" s="82"/>
      <c r="C27" s="82" t="s">
        <v>40</v>
      </c>
      <c r="D27" s="82"/>
      <c r="E27" s="82"/>
      <c r="F27" s="50"/>
      <c r="G27" s="307" t="s">
        <v>41</v>
      </c>
      <c r="H27" s="308"/>
      <c r="I27" s="305"/>
      <c r="J27" s="306"/>
      <c r="K27" s="133"/>
      <c r="L27" s="133"/>
      <c r="M27" s="51" t="s">
        <v>41</v>
      </c>
      <c r="N27" s="52"/>
      <c r="O27" s="52"/>
      <c r="P27" s="55"/>
      <c r="Q27" s="52"/>
      <c r="R27" s="133"/>
      <c r="S27" s="307" t="s">
        <v>41</v>
      </c>
      <c r="T27" s="308"/>
      <c r="U27" s="305"/>
      <c r="V27" s="306"/>
      <c r="W27" s="133"/>
      <c r="Y27" s="307" t="s">
        <v>41</v>
      </c>
      <c r="Z27" s="308"/>
      <c r="AA27" s="305"/>
      <c r="AB27" s="306"/>
      <c r="AC27" s="133"/>
      <c r="AE27" s="307" t="s">
        <v>41</v>
      </c>
      <c r="AF27" s="308"/>
      <c r="AG27" s="305"/>
      <c r="AH27" s="306"/>
    </row>
    <row r="28" spans="1:34" ht="15" customHeight="1" x14ac:dyDescent="0.55000000000000004">
      <c r="A28" s="81"/>
      <c r="B28" s="82"/>
      <c r="C28" s="82" t="s">
        <v>42</v>
      </c>
      <c r="D28" s="82"/>
      <c r="E28" s="82"/>
      <c r="F28" s="50"/>
      <c r="G28" s="131"/>
      <c r="H28" s="132"/>
      <c r="I28" s="133"/>
      <c r="J28" s="134"/>
      <c r="K28" s="133"/>
      <c r="L28" s="133"/>
      <c r="M28" s="131"/>
      <c r="N28" s="132"/>
      <c r="O28" s="133"/>
      <c r="P28" s="134"/>
      <c r="Q28" s="133"/>
      <c r="R28" s="133"/>
      <c r="S28" s="131"/>
      <c r="T28" s="132"/>
      <c r="U28" s="133"/>
      <c r="V28" s="134"/>
      <c r="W28" s="133"/>
      <c r="Y28" s="131"/>
      <c r="Z28" s="132"/>
      <c r="AA28" s="133"/>
      <c r="AB28" s="134"/>
      <c r="AC28" s="133"/>
      <c r="AE28" s="131"/>
      <c r="AF28" s="132"/>
      <c r="AG28" s="133"/>
      <c r="AH28" s="134"/>
    </row>
    <row r="29" spans="1:34" ht="15" customHeight="1" x14ac:dyDescent="0.55000000000000004">
      <c r="A29" s="81"/>
      <c r="B29" s="82"/>
      <c r="C29" s="82" t="s">
        <v>43</v>
      </c>
      <c r="D29" s="82"/>
      <c r="E29" s="82"/>
      <c r="F29" s="50"/>
      <c r="G29" s="131" t="s">
        <v>44</v>
      </c>
      <c r="H29" s="52"/>
      <c r="I29" s="52"/>
      <c r="J29" s="55"/>
      <c r="K29" s="52"/>
      <c r="L29" s="135"/>
      <c r="M29" s="51" t="s">
        <v>44</v>
      </c>
      <c r="N29" s="52"/>
      <c r="O29" s="52"/>
      <c r="P29" s="55"/>
      <c r="Q29" s="52"/>
      <c r="R29" s="135"/>
      <c r="S29" s="131" t="s">
        <v>44</v>
      </c>
      <c r="T29" s="309"/>
      <c r="U29" s="309"/>
      <c r="V29" s="310"/>
      <c r="W29" s="135"/>
      <c r="Y29" s="131" t="s">
        <v>44</v>
      </c>
      <c r="Z29" s="309"/>
      <c r="AA29" s="309"/>
      <c r="AB29" s="310"/>
      <c r="AC29" s="135"/>
      <c r="AE29" s="131" t="s">
        <v>44</v>
      </c>
      <c r="AF29" s="309"/>
      <c r="AG29" s="309"/>
      <c r="AH29" s="310"/>
    </row>
    <row r="30" spans="1:34" ht="15" customHeight="1" x14ac:dyDescent="0.55000000000000004">
      <c r="A30" s="81"/>
      <c r="B30" s="82"/>
      <c r="C30" s="82" t="s">
        <v>45</v>
      </c>
      <c r="D30" s="82"/>
      <c r="E30" s="82"/>
      <c r="F30" s="50"/>
      <c r="G30" s="315"/>
      <c r="H30" s="316"/>
      <c r="I30" s="316"/>
      <c r="J30" s="317"/>
      <c r="K30" s="135"/>
      <c r="L30" s="135"/>
      <c r="M30" s="322"/>
      <c r="N30" s="323"/>
      <c r="O30" s="323"/>
      <c r="P30" s="324"/>
      <c r="Q30" s="136"/>
      <c r="R30" s="135"/>
      <c r="S30" s="322"/>
      <c r="T30" s="323"/>
      <c r="U30" s="323"/>
      <c r="V30" s="324"/>
      <c r="W30" s="136"/>
      <c r="Y30" s="322" t="s">
        <v>49</v>
      </c>
      <c r="Z30" s="323"/>
      <c r="AA30" s="323"/>
      <c r="AB30" s="324"/>
      <c r="AC30" s="136"/>
      <c r="AE30" s="325" t="s">
        <v>50</v>
      </c>
      <c r="AF30" s="326"/>
      <c r="AG30" s="326"/>
      <c r="AH30" s="327"/>
    </row>
    <row r="31" spans="1:34" ht="15" customHeight="1" x14ac:dyDescent="0.55000000000000004">
      <c r="A31" s="81"/>
      <c r="B31" s="82"/>
      <c r="C31" s="82" t="s">
        <v>51</v>
      </c>
      <c r="D31" s="82"/>
      <c r="E31" s="82"/>
      <c r="F31" s="50"/>
      <c r="G31" s="315"/>
      <c r="H31" s="316"/>
      <c r="I31" s="316"/>
      <c r="J31" s="317"/>
      <c r="K31" s="135"/>
      <c r="L31" s="135"/>
      <c r="M31" s="322"/>
      <c r="N31" s="323"/>
      <c r="O31" s="323"/>
      <c r="P31" s="324"/>
      <c r="Q31" s="136"/>
      <c r="R31" s="135"/>
      <c r="S31" s="314"/>
      <c r="T31" s="309"/>
      <c r="U31" s="309"/>
      <c r="V31" s="310"/>
      <c r="W31" s="135"/>
      <c r="Y31" s="314"/>
      <c r="Z31" s="309"/>
      <c r="AA31" s="309"/>
      <c r="AB31" s="310"/>
      <c r="AC31" s="135"/>
      <c r="AE31" s="314"/>
      <c r="AF31" s="309"/>
      <c r="AG31" s="309"/>
      <c r="AH31" s="310"/>
    </row>
    <row r="32" spans="1:34" ht="15" customHeight="1" x14ac:dyDescent="0.55000000000000004">
      <c r="A32" s="81"/>
      <c r="B32" s="82"/>
      <c r="C32" s="82"/>
      <c r="D32" s="82"/>
      <c r="E32" s="82"/>
      <c r="F32" s="50"/>
      <c r="G32" s="315"/>
      <c r="H32" s="316"/>
      <c r="I32" s="316"/>
      <c r="J32" s="317"/>
      <c r="K32" s="135"/>
      <c r="L32" s="135"/>
      <c r="M32" s="322"/>
      <c r="N32" s="323"/>
      <c r="O32" s="323"/>
      <c r="P32" s="324"/>
      <c r="Q32" s="136"/>
      <c r="R32" s="135"/>
      <c r="S32" s="314"/>
      <c r="T32" s="309"/>
      <c r="U32" s="309"/>
      <c r="V32" s="310"/>
      <c r="W32" s="135"/>
      <c r="Y32" s="314"/>
      <c r="Z32" s="309"/>
      <c r="AA32" s="309"/>
      <c r="AB32" s="310"/>
      <c r="AC32" s="135"/>
      <c r="AE32" s="314"/>
      <c r="AF32" s="309"/>
      <c r="AG32" s="309"/>
      <c r="AH32" s="310"/>
    </row>
    <row r="33" spans="1:34" ht="15" customHeight="1" x14ac:dyDescent="0.55000000000000004">
      <c r="A33" s="81"/>
      <c r="B33" s="82"/>
      <c r="C33" s="82"/>
      <c r="D33" s="82"/>
      <c r="E33" s="82"/>
      <c r="F33" s="50"/>
      <c r="G33" s="131" t="s">
        <v>52</v>
      </c>
      <c r="H33" s="53"/>
      <c r="I33" s="53"/>
      <c r="J33" s="54"/>
      <c r="K33" s="53"/>
      <c r="L33" s="133"/>
      <c r="M33" s="51" t="s">
        <v>52</v>
      </c>
      <c r="N33" s="52"/>
      <c r="O33" s="52"/>
      <c r="P33" s="55"/>
      <c r="Q33" s="52"/>
      <c r="R33" s="133"/>
      <c r="S33" s="131" t="s">
        <v>52</v>
      </c>
      <c r="T33" s="53"/>
      <c r="U33" s="53"/>
      <c r="V33" s="54"/>
      <c r="W33" s="53"/>
      <c r="Y33" s="131" t="s">
        <v>52</v>
      </c>
      <c r="Z33" s="305" t="s">
        <v>53</v>
      </c>
      <c r="AA33" s="305"/>
      <c r="AB33" s="306"/>
      <c r="AC33" s="133"/>
      <c r="AE33" s="131" t="s">
        <v>52</v>
      </c>
      <c r="AF33" s="305" t="s">
        <v>53</v>
      </c>
      <c r="AG33" s="305"/>
      <c r="AH33" s="306"/>
    </row>
    <row r="34" spans="1:34" ht="15" customHeight="1" thickBot="1" x14ac:dyDescent="0.6">
      <c r="A34" s="83"/>
      <c r="B34" s="82"/>
      <c r="C34" s="82"/>
      <c r="D34" s="82"/>
      <c r="E34" s="82"/>
      <c r="F34" s="50"/>
      <c r="G34" s="311"/>
      <c r="H34" s="312"/>
      <c r="I34" s="312"/>
      <c r="J34" s="313"/>
      <c r="K34" s="56"/>
      <c r="L34" s="56"/>
      <c r="M34" s="311"/>
      <c r="N34" s="312"/>
      <c r="O34" s="312"/>
      <c r="P34" s="313"/>
      <c r="Q34" s="56"/>
      <c r="R34" s="56"/>
      <c r="S34" s="311"/>
      <c r="T34" s="312"/>
      <c r="U34" s="312"/>
      <c r="V34" s="313"/>
      <c r="W34" s="56"/>
      <c r="Y34" s="311"/>
      <c r="Z34" s="312"/>
      <c r="AA34" s="312"/>
      <c r="AB34" s="313"/>
      <c r="AC34" s="56"/>
      <c r="AE34" s="311"/>
      <c r="AF34" s="312"/>
      <c r="AG34" s="312"/>
      <c r="AH34" s="313"/>
    </row>
    <row r="35" spans="1:34" ht="18.75" x14ac:dyDescent="0.55000000000000004">
      <c r="A35" s="80"/>
      <c r="B35" s="82"/>
      <c r="F35" s="50"/>
    </row>
    <row r="36" spans="1:34" ht="18.75" x14ac:dyDescent="0.55000000000000004">
      <c r="A36" s="81"/>
      <c r="B36" s="82"/>
      <c r="F36" s="50"/>
    </row>
  </sheetData>
  <mergeCells count="106">
    <mergeCell ref="S32:V32"/>
    <mergeCell ref="Y32:AB32"/>
    <mergeCell ref="AE32:AH32"/>
    <mergeCell ref="Z33:AB33"/>
    <mergeCell ref="AF33:AH33"/>
    <mergeCell ref="G34:J34"/>
    <mergeCell ref="M34:P34"/>
    <mergeCell ref="S34:V34"/>
    <mergeCell ref="Y34:AB34"/>
    <mergeCell ref="AE34:AH34"/>
    <mergeCell ref="G30:J32"/>
    <mergeCell ref="M30:P30"/>
    <mergeCell ref="S30:V30"/>
    <mergeCell ref="Y30:AB30"/>
    <mergeCell ref="AE30:AH30"/>
    <mergeCell ref="M31:P31"/>
    <mergeCell ref="S31:V31"/>
    <mergeCell ref="Y31:AB31"/>
    <mergeCell ref="AE31:AH31"/>
    <mergeCell ref="M32:P32"/>
    <mergeCell ref="AA27:AB27"/>
    <mergeCell ref="AE27:AF27"/>
    <mergeCell ref="AG27:AH27"/>
    <mergeCell ref="T29:V29"/>
    <mergeCell ref="Z29:AB29"/>
    <mergeCell ref="AF29:AH29"/>
    <mergeCell ref="H25:J25"/>
    <mergeCell ref="N25:P25"/>
    <mergeCell ref="T25:V25"/>
    <mergeCell ref="Z25:AB25"/>
    <mergeCell ref="AF25:AH25"/>
    <mergeCell ref="G27:H27"/>
    <mergeCell ref="I27:J27"/>
    <mergeCell ref="S27:T27"/>
    <mergeCell ref="U27:V27"/>
    <mergeCell ref="Y27:Z27"/>
    <mergeCell ref="H21:J21"/>
    <mergeCell ref="N21:P21"/>
    <mergeCell ref="T21:V21"/>
    <mergeCell ref="Z21:AB21"/>
    <mergeCell ref="AF21:AH21"/>
    <mergeCell ref="T23:V23"/>
    <mergeCell ref="Z23:AB23"/>
    <mergeCell ref="AF23:AH23"/>
    <mergeCell ref="V14:V15"/>
    <mergeCell ref="Y14:AA15"/>
    <mergeCell ref="AB14:AB15"/>
    <mergeCell ref="AE14:AG15"/>
    <mergeCell ref="AH14:AH15"/>
    <mergeCell ref="G17:I18"/>
    <mergeCell ref="M17:O18"/>
    <mergeCell ref="S17:U18"/>
    <mergeCell ref="Y17:AA18"/>
    <mergeCell ref="AE17:AG18"/>
    <mergeCell ref="C14:E15"/>
    <mergeCell ref="G14:I15"/>
    <mergeCell ref="J14:J15"/>
    <mergeCell ref="M14:O15"/>
    <mergeCell ref="P14:P15"/>
    <mergeCell ref="S14:U15"/>
    <mergeCell ref="P5:P6"/>
    <mergeCell ref="S5:S6"/>
    <mergeCell ref="U5:U6"/>
    <mergeCell ref="Y4:Z4"/>
    <mergeCell ref="AA4:AB4"/>
    <mergeCell ref="AE4:AF4"/>
    <mergeCell ref="AG4:AH4"/>
    <mergeCell ref="D5:E5"/>
    <mergeCell ref="G5:G6"/>
    <mergeCell ref="I5:I6"/>
    <mergeCell ref="J5:J6"/>
    <mergeCell ref="M5:M6"/>
    <mergeCell ref="O5:O6"/>
    <mergeCell ref="AB5:AB6"/>
    <mergeCell ref="AE5:AE6"/>
    <mergeCell ref="AG5:AG6"/>
    <mergeCell ref="AH5:AH6"/>
    <mergeCell ref="V5:V6"/>
    <mergeCell ref="Y5:Y6"/>
    <mergeCell ref="AA5:AA6"/>
    <mergeCell ref="B4:B6"/>
    <mergeCell ref="C4:C6"/>
    <mergeCell ref="D4:E4"/>
    <mergeCell ref="G4:H4"/>
    <mergeCell ref="I4:J4"/>
    <mergeCell ref="M4:N4"/>
    <mergeCell ref="O4:P4"/>
    <mergeCell ref="S4:T4"/>
    <mergeCell ref="U4:V4"/>
    <mergeCell ref="AE1:AH1"/>
    <mergeCell ref="G2:J2"/>
    <mergeCell ref="M2:P2"/>
    <mergeCell ref="S2:V2"/>
    <mergeCell ref="Y2:AB2"/>
    <mergeCell ref="AE2:AH2"/>
    <mergeCell ref="B1:D3"/>
    <mergeCell ref="E1:E3"/>
    <mergeCell ref="G1:J1"/>
    <mergeCell ref="M1:P1"/>
    <mergeCell ref="S1:V1"/>
    <mergeCell ref="Y1:AB1"/>
    <mergeCell ref="G3:J3"/>
    <mergeCell ref="M3:P3"/>
    <mergeCell ref="S3:V3"/>
    <mergeCell ref="Y3:AB3"/>
    <mergeCell ref="AE3:AH3"/>
  </mergeCells>
  <printOptions horizontalCentered="1" verticalCentered="1"/>
  <pageMargins left="0.25" right="0.25" top="0.75" bottom="0.75" header="0.3" footer="0.3"/>
  <pageSetup scale="32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91"/>
  <sheetViews>
    <sheetView tabSelected="1" topLeftCell="B1" zoomScale="40" zoomScaleNormal="40" workbookViewId="0">
      <pane xSplit="4" ySplit="6" topLeftCell="F7" activePane="bottomRight" state="frozen"/>
      <selection pane="topRight" activeCell="F1" sqref="F1"/>
      <selection pane="bottomLeft" activeCell="B7" sqref="B7"/>
      <selection pane="bottomRight" activeCell="K38" sqref="K38"/>
    </sheetView>
  </sheetViews>
  <sheetFormatPr baseColWidth="10" defaultColWidth="11.3984375" defaultRowHeight="15.75" x14ac:dyDescent="0.55000000000000004"/>
  <cols>
    <col min="1" max="1" width="5.265625" style="15" customWidth="1"/>
    <col min="2" max="2" width="8.3984375" style="15" customWidth="1"/>
    <col min="3" max="3" width="66.265625" style="15" customWidth="1"/>
    <col min="4" max="4" width="20.73046875" style="15" customWidth="1"/>
    <col min="5" max="5" width="16.1328125" style="15" bestFit="1" customWidth="1"/>
    <col min="6" max="6" width="15.73046875" style="15" bestFit="1" customWidth="1"/>
    <col min="7" max="7" width="22" style="15" bestFit="1" customWidth="1"/>
    <col min="8" max="8" width="1.59765625" style="15" customWidth="1"/>
    <col min="9" max="9" width="22.3984375" style="15" customWidth="1"/>
    <col min="10" max="10" width="18.59765625" style="15" customWidth="1"/>
    <col min="11" max="11" width="18.3984375" style="15" customWidth="1"/>
    <col min="12" max="12" width="20.1328125" style="15" bestFit="1" customWidth="1"/>
    <col min="13" max="13" width="1.73046875" style="15" customWidth="1"/>
    <col min="14" max="14" width="19.86328125" style="15" customWidth="1"/>
    <col min="15" max="15" width="17.3984375" style="15" customWidth="1"/>
    <col min="16" max="16" width="18.265625" style="15" customWidth="1"/>
    <col min="17" max="17" width="20.3984375" style="15" bestFit="1" customWidth="1"/>
    <col min="18" max="18" width="2.73046875" style="15" customWidth="1"/>
    <col min="19" max="19" width="20.1328125" style="15" customWidth="1"/>
    <col min="20" max="20" width="14.3984375" style="15" customWidth="1"/>
    <col min="21" max="21" width="18.59765625" style="15" customWidth="1"/>
    <col min="22" max="22" width="20.265625" style="15" bestFit="1" customWidth="1"/>
    <col min="23" max="23" width="2.59765625" style="15" customWidth="1"/>
    <col min="24" max="24" width="20.1328125" style="15" customWidth="1"/>
    <col min="25" max="25" width="14.3984375" style="15" customWidth="1"/>
    <col min="26" max="26" width="18.59765625" style="15" customWidth="1"/>
    <col min="27" max="27" width="20.265625" style="15" bestFit="1" customWidth="1"/>
    <col min="28" max="16384" width="11.3984375" style="15"/>
  </cols>
  <sheetData>
    <row r="1" spans="1:27" s="4" customFormat="1" ht="33" customHeight="1" thickBot="1" x14ac:dyDescent="0.85">
      <c r="A1" s="1"/>
      <c r="B1" s="354" t="s">
        <v>84</v>
      </c>
      <c r="C1" s="355"/>
      <c r="D1" s="355"/>
      <c r="E1" s="355"/>
      <c r="F1" s="356"/>
      <c r="G1" s="351" t="s">
        <v>1</v>
      </c>
      <c r="H1" s="2"/>
      <c r="I1" s="199" t="s">
        <v>85</v>
      </c>
      <c r="J1" s="200"/>
      <c r="K1" s="200"/>
      <c r="L1" s="201"/>
      <c r="M1" s="3"/>
      <c r="N1" s="202" t="s">
        <v>86</v>
      </c>
      <c r="O1" s="203"/>
      <c r="P1" s="203"/>
      <c r="Q1" s="204"/>
      <c r="R1" s="3"/>
      <c r="S1" s="205" t="s">
        <v>87</v>
      </c>
      <c r="T1" s="206"/>
      <c r="U1" s="206"/>
      <c r="V1" s="207"/>
      <c r="X1" s="394" t="s">
        <v>88</v>
      </c>
      <c r="Y1" s="395"/>
      <c r="Z1" s="395"/>
      <c r="AA1" s="396"/>
    </row>
    <row r="2" spans="1:27" s="4" customFormat="1" ht="33" customHeight="1" thickBot="1" x14ac:dyDescent="0.85">
      <c r="A2" s="5"/>
      <c r="B2" s="357"/>
      <c r="C2" s="196"/>
      <c r="D2" s="196"/>
      <c r="E2" s="196"/>
      <c r="F2" s="358"/>
      <c r="G2" s="352"/>
      <c r="H2" s="2"/>
      <c r="I2" s="181" t="s">
        <v>89</v>
      </c>
      <c r="J2" s="182"/>
      <c r="K2" s="182"/>
      <c r="L2" s="183"/>
      <c r="M2" s="3"/>
      <c r="N2" s="202" t="s">
        <v>90</v>
      </c>
      <c r="O2" s="203"/>
      <c r="P2" s="203"/>
      <c r="Q2" s="204"/>
      <c r="R2" s="3"/>
      <c r="S2" s="187" t="s">
        <v>91</v>
      </c>
      <c r="T2" s="188"/>
      <c r="U2" s="188"/>
      <c r="V2" s="189"/>
      <c r="X2" s="397" t="s">
        <v>92</v>
      </c>
      <c r="Y2" s="398"/>
      <c r="Z2" s="398"/>
      <c r="AA2" s="399"/>
    </row>
    <row r="3" spans="1:27" s="4" customFormat="1" ht="33" customHeight="1" thickBot="1" x14ac:dyDescent="0.85">
      <c r="A3" s="5"/>
      <c r="B3" s="359"/>
      <c r="C3" s="360"/>
      <c r="D3" s="360"/>
      <c r="E3" s="360"/>
      <c r="F3" s="361"/>
      <c r="G3" s="353"/>
      <c r="H3" s="2"/>
      <c r="I3" s="348" t="s">
        <v>93</v>
      </c>
      <c r="J3" s="349"/>
      <c r="K3" s="349"/>
      <c r="L3" s="350"/>
      <c r="M3" s="3"/>
      <c r="N3" s="214" t="s">
        <v>94</v>
      </c>
      <c r="O3" s="215"/>
      <c r="P3" s="215"/>
      <c r="Q3" s="216"/>
      <c r="R3" s="3"/>
      <c r="S3" s="217" t="s">
        <v>95</v>
      </c>
      <c r="T3" s="218"/>
      <c r="U3" s="218"/>
      <c r="V3" s="219"/>
      <c r="X3" s="400" t="s">
        <v>96</v>
      </c>
      <c r="Y3" s="401"/>
      <c r="Z3" s="401"/>
      <c r="AA3" s="402"/>
    </row>
    <row r="4" spans="1:27" s="4" customFormat="1" ht="22.5" thickBot="1" x14ac:dyDescent="0.85">
      <c r="A4" s="57"/>
      <c r="B4" s="365" t="s">
        <v>11</v>
      </c>
      <c r="C4" s="367" t="s">
        <v>12</v>
      </c>
      <c r="D4" s="362" t="s">
        <v>13</v>
      </c>
      <c r="E4" s="363"/>
      <c r="F4" s="363"/>
      <c r="G4" s="364"/>
      <c r="H4" s="2"/>
      <c r="I4" s="234" t="s">
        <v>97</v>
      </c>
      <c r="J4" s="235"/>
      <c r="K4" s="235" t="s">
        <v>98</v>
      </c>
      <c r="L4" s="236"/>
      <c r="M4" s="6"/>
      <c r="N4" s="237" t="s">
        <v>99</v>
      </c>
      <c r="O4" s="238"/>
      <c r="P4" s="238" t="s">
        <v>100</v>
      </c>
      <c r="Q4" s="239"/>
      <c r="R4" s="6"/>
      <c r="S4" s="240" t="s">
        <v>101</v>
      </c>
      <c r="T4" s="241"/>
      <c r="U4" s="241" t="s">
        <v>102</v>
      </c>
      <c r="V4" s="242"/>
      <c r="X4" s="403" t="s">
        <v>103</v>
      </c>
      <c r="Y4" s="404"/>
      <c r="Z4" s="404" t="s">
        <v>104</v>
      </c>
      <c r="AA4" s="405"/>
    </row>
    <row r="5" spans="1:27" s="4" customFormat="1" ht="22.5" thickBot="1" x14ac:dyDescent="0.85">
      <c r="A5" s="58"/>
      <c r="B5" s="366"/>
      <c r="C5" s="368"/>
      <c r="D5" s="377">
        <f ca="1">+TODAY()</f>
        <v>46104</v>
      </c>
      <c r="E5" s="378"/>
      <c r="F5" s="378"/>
      <c r="G5" s="379"/>
      <c r="H5" s="2"/>
      <c r="I5" s="381" t="s">
        <v>17</v>
      </c>
      <c r="J5" s="143" t="s">
        <v>18</v>
      </c>
      <c r="K5" s="253" t="s">
        <v>19</v>
      </c>
      <c r="L5" s="383" t="s">
        <v>20</v>
      </c>
      <c r="M5" s="2"/>
      <c r="N5" s="369" t="s">
        <v>17</v>
      </c>
      <c r="O5" s="77" t="s">
        <v>21</v>
      </c>
      <c r="P5" s="259" t="s">
        <v>19</v>
      </c>
      <c r="Q5" s="373" t="s">
        <v>20</v>
      </c>
      <c r="R5" s="2"/>
      <c r="S5" s="375" t="s">
        <v>17</v>
      </c>
      <c r="T5" s="140" t="s">
        <v>22</v>
      </c>
      <c r="U5" s="291" t="s">
        <v>19</v>
      </c>
      <c r="V5" s="371" t="s">
        <v>20</v>
      </c>
      <c r="X5" s="406" t="s">
        <v>17</v>
      </c>
      <c r="Y5" s="176" t="s">
        <v>22</v>
      </c>
      <c r="Z5" s="408" t="s">
        <v>19</v>
      </c>
      <c r="AA5" s="410" t="s">
        <v>20</v>
      </c>
    </row>
    <row r="6" spans="1:27" s="4" customFormat="1" ht="22.5" thickBot="1" x14ac:dyDescent="0.85">
      <c r="A6" s="59"/>
      <c r="B6" s="366"/>
      <c r="C6" s="412"/>
      <c r="D6" s="413" t="s">
        <v>23</v>
      </c>
      <c r="E6" s="414" t="s">
        <v>24</v>
      </c>
      <c r="F6" s="414" t="s">
        <v>105</v>
      </c>
      <c r="G6" s="415" t="s">
        <v>106</v>
      </c>
      <c r="H6" s="2"/>
      <c r="I6" s="382"/>
      <c r="J6" s="7">
        <v>0.19</v>
      </c>
      <c r="K6" s="254"/>
      <c r="L6" s="384"/>
      <c r="M6" s="2"/>
      <c r="N6" s="370"/>
      <c r="O6" s="78">
        <v>0.19</v>
      </c>
      <c r="P6" s="260"/>
      <c r="Q6" s="374"/>
      <c r="R6" s="2"/>
      <c r="S6" s="376"/>
      <c r="T6" s="108">
        <v>0.19</v>
      </c>
      <c r="U6" s="292"/>
      <c r="V6" s="372"/>
      <c r="X6" s="407"/>
      <c r="Y6" s="177">
        <v>0.19</v>
      </c>
      <c r="Z6" s="409"/>
      <c r="AA6" s="411"/>
    </row>
    <row r="7" spans="1:27" ht="22.15" x14ac:dyDescent="0.8">
      <c r="A7" s="101"/>
      <c r="B7" s="417">
        <v>1</v>
      </c>
      <c r="C7" s="418" t="s">
        <v>107</v>
      </c>
      <c r="D7" s="106">
        <v>1</v>
      </c>
      <c r="E7" s="419">
        <v>1</v>
      </c>
      <c r="F7" s="420"/>
      <c r="G7" s="9">
        <f>E7*F7</f>
        <v>0</v>
      </c>
      <c r="H7" s="107"/>
      <c r="I7" s="168">
        <v>34034</v>
      </c>
      <c r="J7" s="11">
        <f>I7*$J$6</f>
        <v>6466.46</v>
      </c>
      <c r="K7" s="11">
        <f>I7+J7</f>
        <v>40500.46</v>
      </c>
      <c r="L7" s="169">
        <f t="shared" ref="L7:L8" si="0">E7*K7</f>
        <v>40500.46</v>
      </c>
      <c r="M7" s="12"/>
      <c r="N7" s="168">
        <v>33500</v>
      </c>
      <c r="O7" s="11">
        <f t="shared" ref="O7" si="1">N7*$O$6</f>
        <v>6365</v>
      </c>
      <c r="P7" s="79">
        <f>N7+O7</f>
        <v>39865</v>
      </c>
      <c r="Q7" s="13">
        <f>E7*P7</f>
        <v>39865</v>
      </c>
      <c r="R7" s="12"/>
      <c r="S7" s="14">
        <v>39400</v>
      </c>
      <c r="T7" s="10">
        <f t="shared" ref="T7" si="2">S7*$T$6</f>
        <v>7486</v>
      </c>
      <c r="U7" s="10">
        <f>S7+T7</f>
        <v>46886</v>
      </c>
      <c r="V7" s="166">
        <f>E7*U7</f>
        <v>46886</v>
      </c>
      <c r="X7" s="170">
        <v>39700</v>
      </c>
      <c r="Y7" s="171">
        <f>X7*$T$6</f>
        <v>7543</v>
      </c>
      <c r="Z7" s="171">
        <f>X7+Y7</f>
        <v>47243</v>
      </c>
      <c r="AA7" s="172">
        <f>E7*Z7</f>
        <v>47243</v>
      </c>
    </row>
    <row r="8" spans="1:27" ht="22.15" x14ac:dyDescent="0.8">
      <c r="A8" s="158"/>
      <c r="B8" s="421">
        <v>2</v>
      </c>
      <c r="C8" s="173" t="s">
        <v>108</v>
      </c>
      <c r="D8" s="99">
        <v>1</v>
      </c>
      <c r="E8" s="416">
        <v>1</v>
      </c>
      <c r="F8" s="159"/>
      <c r="G8" s="16">
        <f t="shared" ref="G8:G67" si="3">E8*F8</f>
        <v>0</v>
      </c>
      <c r="H8" s="107"/>
      <c r="I8" s="168">
        <v>33613</v>
      </c>
      <c r="J8" s="11">
        <f t="shared" ref="J8" si="4">I8*$J$6</f>
        <v>6386.47</v>
      </c>
      <c r="K8" s="11">
        <f t="shared" ref="K8" si="5">I8+J8</f>
        <v>39999.47</v>
      </c>
      <c r="L8" s="169">
        <f t="shared" si="0"/>
        <v>39999.47</v>
      </c>
      <c r="M8" s="12"/>
      <c r="N8" s="168">
        <v>39500</v>
      </c>
      <c r="O8" s="11">
        <f t="shared" ref="O8" si="6">N8*$O$6</f>
        <v>7505</v>
      </c>
      <c r="P8" s="79">
        <f t="shared" ref="P8" si="7">N8+O8</f>
        <v>47005</v>
      </c>
      <c r="Q8" s="13">
        <f t="shared" ref="Q8" si="8">E8*P8</f>
        <v>47005</v>
      </c>
      <c r="R8" s="12"/>
      <c r="S8" s="14">
        <v>44900</v>
      </c>
      <c r="T8" s="10">
        <f t="shared" ref="T8:T9" si="9">S8*$T$6</f>
        <v>8531</v>
      </c>
      <c r="U8" s="10">
        <f t="shared" ref="U8:U9" si="10">S8+T8</f>
        <v>53431</v>
      </c>
      <c r="V8" s="166">
        <f t="shared" ref="V8:V9" si="11">E8*U8</f>
        <v>53431</v>
      </c>
      <c r="X8" s="170">
        <v>47000</v>
      </c>
      <c r="Y8" s="171">
        <f>X8*$T$6</f>
        <v>8930</v>
      </c>
      <c r="Z8" s="171">
        <f>X8+Y8</f>
        <v>55930</v>
      </c>
      <c r="AA8" s="172">
        <f>E8*Z8</f>
        <v>55930</v>
      </c>
    </row>
    <row r="9" spans="1:27" ht="22.15" x14ac:dyDescent="0.8">
      <c r="A9" s="158"/>
      <c r="B9" s="421">
        <v>3</v>
      </c>
      <c r="C9" s="173" t="s">
        <v>109</v>
      </c>
      <c r="D9" s="99">
        <v>1</v>
      </c>
      <c r="E9" s="416">
        <v>1</v>
      </c>
      <c r="F9" s="159"/>
      <c r="G9" s="16">
        <f t="shared" si="3"/>
        <v>0</v>
      </c>
      <c r="H9" s="107"/>
      <c r="I9" s="168">
        <v>166807</v>
      </c>
      <c r="J9" s="11">
        <f t="shared" ref="J9" si="12">I9*$J$6</f>
        <v>31693.33</v>
      </c>
      <c r="K9" s="11">
        <f t="shared" ref="K9" si="13">I9+J9</f>
        <v>198500.33000000002</v>
      </c>
      <c r="L9" s="169">
        <f t="shared" ref="L9" si="14">E9*K9</f>
        <v>198500.33000000002</v>
      </c>
      <c r="M9" s="12"/>
      <c r="N9" s="168">
        <v>185000</v>
      </c>
      <c r="O9" s="11">
        <f t="shared" ref="O9" si="15">N9*$O$6</f>
        <v>35150</v>
      </c>
      <c r="P9" s="79">
        <f t="shared" ref="P9" si="16">N9+O9</f>
        <v>220150</v>
      </c>
      <c r="Q9" s="13">
        <f t="shared" ref="Q9" si="17">E9*P9</f>
        <v>220150</v>
      </c>
      <c r="R9" s="12"/>
      <c r="S9" s="14">
        <v>208000</v>
      </c>
      <c r="T9" s="10">
        <f t="shared" si="9"/>
        <v>39520</v>
      </c>
      <c r="U9" s="10">
        <f t="shared" si="10"/>
        <v>247520</v>
      </c>
      <c r="V9" s="166">
        <f t="shared" si="11"/>
        <v>247520</v>
      </c>
      <c r="X9" s="170">
        <v>240000</v>
      </c>
      <c r="Y9" s="171">
        <f t="shared" ref="Y9:Y38" si="18">X9*$T$6</f>
        <v>45600</v>
      </c>
      <c r="Z9" s="171">
        <f t="shared" ref="Z9:Z10" si="19">X9+Y9</f>
        <v>285600</v>
      </c>
      <c r="AA9" s="172">
        <f t="shared" ref="AA9:AA10" si="20">E9*Z9</f>
        <v>285600</v>
      </c>
    </row>
    <row r="10" spans="1:27" ht="22.15" x14ac:dyDescent="0.8">
      <c r="A10" s="158"/>
      <c r="B10" s="421">
        <v>4</v>
      </c>
      <c r="C10" s="173" t="s">
        <v>110</v>
      </c>
      <c r="D10" s="99">
        <v>1</v>
      </c>
      <c r="E10" s="416">
        <v>1</v>
      </c>
      <c r="F10" s="159"/>
      <c r="G10" s="16">
        <f t="shared" si="3"/>
        <v>0</v>
      </c>
      <c r="H10" s="107"/>
      <c r="I10" s="168">
        <v>157983</v>
      </c>
      <c r="J10" s="11">
        <f t="shared" ref="J10:J11" si="21">I10*$J$6</f>
        <v>30016.77</v>
      </c>
      <c r="K10" s="11">
        <f t="shared" ref="K10:K11" si="22">I10+J10</f>
        <v>187999.77</v>
      </c>
      <c r="L10" s="169">
        <f t="shared" ref="L10" si="23">E10*K10</f>
        <v>187999.77</v>
      </c>
      <c r="M10" s="12"/>
      <c r="N10" s="168">
        <v>180000</v>
      </c>
      <c r="O10" s="11">
        <f t="shared" ref="O10:O11" si="24">N10*$O$6</f>
        <v>34200</v>
      </c>
      <c r="P10" s="79">
        <f t="shared" ref="P10:P11" si="25">N10+O10</f>
        <v>214200</v>
      </c>
      <c r="Q10" s="13">
        <f t="shared" ref="Q10:Q11" si="26">E10*P10</f>
        <v>214200</v>
      </c>
      <c r="R10" s="12"/>
      <c r="S10" s="14">
        <v>208000</v>
      </c>
      <c r="T10" s="10">
        <f t="shared" ref="T10:T23" si="27">S10*$T$6</f>
        <v>39520</v>
      </c>
      <c r="U10" s="10">
        <f t="shared" ref="U10:U23" si="28">S10+T10</f>
        <v>247520</v>
      </c>
      <c r="V10" s="166">
        <f t="shared" ref="V10:V23" si="29">E10*U10</f>
        <v>247520</v>
      </c>
      <c r="X10" s="170">
        <v>240000</v>
      </c>
      <c r="Y10" s="171">
        <f t="shared" si="18"/>
        <v>45600</v>
      </c>
      <c r="Z10" s="171">
        <f t="shared" si="19"/>
        <v>285600</v>
      </c>
      <c r="AA10" s="172">
        <f t="shared" si="20"/>
        <v>285600</v>
      </c>
    </row>
    <row r="11" spans="1:27" ht="22.15" x14ac:dyDescent="0.8">
      <c r="A11" s="158"/>
      <c r="B11" s="421">
        <v>5</v>
      </c>
      <c r="C11" s="173" t="s">
        <v>111</v>
      </c>
      <c r="D11" s="99">
        <v>1</v>
      </c>
      <c r="E11" s="416">
        <v>1</v>
      </c>
      <c r="F11" s="159"/>
      <c r="G11" s="16">
        <f t="shared" si="3"/>
        <v>0</v>
      </c>
      <c r="H11" s="107"/>
      <c r="I11" s="168">
        <v>8235</v>
      </c>
      <c r="J11" s="11">
        <f t="shared" si="21"/>
        <v>1564.65</v>
      </c>
      <c r="K11" s="11">
        <f t="shared" si="22"/>
        <v>9799.65</v>
      </c>
      <c r="L11" s="169">
        <f>E11*K11</f>
        <v>9799.65</v>
      </c>
      <c r="M11" s="12"/>
      <c r="N11" s="168">
        <v>7200</v>
      </c>
      <c r="O11" s="11">
        <f t="shared" si="24"/>
        <v>1368</v>
      </c>
      <c r="P11" s="79">
        <f t="shared" si="25"/>
        <v>8568</v>
      </c>
      <c r="Q11" s="13">
        <f t="shared" si="26"/>
        <v>8568</v>
      </c>
      <c r="R11" s="12"/>
      <c r="S11" s="14">
        <v>7650</v>
      </c>
      <c r="T11" s="10">
        <f t="shared" si="27"/>
        <v>1453.5</v>
      </c>
      <c r="U11" s="10">
        <f t="shared" si="28"/>
        <v>9103.5</v>
      </c>
      <c r="V11" s="166">
        <f t="shared" si="29"/>
        <v>9103.5</v>
      </c>
      <c r="X11" s="170">
        <v>8500</v>
      </c>
      <c r="Y11" s="171">
        <f t="shared" si="18"/>
        <v>1615</v>
      </c>
      <c r="Z11" s="171">
        <f t="shared" ref="Z11:Z23" si="30">X11+Y11</f>
        <v>10115</v>
      </c>
      <c r="AA11" s="172">
        <f t="shared" ref="AA11:AA23" si="31">E11*Z11</f>
        <v>10115</v>
      </c>
    </row>
    <row r="12" spans="1:27" ht="22.15" x14ac:dyDescent="0.8">
      <c r="A12" s="158"/>
      <c r="B12" s="421">
        <v>6</v>
      </c>
      <c r="C12" s="173" t="s">
        <v>112</v>
      </c>
      <c r="D12" s="99">
        <v>1</v>
      </c>
      <c r="E12" s="416">
        <v>1</v>
      </c>
      <c r="F12" s="159"/>
      <c r="G12" s="16">
        <f t="shared" si="3"/>
        <v>0</v>
      </c>
      <c r="H12" s="107"/>
      <c r="I12" s="168">
        <v>6092</v>
      </c>
      <c r="J12" s="11">
        <f t="shared" ref="J12:J23" si="32">I12*$J$6</f>
        <v>1157.48</v>
      </c>
      <c r="K12" s="11">
        <f t="shared" ref="K12:K23" si="33">I12+J12</f>
        <v>7249.48</v>
      </c>
      <c r="L12" s="169">
        <f t="shared" ref="L12:L23" si="34">E12*K12</f>
        <v>7249.48</v>
      </c>
      <c r="M12" s="12"/>
      <c r="N12" s="168">
        <v>5600</v>
      </c>
      <c r="O12" s="11">
        <f t="shared" ref="O12:O23" si="35">N12*$O$6</f>
        <v>1064</v>
      </c>
      <c r="P12" s="79">
        <f t="shared" ref="P12:P23" si="36">N12+O12</f>
        <v>6664</v>
      </c>
      <c r="Q12" s="13">
        <f t="shared" ref="Q12:Q23" si="37">E12*P12</f>
        <v>6664</v>
      </c>
      <c r="R12" s="12"/>
      <c r="S12" s="14">
        <v>4200</v>
      </c>
      <c r="T12" s="10">
        <f t="shared" si="27"/>
        <v>798</v>
      </c>
      <c r="U12" s="10">
        <f t="shared" si="28"/>
        <v>4998</v>
      </c>
      <c r="V12" s="166">
        <f t="shared" si="29"/>
        <v>4998</v>
      </c>
      <c r="X12" s="170">
        <v>4750</v>
      </c>
      <c r="Y12" s="171">
        <f t="shared" si="18"/>
        <v>902.5</v>
      </c>
      <c r="Z12" s="171">
        <f t="shared" si="30"/>
        <v>5652.5</v>
      </c>
      <c r="AA12" s="172">
        <f t="shared" si="31"/>
        <v>5652.5</v>
      </c>
    </row>
    <row r="13" spans="1:27" ht="22.15" x14ac:dyDescent="0.8">
      <c r="A13" s="158"/>
      <c r="B13" s="421">
        <v>7</v>
      </c>
      <c r="C13" s="173" t="s">
        <v>113</v>
      </c>
      <c r="D13" s="99">
        <v>1</v>
      </c>
      <c r="E13" s="416">
        <v>1</v>
      </c>
      <c r="F13" s="159"/>
      <c r="G13" s="16">
        <f t="shared" si="3"/>
        <v>0</v>
      </c>
      <c r="H13" s="107"/>
      <c r="I13" s="168">
        <v>10924</v>
      </c>
      <c r="J13" s="11">
        <f t="shared" si="32"/>
        <v>2075.56</v>
      </c>
      <c r="K13" s="11">
        <f t="shared" si="33"/>
        <v>12999.56</v>
      </c>
      <c r="L13" s="169">
        <f t="shared" si="34"/>
        <v>12999.56</v>
      </c>
      <c r="M13" s="12"/>
      <c r="N13" s="168">
        <v>9200</v>
      </c>
      <c r="O13" s="11">
        <f t="shared" si="35"/>
        <v>1748</v>
      </c>
      <c r="P13" s="79">
        <f t="shared" si="36"/>
        <v>10948</v>
      </c>
      <c r="Q13" s="13">
        <f t="shared" si="37"/>
        <v>10948</v>
      </c>
      <c r="R13" s="12"/>
      <c r="S13" s="14">
        <v>42000</v>
      </c>
      <c r="T13" s="10">
        <f t="shared" si="27"/>
        <v>7980</v>
      </c>
      <c r="U13" s="10">
        <f t="shared" si="28"/>
        <v>49980</v>
      </c>
      <c r="V13" s="166">
        <f t="shared" si="29"/>
        <v>49980</v>
      </c>
      <c r="X13" s="170">
        <v>5800</v>
      </c>
      <c r="Y13" s="171">
        <f t="shared" si="18"/>
        <v>1102</v>
      </c>
      <c r="Z13" s="171">
        <f t="shared" si="30"/>
        <v>6902</v>
      </c>
      <c r="AA13" s="172">
        <f t="shared" si="31"/>
        <v>6902</v>
      </c>
    </row>
    <row r="14" spans="1:27" ht="22.15" x14ac:dyDescent="0.8">
      <c r="A14" s="158"/>
      <c r="B14" s="421">
        <v>8</v>
      </c>
      <c r="C14" s="173" t="s">
        <v>114</v>
      </c>
      <c r="D14" s="99">
        <v>1</v>
      </c>
      <c r="E14" s="416">
        <v>1</v>
      </c>
      <c r="F14" s="159"/>
      <c r="G14" s="16">
        <f t="shared" si="3"/>
        <v>0</v>
      </c>
      <c r="H14" s="107"/>
      <c r="I14" s="168">
        <v>2185</v>
      </c>
      <c r="J14" s="11">
        <f t="shared" si="32"/>
        <v>415.15</v>
      </c>
      <c r="K14" s="11">
        <f t="shared" si="33"/>
        <v>2600.15</v>
      </c>
      <c r="L14" s="169">
        <f t="shared" si="34"/>
        <v>2600.15</v>
      </c>
      <c r="M14" s="12"/>
      <c r="N14" s="168">
        <v>1250</v>
      </c>
      <c r="O14" s="11">
        <f t="shared" si="35"/>
        <v>237.5</v>
      </c>
      <c r="P14" s="79">
        <f t="shared" si="36"/>
        <v>1487.5</v>
      </c>
      <c r="Q14" s="13">
        <f t="shared" si="37"/>
        <v>1487.5</v>
      </c>
      <c r="R14" s="12"/>
      <c r="S14" s="14">
        <v>1650</v>
      </c>
      <c r="T14" s="10">
        <f t="shared" si="27"/>
        <v>313.5</v>
      </c>
      <c r="U14" s="10">
        <f t="shared" si="28"/>
        <v>1963.5</v>
      </c>
      <c r="V14" s="166">
        <f t="shared" si="29"/>
        <v>1963.5</v>
      </c>
      <c r="X14" s="170">
        <v>1500</v>
      </c>
      <c r="Y14" s="171">
        <f t="shared" si="18"/>
        <v>285</v>
      </c>
      <c r="Z14" s="171">
        <f t="shared" si="30"/>
        <v>1785</v>
      </c>
      <c r="AA14" s="172">
        <f t="shared" si="31"/>
        <v>1785</v>
      </c>
    </row>
    <row r="15" spans="1:27" ht="22.15" x14ac:dyDescent="0.8">
      <c r="A15" s="158"/>
      <c r="B15" s="421">
        <v>9</v>
      </c>
      <c r="C15" s="173" t="s">
        <v>115</v>
      </c>
      <c r="D15" s="99">
        <v>1</v>
      </c>
      <c r="E15" s="416">
        <v>1</v>
      </c>
      <c r="F15" s="159"/>
      <c r="G15" s="16">
        <f t="shared" si="3"/>
        <v>0</v>
      </c>
      <c r="H15" s="107"/>
      <c r="I15" s="168">
        <v>2185</v>
      </c>
      <c r="J15" s="11">
        <f t="shared" si="32"/>
        <v>415.15</v>
      </c>
      <c r="K15" s="11">
        <f t="shared" si="33"/>
        <v>2600.15</v>
      </c>
      <c r="L15" s="169">
        <f t="shared" si="34"/>
        <v>2600.15</v>
      </c>
      <c r="M15" s="12"/>
      <c r="N15" s="168">
        <v>1250</v>
      </c>
      <c r="O15" s="11">
        <f t="shared" si="35"/>
        <v>237.5</v>
      </c>
      <c r="P15" s="79">
        <f t="shared" si="36"/>
        <v>1487.5</v>
      </c>
      <c r="Q15" s="13">
        <f t="shared" si="37"/>
        <v>1487.5</v>
      </c>
      <c r="R15" s="12"/>
      <c r="S15" s="14">
        <v>1495</v>
      </c>
      <c r="T15" s="10">
        <f t="shared" si="27"/>
        <v>284.05</v>
      </c>
      <c r="U15" s="10">
        <f t="shared" si="28"/>
        <v>1779.05</v>
      </c>
      <c r="V15" s="166">
        <f t="shared" si="29"/>
        <v>1779.05</v>
      </c>
      <c r="X15" s="170">
        <v>1500</v>
      </c>
      <c r="Y15" s="171">
        <f t="shared" si="18"/>
        <v>285</v>
      </c>
      <c r="Z15" s="171">
        <f t="shared" si="30"/>
        <v>1785</v>
      </c>
      <c r="AA15" s="172">
        <f t="shared" si="31"/>
        <v>1785</v>
      </c>
    </row>
    <row r="16" spans="1:27" ht="22.15" x14ac:dyDescent="0.8">
      <c r="A16" s="158"/>
      <c r="B16" s="421">
        <v>10</v>
      </c>
      <c r="C16" s="173" t="s">
        <v>116</v>
      </c>
      <c r="D16" s="99">
        <v>1</v>
      </c>
      <c r="E16" s="416">
        <v>1</v>
      </c>
      <c r="F16" s="159"/>
      <c r="G16" s="16">
        <f t="shared" si="3"/>
        <v>0</v>
      </c>
      <c r="H16" s="107"/>
      <c r="I16" s="168">
        <v>2185</v>
      </c>
      <c r="J16" s="11">
        <f t="shared" si="32"/>
        <v>415.15</v>
      </c>
      <c r="K16" s="11">
        <f t="shared" si="33"/>
        <v>2600.15</v>
      </c>
      <c r="L16" s="169">
        <f t="shared" si="34"/>
        <v>2600.15</v>
      </c>
      <c r="M16" s="12"/>
      <c r="N16" s="168">
        <v>1250</v>
      </c>
      <c r="O16" s="11">
        <f t="shared" si="35"/>
        <v>237.5</v>
      </c>
      <c r="P16" s="79">
        <f t="shared" si="36"/>
        <v>1487.5</v>
      </c>
      <c r="Q16" s="13">
        <f t="shared" si="37"/>
        <v>1487.5</v>
      </c>
      <c r="R16" s="12"/>
      <c r="S16" s="14">
        <v>1695</v>
      </c>
      <c r="T16" s="10">
        <f t="shared" si="27"/>
        <v>322.05</v>
      </c>
      <c r="U16" s="10">
        <f t="shared" si="28"/>
        <v>2017.05</v>
      </c>
      <c r="V16" s="166">
        <f t="shared" si="29"/>
        <v>2017.05</v>
      </c>
      <c r="X16" s="170">
        <v>1500</v>
      </c>
      <c r="Y16" s="171">
        <f t="shared" si="18"/>
        <v>285</v>
      </c>
      <c r="Z16" s="171">
        <f t="shared" si="30"/>
        <v>1785</v>
      </c>
      <c r="AA16" s="172">
        <f t="shared" si="31"/>
        <v>1785</v>
      </c>
    </row>
    <row r="17" spans="1:27" ht="22.15" x14ac:dyDescent="0.8">
      <c r="A17" s="158"/>
      <c r="B17" s="421">
        <v>11</v>
      </c>
      <c r="C17" s="173" t="s">
        <v>117</v>
      </c>
      <c r="D17" s="99">
        <v>1</v>
      </c>
      <c r="E17" s="416">
        <v>1</v>
      </c>
      <c r="F17" s="159"/>
      <c r="G17" s="16">
        <f t="shared" si="3"/>
        <v>0</v>
      </c>
      <c r="H17" s="107"/>
      <c r="I17" s="168">
        <v>2185</v>
      </c>
      <c r="J17" s="11">
        <f t="shared" si="32"/>
        <v>415.15</v>
      </c>
      <c r="K17" s="11">
        <f t="shared" si="33"/>
        <v>2600.15</v>
      </c>
      <c r="L17" s="169">
        <f t="shared" si="34"/>
        <v>2600.15</v>
      </c>
      <c r="M17" s="12"/>
      <c r="N17" s="168">
        <v>1250</v>
      </c>
      <c r="O17" s="11">
        <f t="shared" si="35"/>
        <v>237.5</v>
      </c>
      <c r="P17" s="79">
        <f t="shared" si="36"/>
        <v>1487.5</v>
      </c>
      <c r="Q17" s="13">
        <f t="shared" si="37"/>
        <v>1487.5</v>
      </c>
      <c r="R17" s="12"/>
      <c r="S17" s="14">
        <v>1395</v>
      </c>
      <c r="T17" s="10">
        <f t="shared" si="27"/>
        <v>265.05</v>
      </c>
      <c r="U17" s="10">
        <f t="shared" si="28"/>
        <v>1660.05</v>
      </c>
      <c r="V17" s="166">
        <f t="shared" si="29"/>
        <v>1660.05</v>
      </c>
      <c r="X17" s="170">
        <v>1700</v>
      </c>
      <c r="Y17" s="171">
        <f t="shared" si="18"/>
        <v>323</v>
      </c>
      <c r="Z17" s="171">
        <f t="shared" si="30"/>
        <v>2023</v>
      </c>
      <c r="AA17" s="172">
        <f t="shared" si="31"/>
        <v>2023</v>
      </c>
    </row>
    <row r="18" spans="1:27" ht="22.15" x14ac:dyDescent="0.8">
      <c r="A18" s="158"/>
      <c r="B18" s="421">
        <v>12</v>
      </c>
      <c r="C18" s="173" t="s">
        <v>118</v>
      </c>
      <c r="D18" s="99">
        <v>1</v>
      </c>
      <c r="E18" s="416">
        <v>1</v>
      </c>
      <c r="F18" s="159"/>
      <c r="G18" s="16">
        <f t="shared" si="3"/>
        <v>0</v>
      </c>
      <c r="H18" s="107"/>
      <c r="I18" s="168">
        <v>6597</v>
      </c>
      <c r="J18" s="11">
        <f t="shared" si="32"/>
        <v>1253.43</v>
      </c>
      <c r="K18" s="11">
        <f t="shared" si="33"/>
        <v>7850.43</v>
      </c>
      <c r="L18" s="169">
        <f t="shared" si="34"/>
        <v>7850.43</v>
      </c>
      <c r="M18" s="12"/>
      <c r="N18" s="168">
        <v>5370</v>
      </c>
      <c r="O18" s="11">
        <f t="shared" si="35"/>
        <v>1020.3000000000001</v>
      </c>
      <c r="P18" s="79">
        <f t="shared" si="36"/>
        <v>6390.3</v>
      </c>
      <c r="Q18" s="13">
        <f t="shared" si="37"/>
        <v>6390.3</v>
      </c>
      <c r="R18" s="12"/>
      <c r="S18" s="14">
        <v>4575</v>
      </c>
      <c r="T18" s="10">
        <f t="shared" si="27"/>
        <v>869.25</v>
      </c>
      <c r="U18" s="10">
        <f t="shared" si="28"/>
        <v>5444.25</v>
      </c>
      <c r="V18" s="166">
        <f t="shared" si="29"/>
        <v>5444.25</v>
      </c>
      <c r="X18" s="170">
        <v>7900</v>
      </c>
      <c r="Y18" s="171">
        <f t="shared" si="18"/>
        <v>1501</v>
      </c>
      <c r="Z18" s="171">
        <f t="shared" si="30"/>
        <v>9401</v>
      </c>
      <c r="AA18" s="172">
        <f t="shared" si="31"/>
        <v>9401</v>
      </c>
    </row>
    <row r="19" spans="1:27" ht="22.15" x14ac:dyDescent="0.8">
      <c r="A19" s="158"/>
      <c r="B19" s="421">
        <v>13</v>
      </c>
      <c r="C19" s="173" t="s">
        <v>119</v>
      </c>
      <c r="D19" s="99">
        <v>1</v>
      </c>
      <c r="E19" s="416">
        <v>1</v>
      </c>
      <c r="F19" s="159"/>
      <c r="G19" s="16">
        <f t="shared" si="3"/>
        <v>0</v>
      </c>
      <c r="H19" s="107"/>
      <c r="I19" s="168">
        <v>8361</v>
      </c>
      <c r="J19" s="11">
        <f t="shared" si="32"/>
        <v>1588.59</v>
      </c>
      <c r="K19" s="11">
        <f t="shared" si="33"/>
        <v>9949.59</v>
      </c>
      <c r="L19" s="169">
        <f t="shared" si="34"/>
        <v>9949.59</v>
      </c>
      <c r="M19" s="12"/>
      <c r="N19" s="168">
        <v>6900</v>
      </c>
      <c r="O19" s="11">
        <f t="shared" si="35"/>
        <v>1311</v>
      </c>
      <c r="P19" s="79">
        <f t="shared" si="36"/>
        <v>8211</v>
      </c>
      <c r="Q19" s="13">
        <f t="shared" si="37"/>
        <v>8211</v>
      </c>
      <c r="R19" s="12"/>
      <c r="S19" s="14">
        <v>8500</v>
      </c>
      <c r="T19" s="10">
        <f t="shared" si="27"/>
        <v>1615</v>
      </c>
      <c r="U19" s="10">
        <f t="shared" si="28"/>
        <v>10115</v>
      </c>
      <c r="V19" s="166">
        <f t="shared" si="29"/>
        <v>10115</v>
      </c>
      <c r="X19" s="170">
        <v>8800</v>
      </c>
      <c r="Y19" s="171">
        <f t="shared" si="18"/>
        <v>1672</v>
      </c>
      <c r="Z19" s="171">
        <f t="shared" si="30"/>
        <v>10472</v>
      </c>
      <c r="AA19" s="172">
        <f t="shared" si="31"/>
        <v>10472</v>
      </c>
    </row>
    <row r="20" spans="1:27" ht="22.15" x14ac:dyDescent="0.8">
      <c r="A20" s="158"/>
      <c r="B20" s="421">
        <v>14</v>
      </c>
      <c r="C20" s="173" t="s">
        <v>120</v>
      </c>
      <c r="D20" s="99">
        <v>1</v>
      </c>
      <c r="E20" s="416">
        <v>1</v>
      </c>
      <c r="F20" s="159"/>
      <c r="G20" s="16">
        <f t="shared" si="3"/>
        <v>0</v>
      </c>
      <c r="H20" s="107"/>
      <c r="I20" s="168">
        <v>13908</v>
      </c>
      <c r="J20" s="11">
        <f t="shared" si="32"/>
        <v>2642.52</v>
      </c>
      <c r="K20" s="11">
        <f t="shared" si="33"/>
        <v>16550.52</v>
      </c>
      <c r="L20" s="169">
        <f t="shared" si="34"/>
        <v>16550.52</v>
      </c>
      <c r="M20" s="12"/>
      <c r="N20" s="168">
        <v>12900</v>
      </c>
      <c r="O20" s="11">
        <f t="shared" si="35"/>
        <v>2451</v>
      </c>
      <c r="P20" s="79">
        <f t="shared" si="36"/>
        <v>15351</v>
      </c>
      <c r="Q20" s="13">
        <f t="shared" si="37"/>
        <v>15351</v>
      </c>
      <c r="R20" s="12"/>
      <c r="S20" s="14">
        <v>13900</v>
      </c>
      <c r="T20" s="10">
        <f t="shared" si="27"/>
        <v>2641</v>
      </c>
      <c r="U20" s="10">
        <f t="shared" si="28"/>
        <v>16541</v>
      </c>
      <c r="V20" s="166">
        <f t="shared" si="29"/>
        <v>16541</v>
      </c>
      <c r="X20" s="170">
        <v>13900</v>
      </c>
      <c r="Y20" s="171">
        <f t="shared" si="18"/>
        <v>2641</v>
      </c>
      <c r="Z20" s="171">
        <f t="shared" si="30"/>
        <v>16541</v>
      </c>
      <c r="AA20" s="172">
        <f t="shared" si="31"/>
        <v>16541</v>
      </c>
    </row>
    <row r="21" spans="1:27" ht="22.15" x14ac:dyDescent="0.8">
      <c r="A21" s="158"/>
      <c r="B21" s="421">
        <v>15</v>
      </c>
      <c r="C21" s="173" t="s">
        <v>121</v>
      </c>
      <c r="D21" s="99">
        <v>1</v>
      </c>
      <c r="E21" s="416">
        <v>1</v>
      </c>
      <c r="F21" s="159"/>
      <c r="G21" s="16">
        <f t="shared" si="3"/>
        <v>0</v>
      </c>
      <c r="H21" s="107"/>
      <c r="I21" s="168">
        <v>9370</v>
      </c>
      <c r="J21" s="11">
        <f t="shared" si="32"/>
        <v>1780.3</v>
      </c>
      <c r="K21" s="11">
        <f t="shared" si="33"/>
        <v>11150.3</v>
      </c>
      <c r="L21" s="169">
        <f t="shared" si="34"/>
        <v>11150.3</v>
      </c>
      <c r="M21" s="12"/>
      <c r="N21" s="168">
        <v>3850</v>
      </c>
      <c r="O21" s="11">
        <f t="shared" si="35"/>
        <v>731.5</v>
      </c>
      <c r="P21" s="79">
        <f t="shared" si="36"/>
        <v>4581.5</v>
      </c>
      <c r="Q21" s="13">
        <f t="shared" si="37"/>
        <v>4581.5</v>
      </c>
      <c r="R21" s="12"/>
      <c r="S21" s="14">
        <v>5500</v>
      </c>
      <c r="T21" s="10">
        <f t="shared" si="27"/>
        <v>1045</v>
      </c>
      <c r="U21" s="10">
        <f t="shared" si="28"/>
        <v>6545</v>
      </c>
      <c r="V21" s="166">
        <f t="shared" si="29"/>
        <v>6545</v>
      </c>
      <c r="X21" s="170">
        <v>5800</v>
      </c>
      <c r="Y21" s="171">
        <f t="shared" si="18"/>
        <v>1102</v>
      </c>
      <c r="Z21" s="171">
        <f t="shared" si="30"/>
        <v>6902</v>
      </c>
      <c r="AA21" s="172">
        <f t="shared" si="31"/>
        <v>6902</v>
      </c>
    </row>
    <row r="22" spans="1:27" ht="22.15" x14ac:dyDescent="0.8">
      <c r="A22" s="158"/>
      <c r="B22" s="421">
        <v>16</v>
      </c>
      <c r="C22" s="173" t="s">
        <v>122</v>
      </c>
      <c r="D22" s="99">
        <v>1</v>
      </c>
      <c r="E22" s="416">
        <v>1</v>
      </c>
      <c r="F22" s="159"/>
      <c r="G22" s="16">
        <f t="shared" si="3"/>
        <v>0</v>
      </c>
      <c r="H22" s="107"/>
      <c r="I22" s="168">
        <v>10924</v>
      </c>
      <c r="J22" s="11">
        <f t="shared" si="32"/>
        <v>2075.56</v>
      </c>
      <c r="K22" s="11">
        <f t="shared" si="33"/>
        <v>12999.56</v>
      </c>
      <c r="L22" s="169">
        <f t="shared" si="34"/>
        <v>12999.56</v>
      </c>
      <c r="M22" s="12"/>
      <c r="N22" s="168">
        <v>12000</v>
      </c>
      <c r="O22" s="11">
        <f t="shared" si="35"/>
        <v>2280</v>
      </c>
      <c r="P22" s="79">
        <f t="shared" si="36"/>
        <v>14280</v>
      </c>
      <c r="Q22" s="13">
        <f t="shared" si="37"/>
        <v>14280</v>
      </c>
      <c r="R22" s="12"/>
      <c r="S22" s="14">
        <v>19400</v>
      </c>
      <c r="T22" s="10">
        <f t="shared" si="27"/>
        <v>3686</v>
      </c>
      <c r="U22" s="10">
        <f t="shared" si="28"/>
        <v>23086</v>
      </c>
      <c r="V22" s="166">
        <f t="shared" si="29"/>
        <v>23086</v>
      </c>
      <c r="X22" s="170">
        <v>13900</v>
      </c>
      <c r="Y22" s="171">
        <f t="shared" si="18"/>
        <v>2641</v>
      </c>
      <c r="Z22" s="171">
        <f t="shared" si="30"/>
        <v>16541</v>
      </c>
      <c r="AA22" s="172">
        <f t="shared" si="31"/>
        <v>16541</v>
      </c>
    </row>
    <row r="23" spans="1:27" ht="22.15" x14ac:dyDescent="0.8">
      <c r="A23" s="158"/>
      <c r="B23" s="421">
        <v>17</v>
      </c>
      <c r="C23" s="173" t="s">
        <v>123</v>
      </c>
      <c r="D23" s="99">
        <v>1</v>
      </c>
      <c r="E23" s="416">
        <v>1</v>
      </c>
      <c r="F23" s="159"/>
      <c r="G23" s="16">
        <f t="shared" si="3"/>
        <v>0</v>
      </c>
      <c r="H23" s="107"/>
      <c r="I23" s="168">
        <v>5798</v>
      </c>
      <c r="J23" s="11">
        <f t="shared" si="32"/>
        <v>1101.6200000000001</v>
      </c>
      <c r="K23" s="11">
        <f t="shared" si="33"/>
        <v>6899.62</v>
      </c>
      <c r="L23" s="169">
        <f t="shared" si="34"/>
        <v>6899.62</v>
      </c>
      <c r="M23" s="12"/>
      <c r="N23" s="168">
        <v>8950</v>
      </c>
      <c r="O23" s="11">
        <f t="shared" si="35"/>
        <v>1700.5</v>
      </c>
      <c r="P23" s="79">
        <f t="shared" si="36"/>
        <v>10650.5</v>
      </c>
      <c r="Q23" s="13">
        <f t="shared" si="37"/>
        <v>10650.5</v>
      </c>
      <c r="R23" s="12"/>
      <c r="S23" s="14">
        <v>7800</v>
      </c>
      <c r="T23" s="10">
        <f t="shared" si="27"/>
        <v>1482</v>
      </c>
      <c r="U23" s="10">
        <f t="shared" si="28"/>
        <v>9282</v>
      </c>
      <c r="V23" s="166">
        <f t="shared" si="29"/>
        <v>9282</v>
      </c>
      <c r="X23" s="170">
        <v>7800</v>
      </c>
      <c r="Y23" s="171">
        <f t="shared" si="18"/>
        <v>1482</v>
      </c>
      <c r="Z23" s="171">
        <f t="shared" si="30"/>
        <v>9282</v>
      </c>
      <c r="AA23" s="172">
        <f t="shared" si="31"/>
        <v>9282</v>
      </c>
    </row>
    <row r="24" spans="1:27" ht="22.15" x14ac:dyDescent="0.8">
      <c r="A24" s="158"/>
      <c r="B24" s="421">
        <v>18</v>
      </c>
      <c r="C24" s="173" t="s">
        <v>124</v>
      </c>
      <c r="D24" s="99">
        <v>1</v>
      </c>
      <c r="E24" s="416">
        <v>1</v>
      </c>
      <c r="F24" s="159"/>
      <c r="G24" s="16">
        <f t="shared" si="3"/>
        <v>0</v>
      </c>
      <c r="H24" s="107"/>
      <c r="I24" s="168">
        <v>5000</v>
      </c>
      <c r="J24" s="11">
        <f t="shared" ref="J24:J38" si="38">I24*$J$6</f>
        <v>950</v>
      </c>
      <c r="K24" s="11">
        <f t="shared" ref="K24:K38" si="39">I24+J24</f>
        <v>5950</v>
      </c>
      <c r="L24" s="169">
        <f t="shared" ref="L24:L38" si="40">E24*K24</f>
        <v>5950</v>
      </c>
      <c r="M24" s="12"/>
      <c r="N24" s="168">
        <v>2190</v>
      </c>
      <c r="O24" s="11">
        <f t="shared" ref="O24:O38" si="41">N24*$O$6</f>
        <v>416.1</v>
      </c>
      <c r="P24" s="79">
        <f t="shared" ref="P24:P38" si="42">N24+O24</f>
        <v>2606.1</v>
      </c>
      <c r="Q24" s="13">
        <f t="shared" ref="Q24:Q38" si="43">E24*P24</f>
        <v>2606.1</v>
      </c>
      <c r="R24" s="12"/>
      <c r="S24" s="14">
        <v>4200</v>
      </c>
      <c r="T24" s="10">
        <f t="shared" ref="T24:T38" si="44">S24*$T$6</f>
        <v>798</v>
      </c>
      <c r="U24" s="10">
        <f t="shared" ref="U24:U38" si="45">S24+T24</f>
        <v>4998</v>
      </c>
      <c r="V24" s="166">
        <f t="shared" ref="V24:V38" si="46">E24*U24</f>
        <v>4998</v>
      </c>
      <c r="X24" s="170">
        <v>5800</v>
      </c>
      <c r="Y24" s="171">
        <f t="shared" si="18"/>
        <v>1102</v>
      </c>
      <c r="Z24" s="171">
        <f t="shared" ref="Z24:Z38" si="47">X24+Y24</f>
        <v>6902</v>
      </c>
      <c r="AA24" s="172">
        <f t="shared" ref="AA24:AA38" si="48">E24*Z24</f>
        <v>6902</v>
      </c>
    </row>
    <row r="25" spans="1:27" ht="22.15" x14ac:dyDescent="0.8">
      <c r="A25" s="158"/>
      <c r="B25" s="421">
        <v>19</v>
      </c>
      <c r="C25" s="173" t="s">
        <v>125</v>
      </c>
      <c r="D25" s="99">
        <v>1</v>
      </c>
      <c r="E25" s="416">
        <v>1</v>
      </c>
      <c r="F25" s="159"/>
      <c r="G25" s="16">
        <f t="shared" si="3"/>
        <v>0</v>
      </c>
      <c r="H25" s="107"/>
      <c r="I25" s="168">
        <v>30672</v>
      </c>
      <c r="J25" s="11">
        <f t="shared" si="38"/>
        <v>5827.68</v>
      </c>
      <c r="K25" s="11">
        <f t="shared" si="39"/>
        <v>36499.68</v>
      </c>
      <c r="L25" s="169">
        <f t="shared" si="40"/>
        <v>36499.68</v>
      </c>
      <c r="M25" s="12"/>
      <c r="N25" s="168">
        <v>9550</v>
      </c>
      <c r="O25" s="11">
        <f t="shared" si="41"/>
        <v>1814.5</v>
      </c>
      <c r="P25" s="79">
        <f t="shared" si="42"/>
        <v>11364.5</v>
      </c>
      <c r="Q25" s="13">
        <f t="shared" si="43"/>
        <v>11364.5</v>
      </c>
      <c r="R25" s="12"/>
      <c r="S25" s="14">
        <v>10700</v>
      </c>
      <c r="T25" s="10">
        <f t="shared" si="44"/>
        <v>2033</v>
      </c>
      <c r="U25" s="10">
        <f t="shared" si="45"/>
        <v>12733</v>
      </c>
      <c r="V25" s="166">
        <f t="shared" si="46"/>
        <v>12733</v>
      </c>
      <c r="X25" s="170">
        <v>26900</v>
      </c>
      <c r="Y25" s="171">
        <f t="shared" si="18"/>
        <v>5111</v>
      </c>
      <c r="Z25" s="171">
        <f t="shared" si="47"/>
        <v>32011</v>
      </c>
      <c r="AA25" s="172">
        <f t="shared" si="48"/>
        <v>32011</v>
      </c>
    </row>
    <row r="26" spans="1:27" ht="22.15" x14ac:dyDescent="0.8">
      <c r="A26" s="158"/>
      <c r="B26" s="421">
        <v>20</v>
      </c>
      <c r="C26" s="173" t="s">
        <v>126</v>
      </c>
      <c r="D26" s="99">
        <v>1</v>
      </c>
      <c r="E26" s="416">
        <v>1</v>
      </c>
      <c r="F26" s="159"/>
      <c r="G26" s="16">
        <f t="shared" si="3"/>
        <v>0</v>
      </c>
      <c r="H26" s="107"/>
      <c r="I26" s="168">
        <v>28992</v>
      </c>
      <c r="J26" s="11">
        <f t="shared" si="38"/>
        <v>5508.4800000000005</v>
      </c>
      <c r="K26" s="11">
        <f>I26+J26</f>
        <v>34500.480000000003</v>
      </c>
      <c r="L26" s="169">
        <f>E26*K26</f>
        <v>34500.480000000003</v>
      </c>
      <c r="M26" s="12"/>
      <c r="N26" s="168">
        <v>34500</v>
      </c>
      <c r="O26" s="11">
        <f t="shared" si="41"/>
        <v>6555</v>
      </c>
      <c r="P26" s="79">
        <f t="shared" si="42"/>
        <v>41055</v>
      </c>
      <c r="Q26" s="13">
        <f t="shared" si="43"/>
        <v>41055</v>
      </c>
      <c r="R26" s="12"/>
      <c r="S26" s="14">
        <v>29500</v>
      </c>
      <c r="T26" s="10">
        <f t="shared" si="44"/>
        <v>5605</v>
      </c>
      <c r="U26" s="10">
        <f t="shared" si="45"/>
        <v>35105</v>
      </c>
      <c r="V26" s="166">
        <f t="shared" si="46"/>
        <v>35105</v>
      </c>
      <c r="X26" s="170">
        <v>38900</v>
      </c>
      <c r="Y26" s="171">
        <f t="shared" si="18"/>
        <v>7391</v>
      </c>
      <c r="Z26" s="171">
        <f t="shared" si="47"/>
        <v>46291</v>
      </c>
      <c r="AA26" s="172">
        <f t="shared" si="48"/>
        <v>46291</v>
      </c>
    </row>
    <row r="27" spans="1:27" ht="22.15" x14ac:dyDescent="0.8">
      <c r="A27" s="158"/>
      <c r="B27" s="421">
        <v>21</v>
      </c>
      <c r="C27" s="173" t="s">
        <v>127</v>
      </c>
      <c r="D27" s="99">
        <v>1</v>
      </c>
      <c r="E27" s="416">
        <v>1</v>
      </c>
      <c r="F27" s="159"/>
      <c r="G27" s="16">
        <f t="shared" si="3"/>
        <v>0</v>
      </c>
      <c r="H27" s="107"/>
      <c r="I27" s="168">
        <v>143</v>
      </c>
      <c r="J27" s="11">
        <f t="shared" si="38"/>
        <v>27.17</v>
      </c>
      <c r="K27" s="11">
        <f t="shared" si="39"/>
        <v>170.17000000000002</v>
      </c>
      <c r="L27" s="169">
        <f t="shared" si="40"/>
        <v>170.17000000000002</v>
      </c>
      <c r="M27" s="12"/>
      <c r="N27" s="168">
        <v>9000</v>
      </c>
      <c r="O27" s="11">
        <f t="shared" si="41"/>
        <v>1710</v>
      </c>
      <c r="P27" s="79">
        <f t="shared" si="42"/>
        <v>10710</v>
      </c>
      <c r="Q27" s="13">
        <f t="shared" si="43"/>
        <v>10710</v>
      </c>
      <c r="R27" s="12"/>
      <c r="S27" s="14">
        <v>18900</v>
      </c>
      <c r="T27" s="10">
        <f t="shared" si="44"/>
        <v>3591</v>
      </c>
      <c r="U27" s="10">
        <f t="shared" si="45"/>
        <v>22491</v>
      </c>
      <c r="V27" s="166">
        <f t="shared" si="46"/>
        <v>22491</v>
      </c>
      <c r="X27" s="170">
        <v>2500</v>
      </c>
      <c r="Y27" s="171">
        <f t="shared" si="18"/>
        <v>475</v>
      </c>
      <c r="Z27" s="171">
        <f t="shared" si="47"/>
        <v>2975</v>
      </c>
      <c r="AA27" s="172">
        <f t="shared" si="48"/>
        <v>2975</v>
      </c>
    </row>
    <row r="28" spans="1:27" ht="22.15" x14ac:dyDescent="0.8">
      <c r="A28" s="158"/>
      <c r="B28" s="421">
        <v>22</v>
      </c>
      <c r="C28" s="173" t="s">
        <v>128</v>
      </c>
      <c r="D28" s="99">
        <v>1</v>
      </c>
      <c r="E28" s="416">
        <v>1</v>
      </c>
      <c r="F28" s="159"/>
      <c r="G28" s="16">
        <f t="shared" si="3"/>
        <v>0</v>
      </c>
      <c r="H28" s="107"/>
      <c r="I28" s="168">
        <v>67</v>
      </c>
      <c r="J28" s="11">
        <f t="shared" si="38"/>
        <v>12.73</v>
      </c>
      <c r="K28" s="11">
        <f t="shared" si="39"/>
        <v>79.73</v>
      </c>
      <c r="L28" s="169">
        <f t="shared" si="40"/>
        <v>79.73</v>
      </c>
      <c r="M28" s="12"/>
      <c r="N28" s="168">
        <v>65</v>
      </c>
      <c r="O28" s="11">
        <f t="shared" si="41"/>
        <v>12.35</v>
      </c>
      <c r="P28" s="79">
        <f t="shared" si="42"/>
        <v>77.349999999999994</v>
      </c>
      <c r="Q28" s="13">
        <f t="shared" si="43"/>
        <v>77.349999999999994</v>
      </c>
      <c r="R28" s="12"/>
      <c r="S28" s="14">
        <v>140</v>
      </c>
      <c r="T28" s="10">
        <f t="shared" si="44"/>
        <v>26.6</v>
      </c>
      <c r="U28" s="10">
        <f t="shared" si="45"/>
        <v>166.6</v>
      </c>
      <c r="V28" s="166">
        <f t="shared" si="46"/>
        <v>166.6</v>
      </c>
      <c r="X28" s="170">
        <v>100</v>
      </c>
      <c r="Y28" s="171">
        <f t="shared" si="18"/>
        <v>19</v>
      </c>
      <c r="Z28" s="171">
        <f t="shared" si="47"/>
        <v>119</v>
      </c>
      <c r="AA28" s="172">
        <f t="shared" si="48"/>
        <v>119</v>
      </c>
    </row>
    <row r="29" spans="1:27" ht="22.15" x14ac:dyDescent="0.8">
      <c r="A29" s="158"/>
      <c r="B29" s="421">
        <v>23</v>
      </c>
      <c r="C29" s="173" t="s">
        <v>129</v>
      </c>
      <c r="D29" s="99">
        <v>1</v>
      </c>
      <c r="E29" s="416">
        <v>1</v>
      </c>
      <c r="F29" s="159"/>
      <c r="G29" s="16">
        <f t="shared" si="3"/>
        <v>0</v>
      </c>
      <c r="H29" s="107"/>
      <c r="I29" s="168">
        <v>38</v>
      </c>
      <c r="J29" s="11">
        <f t="shared" si="38"/>
        <v>7.22</v>
      </c>
      <c r="K29" s="11">
        <f t="shared" si="39"/>
        <v>45.22</v>
      </c>
      <c r="L29" s="169">
        <f t="shared" si="40"/>
        <v>45.22</v>
      </c>
      <c r="M29" s="12"/>
      <c r="N29" s="168">
        <v>40</v>
      </c>
      <c r="O29" s="11">
        <f t="shared" si="41"/>
        <v>7.6</v>
      </c>
      <c r="P29" s="79">
        <f t="shared" si="42"/>
        <v>47.6</v>
      </c>
      <c r="Q29" s="13">
        <f t="shared" si="43"/>
        <v>47.6</v>
      </c>
      <c r="R29" s="12"/>
      <c r="S29" s="14">
        <v>140</v>
      </c>
      <c r="T29" s="10">
        <f t="shared" si="44"/>
        <v>26.6</v>
      </c>
      <c r="U29" s="10">
        <f t="shared" si="45"/>
        <v>166.6</v>
      </c>
      <c r="V29" s="166">
        <f t="shared" si="46"/>
        <v>166.6</v>
      </c>
      <c r="X29" s="170">
        <v>100</v>
      </c>
      <c r="Y29" s="171">
        <f t="shared" si="18"/>
        <v>19</v>
      </c>
      <c r="Z29" s="171">
        <f t="shared" si="47"/>
        <v>119</v>
      </c>
      <c r="AA29" s="172">
        <f t="shared" si="48"/>
        <v>119</v>
      </c>
    </row>
    <row r="30" spans="1:27" ht="22.15" x14ac:dyDescent="0.8">
      <c r="A30" s="158"/>
      <c r="B30" s="421">
        <v>24</v>
      </c>
      <c r="C30" s="173" t="s">
        <v>130</v>
      </c>
      <c r="D30" s="99">
        <v>1</v>
      </c>
      <c r="E30" s="416">
        <v>1</v>
      </c>
      <c r="F30" s="159"/>
      <c r="G30" s="16">
        <f t="shared" si="3"/>
        <v>0</v>
      </c>
      <c r="H30" s="107"/>
      <c r="I30" s="168">
        <v>3571</v>
      </c>
      <c r="J30" s="11">
        <f t="shared" ref="J30:J35" si="49">I30*$J$6</f>
        <v>678.49</v>
      </c>
      <c r="K30" s="11">
        <f t="shared" ref="K30:K35" si="50">I30+J30</f>
        <v>4249.49</v>
      </c>
      <c r="L30" s="169">
        <f t="shared" ref="L30:L35" si="51">E30*K30</f>
        <v>4249.49</v>
      </c>
      <c r="M30" s="12"/>
      <c r="N30" s="168">
        <v>15000</v>
      </c>
      <c r="O30" s="11">
        <f t="shared" ref="O30:O35" si="52">N30*$O$6</f>
        <v>2850</v>
      </c>
      <c r="P30" s="79">
        <f t="shared" ref="P30:P35" si="53">N30+O30</f>
        <v>17850</v>
      </c>
      <c r="Q30" s="13">
        <f t="shared" ref="Q30:Q35" si="54">E30*P30</f>
        <v>17850</v>
      </c>
      <c r="R30" s="12"/>
      <c r="S30" s="14">
        <v>2900</v>
      </c>
      <c r="T30" s="10">
        <f t="shared" ref="T30:T35" si="55">S30*$T$6</f>
        <v>551</v>
      </c>
      <c r="U30" s="10">
        <f t="shared" ref="U30:U35" si="56">S30+T30</f>
        <v>3451</v>
      </c>
      <c r="V30" s="166">
        <f t="shared" ref="V30:V35" si="57">E30*U30</f>
        <v>3451</v>
      </c>
      <c r="X30" s="170">
        <v>8900</v>
      </c>
      <c r="Y30" s="171">
        <f t="shared" si="18"/>
        <v>1691</v>
      </c>
      <c r="Z30" s="171">
        <f t="shared" ref="Z30:Z35" si="58">X30+Y30</f>
        <v>10591</v>
      </c>
      <c r="AA30" s="172">
        <f t="shared" ref="AA30:AA35" si="59">E30*Z30</f>
        <v>10591</v>
      </c>
    </row>
    <row r="31" spans="1:27" ht="22.15" x14ac:dyDescent="0.8">
      <c r="A31" s="158"/>
      <c r="B31" s="421">
        <v>25</v>
      </c>
      <c r="C31" s="173" t="s">
        <v>131</v>
      </c>
      <c r="D31" s="99">
        <v>1</v>
      </c>
      <c r="E31" s="416">
        <v>1</v>
      </c>
      <c r="F31" s="159"/>
      <c r="G31" s="16">
        <f t="shared" si="3"/>
        <v>0</v>
      </c>
      <c r="H31" s="107"/>
      <c r="I31" s="168">
        <v>13950</v>
      </c>
      <c r="J31" s="11">
        <f t="shared" si="49"/>
        <v>2650.5</v>
      </c>
      <c r="K31" s="11">
        <f t="shared" si="50"/>
        <v>16600.5</v>
      </c>
      <c r="L31" s="169">
        <f t="shared" si="51"/>
        <v>16600.5</v>
      </c>
      <c r="M31" s="12"/>
      <c r="N31" s="168">
        <v>16900</v>
      </c>
      <c r="O31" s="11">
        <f t="shared" si="52"/>
        <v>3211</v>
      </c>
      <c r="P31" s="79">
        <f t="shared" si="53"/>
        <v>20111</v>
      </c>
      <c r="Q31" s="13">
        <f t="shared" si="54"/>
        <v>20111</v>
      </c>
      <c r="R31" s="12"/>
      <c r="S31" s="14">
        <v>14900</v>
      </c>
      <c r="T31" s="10">
        <f t="shared" si="55"/>
        <v>2831</v>
      </c>
      <c r="U31" s="10">
        <f t="shared" si="56"/>
        <v>17731</v>
      </c>
      <c r="V31" s="166">
        <f t="shared" si="57"/>
        <v>17731</v>
      </c>
      <c r="X31" s="170">
        <v>14900</v>
      </c>
      <c r="Y31" s="171">
        <f t="shared" si="18"/>
        <v>2831</v>
      </c>
      <c r="Z31" s="171">
        <f t="shared" si="58"/>
        <v>17731</v>
      </c>
      <c r="AA31" s="172">
        <f t="shared" si="59"/>
        <v>17731</v>
      </c>
    </row>
    <row r="32" spans="1:27" ht="22.15" x14ac:dyDescent="0.8">
      <c r="A32" s="158"/>
      <c r="B32" s="421">
        <v>26</v>
      </c>
      <c r="C32" s="173" t="s">
        <v>132</v>
      </c>
      <c r="D32" s="99">
        <v>1</v>
      </c>
      <c r="E32" s="416">
        <v>1</v>
      </c>
      <c r="F32" s="159"/>
      <c r="G32" s="16">
        <f t="shared" si="3"/>
        <v>0</v>
      </c>
      <c r="H32" s="107"/>
      <c r="I32" s="168">
        <v>8403</v>
      </c>
      <c r="J32" s="11">
        <f t="shared" si="49"/>
        <v>1596.57</v>
      </c>
      <c r="K32" s="11">
        <f t="shared" si="50"/>
        <v>9999.57</v>
      </c>
      <c r="L32" s="169">
        <f t="shared" si="51"/>
        <v>9999.57</v>
      </c>
      <c r="M32" s="12"/>
      <c r="N32" s="168">
        <v>13900</v>
      </c>
      <c r="O32" s="11">
        <f t="shared" si="52"/>
        <v>2641</v>
      </c>
      <c r="P32" s="79">
        <f t="shared" si="53"/>
        <v>16541</v>
      </c>
      <c r="Q32" s="13">
        <f t="shared" si="54"/>
        <v>16541</v>
      </c>
      <c r="R32" s="12"/>
      <c r="S32" s="14">
        <v>9900</v>
      </c>
      <c r="T32" s="10">
        <f t="shared" si="55"/>
        <v>1881</v>
      </c>
      <c r="U32" s="10">
        <f t="shared" si="56"/>
        <v>11781</v>
      </c>
      <c r="V32" s="166">
        <f t="shared" si="57"/>
        <v>11781</v>
      </c>
      <c r="X32" s="170">
        <v>12700</v>
      </c>
      <c r="Y32" s="171">
        <f t="shared" si="18"/>
        <v>2413</v>
      </c>
      <c r="Z32" s="171">
        <f t="shared" si="58"/>
        <v>15113</v>
      </c>
      <c r="AA32" s="172">
        <f t="shared" si="59"/>
        <v>15113</v>
      </c>
    </row>
    <row r="33" spans="1:27" ht="22.15" x14ac:dyDescent="0.8">
      <c r="A33" s="158"/>
      <c r="B33" s="421">
        <v>27</v>
      </c>
      <c r="C33" s="173" t="s">
        <v>133</v>
      </c>
      <c r="D33" s="99">
        <v>1</v>
      </c>
      <c r="E33" s="416">
        <v>1</v>
      </c>
      <c r="F33" s="159"/>
      <c r="G33" s="16">
        <f t="shared" si="3"/>
        <v>0</v>
      </c>
      <c r="H33" s="107"/>
      <c r="I33" s="168">
        <v>4748</v>
      </c>
      <c r="J33" s="11">
        <f t="shared" si="49"/>
        <v>902.12</v>
      </c>
      <c r="K33" s="11">
        <f t="shared" si="50"/>
        <v>5650.12</v>
      </c>
      <c r="L33" s="169">
        <f t="shared" si="51"/>
        <v>5650.12</v>
      </c>
      <c r="M33" s="12"/>
      <c r="N33" s="168">
        <v>12000</v>
      </c>
      <c r="O33" s="11">
        <f t="shared" si="52"/>
        <v>2280</v>
      </c>
      <c r="P33" s="79">
        <f t="shared" si="53"/>
        <v>14280</v>
      </c>
      <c r="Q33" s="13">
        <f t="shared" si="54"/>
        <v>14280</v>
      </c>
      <c r="R33" s="12"/>
      <c r="S33" s="14">
        <v>5860</v>
      </c>
      <c r="T33" s="10">
        <f t="shared" si="55"/>
        <v>1113.4000000000001</v>
      </c>
      <c r="U33" s="10">
        <f t="shared" si="56"/>
        <v>6973.4</v>
      </c>
      <c r="V33" s="166">
        <f t="shared" si="57"/>
        <v>6973.4</v>
      </c>
      <c r="X33" s="170">
        <v>10700</v>
      </c>
      <c r="Y33" s="171">
        <f t="shared" si="18"/>
        <v>2033</v>
      </c>
      <c r="Z33" s="171">
        <f t="shared" si="58"/>
        <v>12733</v>
      </c>
      <c r="AA33" s="172">
        <f t="shared" si="59"/>
        <v>12733</v>
      </c>
    </row>
    <row r="34" spans="1:27" ht="22.15" x14ac:dyDescent="0.8">
      <c r="A34" s="158"/>
      <c r="B34" s="421">
        <v>28</v>
      </c>
      <c r="C34" s="173" t="s">
        <v>134</v>
      </c>
      <c r="D34" s="99">
        <v>1</v>
      </c>
      <c r="E34" s="416">
        <v>1</v>
      </c>
      <c r="F34" s="159"/>
      <c r="G34" s="16">
        <f t="shared" si="3"/>
        <v>0</v>
      </c>
      <c r="H34" s="107"/>
      <c r="I34" s="168">
        <v>6387</v>
      </c>
      <c r="J34" s="11">
        <f t="shared" si="49"/>
        <v>1213.53</v>
      </c>
      <c r="K34" s="11">
        <f t="shared" si="50"/>
        <v>7600.53</v>
      </c>
      <c r="L34" s="169">
        <f t="shared" si="51"/>
        <v>7600.53</v>
      </c>
      <c r="M34" s="12"/>
      <c r="N34" s="168">
        <v>11500</v>
      </c>
      <c r="O34" s="11">
        <f t="shared" si="52"/>
        <v>2185</v>
      </c>
      <c r="P34" s="79">
        <f t="shared" si="53"/>
        <v>13685</v>
      </c>
      <c r="Q34" s="13">
        <f t="shared" si="54"/>
        <v>13685</v>
      </c>
      <c r="R34" s="12"/>
      <c r="S34" s="14">
        <v>4260</v>
      </c>
      <c r="T34" s="10">
        <f t="shared" si="55"/>
        <v>809.4</v>
      </c>
      <c r="U34" s="10">
        <f t="shared" si="56"/>
        <v>5069.3999999999996</v>
      </c>
      <c r="V34" s="166">
        <f t="shared" si="57"/>
        <v>5069.3999999999996</v>
      </c>
      <c r="X34" s="170">
        <v>10700</v>
      </c>
      <c r="Y34" s="171">
        <f t="shared" si="18"/>
        <v>2033</v>
      </c>
      <c r="Z34" s="171">
        <f t="shared" si="58"/>
        <v>12733</v>
      </c>
      <c r="AA34" s="172">
        <f t="shared" si="59"/>
        <v>12733</v>
      </c>
    </row>
    <row r="35" spans="1:27" ht="22.15" x14ac:dyDescent="0.8">
      <c r="A35" s="158"/>
      <c r="B35" s="421">
        <v>29</v>
      </c>
      <c r="C35" s="173" t="s">
        <v>135</v>
      </c>
      <c r="D35" s="99">
        <v>1</v>
      </c>
      <c r="E35" s="416">
        <v>1</v>
      </c>
      <c r="F35" s="159"/>
      <c r="G35" s="16">
        <f t="shared" si="3"/>
        <v>0</v>
      </c>
      <c r="H35" s="107"/>
      <c r="I35" s="168">
        <v>47479</v>
      </c>
      <c r="J35" s="11">
        <f t="shared" si="49"/>
        <v>9021.01</v>
      </c>
      <c r="K35" s="11">
        <f t="shared" si="50"/>
        <v>56500.01</v>
      </c>
      <c r="L35" s="169">
        <f t="shared" si="51"/>
        <v>56500.01</v>
      </c>
      <c r="M35" s="12"/>
      <c r="N35" s="168">
        <v>44500</v>
      </c>
      <c r="O35" s="11">
        <f t="shared" si="52"/>
        <v>8455</v>
      </c>
      <c r="P35" s="79">
        <f t="shared" si="53"/>
        <v>52955</v>
      </c>
      <c r="Q35" s="13">
        <f t="shared" si="54"/>
        <v>52955</v>
      </c>
      <c r="R35" s="12"/>
      <c r="S35" s="14">
        <v>53300</v>
      </c>
      <c r="T35" s="10">
        <f t="shared" si="55"/>
        <v>10127</v>
      </c>
      <c r="U35" s="10">
        <f t="shared" si="56"/>
        <v>63427</v>
      </c>
      <c r="V35" s="166">
        <f t="shared" si="57"/>
        <v>63427</v>
      </c>
      <c r="X35" s="170">
        <v>49700</v>
      </c>
      <c r="Y35" s="171">
        <f t="shared" si="18"/>
        <v>9443</v>
      </c>
      <c r="Z35" s="171">
        <f t="shared" si="58"/>
        <v>59143</v>
      </c>
      <c r="AA35" s="172">
        <f t="shared" si="59"/>
        <v>59143</v>
      </c>
    </row>
    <row r="36" spans="1:27" ht="22.15" x14ac:dyDescent="0.8">
      <c r="A36" s="158"/>
      <c r="B36" s="421">
        <v>30</v>
      </c>
      <c r="C36" s="173" t="s">
        <v>136</v>
      </c>
      <c r="D36" s="99">
        <v>1</v>
      </c>
      <c r="E36" s="416">
        <v>1</v>
      </c>
      <c r="F36" s="159"/>
      <c r="G36" s="16">
        <f t="shared" si="3"/>
        <v>0</v>
      </c>
      <c r="H36" s="107"/>
      <c r="I36" s="168">
        <v>15546</v>
      </c>
      <c r="J36" s="11">
        <f t="shared" si="38"/>
        <v>2953.7400000000002</v>
      </c>
      <c r="K36" s="11">
        <f t="shared" si="39"/>
        <v>18499.740000000002</v>
      </c>
      <c r="L36" s="169">
        <f t="shared" si="40"/>
        <v>18499.740000000002</v>
      </c>
      <c r="M36" s="12"/>
      <c r="N36" s="168">
        <v>1800</v>
      </c>
      <c r="O36" s="11">
        <f t="shared" si="41"/>
        <v>342</v>
      </c>
      <c r="P36" s="79">
        <f t="shared" si="42"/>
        <v>2142</v>
      </c>
      <c r="Q36" s="13">
        <f t="shared" si="43"/>
        <v>2142</v>
      </c>
      <c r="R36" s="12"/>
      <c r="S36" s="14">
        <v>22500</v>
      </c>
      <c r="T36" s="10">
        <f t="shared" si="44"/>
        <v>4275</v>
      </c>
      <c r="U36" s="10">
        <f t="shared" si="45"/>
        <v>26775</v>
      </c>
      <c r="V36" s="166">
        <f t="shared" si="46"/>
        <v>26775</v>
      </c>
      <c r="X36" s="170">
        <v>15700</v>
      </c>
      <c r="Y36" s="171">
        <f t="shared" si="18"/>
        <v>2983</v>
      </c>
      <c r="Z36" s="171">
        <f t="shared" si="47"/>
        <v>18683</v>
      </c>
      <c r="AA36" s="172">
        <f t="shared" si="48"/>
        <v>18683</v>
      </c>
    </row>
    <row r="37" spans="1:27" ht="22.15" x14ac:dyDescent="0.8">
      <c r="A37" s="158"/>
      <c r="B37" s="421">
        <v>31</v>
      </c>
      <c r="C37" s="173" t="s">
        <v>137</v>
      </c>
      <c r="D37" s="99">
        <v>1</v>
      </c>
      <c r="E37" s="416">
        <v>1</v>
      </c>
      <c r="F37" s="159"/>
      <c r="G37" s="16">
        <f t="shared" si="3"/>
        <v>0</v>
      </c>
      <c r="H37" s="107"/>
      <c r="I37" s="168">
        <v>32059</v>
      </c>
      <c r="J37" s="11">
        <f t="shared" si="38"/>
        <v>6091.21</v>
      </c>
      <c r="K37" s="11">
        <f t="shared" si="39"/>
        <v>38150.21</v>
      </c>
      <c r="L37" s="169">
        <f t="shared" si="40"/>
        <v>38150.21</v>
      </c>
      <c r="M37" s="12"/>
      <c r="N37" s="168">
        <v>33000</v>
      </c>
      <c r="O37" s="11">
        <f t="shared" si="41"/>
        <v>6270</v>
      </c>
      <c r="P37" s="79">
        <f t="shared" si="42"/>
        <v>39270</v>
      </c>
      <c r="Q37" s="13">
        <f t="shared" si="43"/>
        <v>39270</v>
      </c>
      <c r="R37" s="12"/>
      <c r="S37" s="14">
        <v>43200</v>
      </c>
      <c r="T37" s="10">
        <f t="shared" si="44"/>
        <v>8208</v>
      </c>
      <c r="U37" s="10">
        <f t="shared" si="45"/>
        <v>51408</v>
      </c>
      <c r="V37" s="166">
        <f t="shared" si="46"/>
        <v>51408</v>
      </c>
      <c r="X37" s="170">
        <v>32800</v>
      </c>
      <c r="Y37" s="171">
        <f t="shared" si="18"/>
        <v>6232</v>
      </c>
      <c r="Z37" s="171">
        <f t="shared" si="47"/>
        <v>39032</v>
      </c>
      <c r="AA37" s="172">
        <f t="shared" si="48"/>
        <v>39032</v>
      </c>
    </row>
    <row r="38" spans="1:27" ht="22.15" x14ac:dyDescent="0.8">
      <c r="A38" s="158"/>
      <c r="B38" s="421">
        <v>32</v>
      </c>
      <c r="C38" s="173" t="s">
        <v>138</v>
      </c>
      <c r="D38" s="99">
        <v>1</v>
      </c>
      <c r="E38" s="416">
        <v>1</v>
      </c>
      <c r="F38" s="159"/>
      <c r="G38" s="16">
        <f t="shared" si="3"/>
        <v>0</v>
      </c>
      <c r="H38" s="107"/>
      <c r="I38" s="168">
        <v>31807</v>
      </c>
      <c r="J38" s="11">
        <f t="shared" si="38"/>
        <v>6043.33</v>
      </c>
      <c r="K38" s="11">
        <f t="shared" si="39"/>
        <v>37850.33</v>
      </c>
      <c r="L38" s="169">
        <f t="shared" si="40"/>
        <v>37850.33</v>
      </c>
      <c r="M38" s="12"/>
      <c r="N38" s="168">
        <v>98000</v>
      </c>
      <c r="O38" s="11">
        <f t="shared" si="41"/>
        <v>18620</v>
      </c>
      <c r="P38" s="79">
        <f t="shared" si="42"/>
        <v>116620</v>
      </c>
      <c r="Q38" s="13">
        <f t="shared" si="43"/>
        <v>116620</v>
      </c>
      <c r="R38" s="12"/>
      <c r="S38" s="14">
        <v>69500</v>
      </c>
      <c r="T38" s="10">
        <f t="shared" si="44"/>
        <v>13205</v>
      </c>
      <c r="U38" s="10">
        <f t="shared" si="45"/>
        <v>82705</v>
      </c>
      <c r="V38" s="166">
        <f t="shared" si="46"/>
        <v>82705</v>
      </c>
      <c r="X38" s="170">
        <v>52700</v>
      </c>
      <c r="Y38" s="171">
        <f t="shared" si="18"/>
        <v>10013</v>
      </c>
      <c r="Z38" s="171">
        <f t="shared" si="47"/>
        <v>62713</v>
      </c>
      <c r="AA38" s="172">
        <f t="shared" si="48"/>
        <v>62713</v>
      </c>
    </row>
    <row r="39" spans="1:27" ht="22.15" x14ac:dyDescent="0.8">
      <c r="A39" s="158"/>
      <c r="B39" s="421">
        <v>33</v>
      </c>
      <c r="C39" s="173" t="s">
        <v>139</v>
      </c>
      <c r="D39" s="99">
        <v>1</v>
      </c>
      <c r="E39" s="416">
        <v>1</v>
      </c>
      <c r="F39" s="159"/>
      <c r="G39" s="16">
        <f t="shared" si="3"/>
        <v>0</v>
      </c>
      <c r="H39" s="107"/>
      <c r="I39" s="168">
        <v>189916</v>
      </c>
      <c r="J39" s="11">
        <f t="shared" ref="J39" si="60">I39*$J$6</f>
        <v>36084.04</v>
      </c>
      <c r="K39" s="11">
        <f t="shared" ref="K39" si="61">I39+J39</f>
        <v>226000.04</v>
      </c>
      <c r="L39" s="169">
        <f t="shared" ref="L39" si="62">E39*K39</f>
        <v>226000.04</v>
      </c>
      <c r="M39" s="12"/>
      <c r="N39" s="168">
        <v>195000</v>
      </c>
      <c r="O39" s="11">
        <f t="shared" ref="O39" si="63">N39*$O$6</f>
        <v>37050</v>
      </c>
      <c r="P39" s="79">
        <f t="shared" ref="P39" si="64">N39+O39</f>
        <v>232050</v>
      </c>
      <c r="Q39" s="13">
        <f t="shared" ref="Q39" si="65">E39*P39</f>
        <v>232050</v>
      </c>
      <c r="R39" s="12"/>
      <c r="S39" s="14">
        <v>194000</v>
      </c>
      <c r="T39" s="10">
        <f t="shared" ref="T39" si="66">S39*$T$6</f>
        <v>36860</v>
      </c>
      <c r="U39" s="10">
        <f t="shared" ref="U39" si="67">S39+T39</f>
        <v>230860</v>
      </c>
      <c r="V39" s="166">
        <f t="shared" ref="V39" si="68">E39*U39</f>
        <v>230860</v>
      </c>
      <c r="X39" s="170">
        <v>290000</v>
      </c>
      <c r="Y39" s="171">
        <f t="shared" ref="Y39:Y40" si="69">X39*$T$6</f>
        <v>55100</v>
      </c>
      <c r="Z39" s="171">
        <f t="shared" ref="Z39:Z40" si="70">X39+Y39</f>
        <v>345100</v>
      </c>
      <c r="AA39" s="172">
        <f t="shared" ref="AA39:AA40" si="71">E39*Z39</f>
        <v>345100</v>
      </c>
    </row>
    <row r="40" spans="1:27" ht="22.15" x14ac:dyDescent="0.8">
      <c r="A40" s="158"/>
      <c r="B40" s="421">
        <v>34</v>
      </c>
      <c r="C40" s="173" t="s">
        <v>140</v>
      </c>
      <c r="D40" s="99">
        <v>1</v>
      </c>
      <c r="E40" s="416">
        <v>1</v>
      </c>
      <c r="F40" s="159"/>
      <c r="G40" s="16">
        <f t="shared" si="3"/>
        <v>0</v>
      </c>
      <c r="H40" s="107"/>
      <c r="I40" s="168">
        <v>1144500</v>
      </c>
      <c r="J40" s="11">
        <f t="shared" ref="J40:J41" si="72">I40*$J$6</f>
        <v>217455</v>
      </c>
      <c r="K40" s="11">
        <f t="shared" ref="K40:K41" si="73">I40+J40</f>
        <v>1361955</v>
      </c>
      <c r="L40" s="169">
        <f t="shared" ref="L40:L41" si="74">E40*K40</f>
        <v>1361955</v>
      </c>
      <c r="M40" s="12"/>
      <c r="N40" s="168">
        <v>690000</v>
      </c>
      <c r="O40" s="11">
        <f t="shared" ref="O40:O41" si="75">N40*$O$6</f>
        <v>131100</v>
      </c>
      <c r="P40" s="79">
        <f t="shared" ref="P40:P41" si="76">N40+O40</f>
        <v>821100</v>
      </c>
      <c r="Q40" s="13">
        <f t="shared" ref="Q40:Q41" si="77">E40*P40</f>
        <v>821100</v>
      </c>
      <c r="R40" s="12"/>
      <c r="S40" s="14">
        <v>1100000</v>
      </c>
      <c r="T40" s="10">
        <f t="shared" ref="T40:T41" si="78">S40*$T$6</f>
        <v>209000</v>
      </c>
      <c r="U40" s="10">
        <f t="shared" ref="U40:U41" si="79">S40+T40</f>
        <v>1309000</v>
      </c>
      <c r="V40" s="166">
        <f t="shared" ref="V40:V41" si="80">E40*U40</f>
        <v>1309000</v>
      </c>
      <c r="X40" s="170">
        <v>1470000</v>
      </c>
      <c r="Y40" s="171">
        <f t="shared" si="69"/>
        <v>279300</v>
      </c>
      <c r="Z40" s="171">
        <f t="shared" si="70"/>
        <v>1749300</v>
      </c>
      <c r="AA40" s="172">
        <f t="shared" si="71"/>
        <v>1749300</v>
      </c>
    </row>
    <row r="41" spans="1:27" ht="22.15" x14ac:dyDescent="0.8">
      <c r="A41" s="158"/>
      <c r="B41" s="421">
        <v>35</v>
      </c>
      <c r="C41" s="173" t="s">
        <v>141</v>
      </c>
      <c r="D41" s="99">
        <v>1</v>
      </c>
      <c r="E41" s="416">
        <v>1</v>
      </c>
      <c r="F41" s="159"/>
      <c r="G41" s="16">
        <f t="shared" si="3"/>
        <v>0</v>
      </c>
      <c r="H41" s="107"/>
      <c r="I41" s="168">
        <v>438000</v>
      </c>
      <c r="J41" s="11">
        <f t="shared" si="72"/>
        <v>83220</v>
      </c>
      <c r="K41" s="11">
        <f t="shared" si="73"/>
        <v>521220</v>
      </c>
      <c r="L41" s="169">
        <f t="shared" si="74"/>
        <v>521220</v>
      </c>
      <c r="M41" s="12"/>
      <c r="N41" s="168">
        <v>290000</v>
      </c>
      <c r="O41" s="11">
        <f t="shared" si="75"/>
        <v>55100</v>
      </c>
      <c r="P41" s="79">
        <f t="shared" si="76"/>
        <v>345100</v>
      </c>
      <c r="Q41" s="13">
        <f t="shared" si="77"/>
        <v>345100</v>
      </c>
      <c r="R41" s="12"/>
      <c r="S41" s="14">
        <v>343000</v>
      </c>
      <c r="T41" s="10">
        <f t="shared" si="78"/>
        <v>65170</v>
      </c>
      <c r="U41" s="10">
        <f t="shared" si="79"/>
        <v>408170</v>
      </c>
      <c r="V41" s="166">
        <f t="shared" si="80"/>
        <v>408170</v>
      </c>
      <c r="X41" s="170">
        <v>510400</v>
      </c>
      <c r="Y41" s="171">
        <f t="shared" ref="Y41:Y62" si="81">X41*$T$6</f>
        <v>96976</v>
      </c>
      <c r="Z41" s="171">
        <f t="shared" ref="Z41:Z62" si="82">X41+Y41</f>
        <v>607376</v>
      </c>
      <c r="AA41" s="172">
        <f t="shared" ref="AA41:AA62" si="83">E41*Z41</f>
        <v>607376</v>
      </c>
    </row>
    <row r="42" spans="1:27" ht="22.15" x14ac:dyDescent="0.8">
      <c r="A42" s="158"/>
      <c r="B42" s="421">
        <v>36</v>
      </c>
      <c r="C42" s="173" t="s">
        <v>142</v>
      </c>
      <c r="D42" s="99">
        <v>1</v>
      </c>
      <c r="E42" s="416">
        <v>1</v>
      </c>
      <c r="F42" s="159"/>
      <c r="G42" s="16">
        <f t="shared" si="3"/>
        <v>0</v>
      </c>
      <c r="H42" s="107"/>
      <c r="I42" s="168">
        <v>249000</v>
      </c>
      <c r="J42" s="11">
        <f t="shared" ref="J42:J62" si="84">I42*$J$6</f>
        <v>47310</v>
      </c>
      <c r="K42" s="11">
        <f t="shared" ref="K42:K62" si="85">I42+J42</f>
        <v>296310</v>
      </c>
      <c r="L42" s="169">
        <f t="shared" ref="L42:L62" si="86">E42*K42</f>
        <v>296310</v>
      </c>
      <c r="M42" s="12"/>
      <c r="N42" s="168">
        <v>255000</v>
      </c>
      <c r="O42" s="11">
        <f t="shared" ref="O42:O62" si="87">N42*$O$6</f>
        <v>48450</v>
      </c>
      <c r="P42" s="79">
        <f t="shared" ref="P42:P62" si="88">N42+O42</f>
        <v>303450</v>
      </c>
      <c r="Q42" s="13">
        <f t="shared" ref="Q42:Q62" si="89">E42*P42</f>
        <v>303450</v>
      </c>
      <c r="R42" s="12"/>
      <c r="S42" s="14">
        <v>118000</v>
      </c>
      <c r="T42" s="10">
        <f t="shared" ref="T42:T62" si="90">S42*$T$6</f>
        <v>22420</v>
      </c>
      <c r="U42" s="10">
        <f t="shared" ref="U42:U62" si="91">S42+T42</f>
        <v>140420</v>
      </c>
      <c r="V42" s="166">
        <f t="shared" ref="V42:V62" si="92">E42*U42</f>
        <v>140420</v>
      </c>
      <c r="X42" s="170">
        <v>128900</v>
      </c>
      <c r="Y42" s="171">
        <f t="shared" si="81"/>
        <v>24491</v>
      </c>
      <c r="Z42" s="171">
        <f t="shared" si="82"/>
        <v>153391</v>
      </c>
      <c r="AA42" s="172">
        <f t="shared" si="83"/>
        <v>153391</v>
      </c>
    </row>
    <row r="43" spans="1:27" ht="22.15" x14ac:dyDescent="0.8">
      <c r="A43" s="158"/>
      <c r="B43" s="421">
        <v>37</v>
      </c>
      <c r="C43" s="173" t="s">
        <v>143</v>
      </c>
      <c r="D43" s="99">
        <v>1</v>
      </c>
      <c r="E43" s="416">
        <v>1</v>
      </c>
      <c r="F43" s="159"/>
      <c r="G43" s="16">
        <f t="shared" si="3"/>
        <v>0</v>
      </c>
      <c r="H43" s="107"/>
      <c r="I43" s="168">
        <v>4300</v>
      </c>
      <c r="J43" s="11">
        <f t="shared" si="84"/>
        <v>817</v>
      </c>
      <c r="K43" s="11">
        <f t="shared" si="85"/>
        <v>5117</v>
      </c>
      <c r="L43" s="169">
        <f t="shared" si="86"/>
        <v>5117</v>
      </c>
      <c r="M43" s="12"/>
      <c r="N43" s="168">
        <v>9000</v>
      </c>
      <c r="O43" s="11">
        <f t="shared" si="87"/>
        <v>1710</v>
      </c>
      <c r="P43" s="79">
        <f t="shared" si="88"/>
        <v>10710</v>
      </c>
      <c r="Q43" s="13">
        <f t="shared" si="89"/>
        <v>10710</v>
      </c>
      <c r="R43" s="12"/>
      <c r="S43" s="14">
        <v>9500</v>
      </c>
      <c r="T43" s="10">
        <f t="shared" si="90"/>
        <v>1805</v>
      </c>
      <c r="U43" s="10">
        <f t="shared" si="91"/>
        <v>11305</v>
      </c>
      <c r="V43" s="166">
        <f t="shared" si="92"/>
        <v>11305</v>
      </c>
      <c r="X43" s="170">
        <v>6600</v>
      </c>
      <c r="Y43" s="171">
        <f t="shared" si="81"/>
        <v>1254</v>
      </c>
      <c r="Z43" s="171">
        <f t="shared" si="82"/>
        <v>7854</v>
      </c>
      <c r="AA43" s="172">
        <f t="shared" si="83"/>
        <v>7854</v>
      </c>
    </row>
    <row r="44" spans="1:27" ht="22.15" x14ac:dyDescent="0.8">
      <c r="A44" s="158"/>
      <c r="B44" s="421">
        <v>38</v>
      </c>
      <c r="C44" s="173" t="s">
        <v>144</v>
      </c>
      <c r="D44" s="99">
        <v>1</v>
      </c>
      <c r="E44" s="416">
        <v>1</v>
      </c>
      <c r="F44" s="159"/>
      <c r="G44" s="16">
        <f t="shared" si="3"/>
        <v>0</v>
      </c>
      <c r="H44" s="107"/>
      <c r="I44" s="168">
        <v>10588</v>
      </c>
      <c r="J44" s="11">
        <f t="shared" si="84"/>
        <v>2011.72</v>
      </c>
      <c r="K44" s="11">
        <f t="shared" si="85"/>
        <v>12599.72</v>
      </c>
      <c r="L44" s="169">
        <f t="shared" si="86"/>
        <v>12599.72</v>
      </c>
      <c r="M44" s="12"/>
      <c r="N44" s="168">
        <v>19000</v>
      </c>
      <c r="O44" s="11">
        <f t="shared" si="87"/>
        <v>3610</v>
      </c>
      <c r="P44" s="79">
        <f t="shared" si="88"/>
        <v>22610</v>
      </c>
      <c r="Q44" s="13">
        <f t="shared" si="89"/>
        <v>22610</v>
      </c>
      <c r="R44" s="12"/>
      <c r="S44" s="14">
        <v>26500</v>
      </c>
      <c r="T44" s="10">
        <f t="shared" si="90"/>
        <v>5035</v>
      </c>
      <c r="U44" s="10">
        <f t="shared" si="91"/>
        <v>31535</v>
      </c>
      <c r="V44" s="166">
        <f t="shared" si="92"/>
        <v>31535</v>
      </c>
      <c r="X44" s="170">
        <v>25400</v>
      </c>
      <c r="Y44" s="171">
        <f t="shared" si="81"/>
        <v>4826</v>
      </c>
      <c r="Z44" s="171">
        <f t="shared" si="82"/>
        <v>30226</v>
      </c>
      <c r="AA44" s="172">
        <f t="shared" si="83"/>
        <v>30226</v>
      </c>
    </row>
    <row r="45" spans="1:27" ht="22.15" x14ac:dyDescent="0.8">
      <c r="A45" s="158"/>
      <c r="B45" s="421">
        <v>39</v>
      </c>
      <c r="C45" s="173" t="s">
        <v>145</v>
      </c>
      <c r="D45" s="99">
        <v>1</v>
      </c>
      <c r="E45" s="416">
        <v>1</v>
      </c>
      <c r="F45" s="159"/>
      <c r="G45" s="16">
        <f t="shared" si="3"/>
        <v>0</v>
      </c>
      <c r="H45" s="107"/>
      <c r="I45" s="168">
        <v>17521</v>
      </c>
      <c r="J45" s="11">
        <f t="shared" si="84"/>
        <v>3328.9900000000002</v>
      </c>
      <c r="K45" s="11">
        <f t="shared" si="85"/>
        <v>20849.990000000002</v>
      </c>
      <c r="L45" s="169">
        <f t="shared" si="86"/>
        <v>20849.990000000002</v>
      </c>
      <c r="M45" s="12"/>
      <c r="N45" s="168">
        <v>10800</v>
      </c>
      <c r="O45" s="11">
        <f t="shared" si="87"/>
        <v>2052</v>
      </c>
      <c r="P45" s="79">
        <f t="shared" si="88"/>
        <v>12852</v>
      </c>
      <c r="Q45" s="13">
        <f t="shared" si="89"/>
        <v>12852</v>
      </c>
      <c r="R45" s="12"/>
      <c r="S45" s="14">
        <v>22550</v>
      </c>
      <c r="T45" s="10">
        <f t="shared" si="90"/>
        <v>4284.5</v>
      </c>
      <c r="U45" s="10">
        <f t="shared" si="91"/>
        <v>26834.5</v>
      </c>
      <c r="V45" s="166">
        <f t="shared" si="92"/>
        <v>26834.5</v>
      </c>
      <c r="X45" s="170">
        <v>21200</v>
      </c>
      <c r="Y45" s="171">
        <f t="shared" si="81"/>
        <v>4028</v>
      </c>
      <c r="Z45" s="171">
        <f t="shared" si="82"/>
        <v>25228</v>
      </c>
      <c r="AA45" s="172">
        <f t="shared" si="83"/>
        <v>25228</v>
      </c>
    </row>
    <row r="46" spans="1:27" ht="22.15" x14ac:dyDescent="0.8">
      <c r="A46" s="158"/>
      <c r="B46" s="421">
        <v>40</v>
      </c>
      <c r="C46" s="173" t="s">
        <v>146</v>
      </c>
      <c r="D46" s="99">
        <v>1</v>
      </c>
      <c r="E46" s="416">
        <v>1</v>
      </c>
      <c r="F46" s="159"/>
      <c r="G46" s="16">
        <f t="shared" si="3"/>
        <v>0</v>
      </c>
      <c r="H46" s="107"/>
      <c r="I46" s="168">
        <v>120295</v>
      </c>
      <c r="J46" s="11">
        <f t="shared" si="84"/>
        <v>22856.05</v>
      </c>
      <c r="K46" s="11">
        <f t="shared" si="85"/>
        <v>143151.04999999999</v>
      </c>
      <c r="L46" s="169">
        <f t="shared" si="86"/>
        <v>143151.04999999999</v>
      </c>
      <c r="M46" s="12"/>
      <c r="N46" s="168">
        <v>79000</v>
      </c>
      <c r="O46" s="11">
        <f t="shared" si="87"/>
        <v>15010</v>
      </c>
      <c r="P46" s="79">
        <f t="shared" si="88"/>
        <v>94010</v>
      </c>
      <c r="Q46" s="13">
        <f t="shared" si="89"/>
        <v>94010</v>
      </c>
      <c r="R46" s="12"/>
      <c r="S46" s="14">
        <v>66000</v>
      </c>
      <c r="T46" s="10">
        <f t="shared" si="90"/>
        <v>12540</v>
      </c>
      <c r="U46" s="10">
        <f t="shared" si="91"/>
        <v>78540</v>
      </c>
      <c r="V46" s="166">
        <f t="shared" si="92"/>
        <v>78540</v>
      </c>
      <c r="X46" s="170">
        <v>83900</v>
      </c>
      <c r="Y46" s="171">
        <f t="shared" si="81"/>
        <v>15941</v>
      </c>
      <c r="Z46" s="171">
        <f t="shared" si="82"/>
        <v>99841</v>
      </c>
      <c r="AA46" s="172">
        <f t="shared" si="83"/>
        <v>99841</v>
      </c>
    </row>
    <row r="47" spans="1:27" ht="22.15" x14ac:dyDescent="0.8">
      <c r="A47" s="158"/>
      <c r="B47" s="421">
        <v>41</v>
      </c>
      <c r="C47" s="173" t="s">
        <v>147</v>
      </c>
      <c r="D47" s="99">
        <v>1</v>
      </c>
      <c r="E47" s="416">
        <v>1</v>
      </c>
      <c r="F47" s="159"/>
      <c r="G47" s="16">
        <f t="shared" si="3"/>
        <v>0</v>
      </c>
      <c r="H47" s="107"/>
      <c r="I47" s="168">
        <v>54004</v>
      </c>
      <c r="J47" s="11">
        <f t="shared" si="84"/>
        <v>10260.76</v>
      </c>
      <c r="K47" s="11">
        <f t="shared" si="85"/>
        <v>64264.76</v>
      </c>
      <c r="L47" s="169">
        <f t="shared" si="86"/>
        <v>64264.76</v>
      </c>
      <c r="M47" s="12"/>
      <c r="N47" s="168">
        <v>39000</v>
      </c>
      <c r="O47" s="11">
        <f t="shared" si="87"/>
        <v>7410</v>
      </c>
      <c r="P47" s="79">
        <f t="shared" si="88"/>
        <v>46410</v>
      </c>
      <c r="Q47" s="13">
        <f t="shared" si="89"/>
        <v>46410</v>
      </c>
      <c r="R47" s="12"/>
      <c r="S47" s="14">
        <v>41500</v>
      </c>
      <c r="T47" s="10">
        <f t="shared" si="90"/>
        <v>7885</v>
      </c>
      <c r="U47" s="10">
        <f t="shared" si="91"/>
        <v>49385</v>
      </c>
      <c r="V47" s="166">
        <f t="shared" si="92"/>
        <v>49385</v>
      </c>
      <c r="X47" s="170">
        <v>38900</v>
      </c>
      <c r="Y47" s="171">
        <f t="shared" si="81"/>
        <v>7391</v>
      </c>
      <c r="Z47" s="171">
        <f t="shared" si="82"/>
        <v>46291</v>
      </c>
      <c r="AA47" s="172">
        <f t="shared" si="83"/>
        <v>46291</v>
      </c>
    </row>
    <row r="48" spans="1:27" ht="22.15" x14ac:dyDescent="0.8">
      <c r="A48" s="158"/>
      <c r="B48" s="421">
        <v>42</v>
      </c>
      <c r="C48" s="173" t="s">
        <v>148</v>
      </c>
      <c r="D48" s="99">
        <v>1</v>
      </c>
      <c r="E48" s="416">
        <v>1</v>
      </c>
      <c r="F48" s="159"/>
      <c r="G48" s="16">
        <f t="shared" si="3"/>
        <v>0</v>
      </c>
      <c r="H48" s="107"/>
      <c r="I48" s="168">
        <v>24780</v>
      </c>
      <c r="J48" s="11">
        <f t="shared" si="84"/>
        <v>4708.2</v>
      </c>
      <c r="K48" s="11">
        <f t="shared" si="85"/>
        <v>29488.2</v>
      </c>
      <c r="L48" s="169">
        <f t="shared" si="86"/>
        <v>29488.2</v>
      </c>
      <c r="M48" s="12"/>
      <c r="N48" s="168">
        <v>19000</v>
      </c>
      <c r="O48" s="11">
        <f t="shared" si="87"/>
        <v>3610</v>
      </c>
      <c r="P48" s="79">
        <f t="shared" si="88"/>
        <v>22610</v>
      </c>
      <c r="Q48" s="13">
        <f t="shared" si="89"/>
        <v>22610</v>
      </c>
      <c r="R48" s="12"/>
      <c r="S48" s="14">
        <v>12500</v>
      </c>
      <c r="T48" s="10">
        <f t="shared" si="90"/>
        <v>2375</v>
      </c>
      <c r="U48" s="10">
        <f t="shared" si="91"/>
        <v>14875</v>
      </c>
      <c r="V48" s="166">
        <f t="shared" si="92"/>
        <v>14875</v>
      </c>
      <c r="X48" s="170">
        <v>25900</v>
      </c>
      <c r="Y48" s="171">
        <f t="shared" si="81"/>
        <v>4921</v>
      </c>
      <c r="Z48" s="171">
        <f t="shared" si="82"/>
        <v>30821</v>
      </c>
      <c r="AA48" s="172">
        <f t="shared" si="83"/>
        <v>30821</v>
      </c>
    </row>
    <row r="49" spans="1:27" ht="22.15" x14ac:dyDescent="0.8">
      <c r="A49" s="158"/>
      <c r="B49" s="421">
        <v>43</v>
      </c>
      <c r="C49" s="173" t="s">
        <v>149</v>
      </c>
      <c r="D49" s="99">
        <v>1</v>
      </c>
      <c r="E49" s="416">
        <v>1</v>
      </c>
      <c r="F49" s="159"/>
      <c r="G49" s="16">
        <f t="shared" si="3"/>
        <v>0</v>
      </c>
      <c r="H49" s="107"/>
      <c r="I49" s="168">
        <v>797</v>
      </c>
      <c r="J49" s="11">
        <f t="shared" si="84"/>
        <v>151.43</v>
      </c>
      <c r="K49" s="11">
        <f t="shared" si="85"/>
        <v>948.43000000000006</v>
      </c>
      <c r="L49" s="169">
        <f t="shared" si="86"/>
        <v>948.43000000000006</v>
      </c>
      <c r="M49" s="12"/>
      <c r="N49" s="168">
        <v>495</v>
      </c>
      <c r="O49" s="11">
        <f t="shared" si="87"/>
        <v>94.05</v>
      </c>
      <c r="P49" s="79">
        <f t="shared" si="88"/>
        <v>589.04999999999995</v>
      </c>
      <c r="Q49" s="13">
        <f t="shared" si="89"/>
        <v>589.04999999999995</v>
      </c>
      <c r="R49" s="12"/>
      <c r="S49" s="14">
        <v>600</v>
      </c>
      <c r="T49" s="10">
        <f t="shared" si="90"/>
        <v>114</v>
      </c>
      <c r="U49" s="10">
        <f t="shared" si="91"/>
        <v>714</v>
      </c>
      <c r="V49" s="166">
        <f t="shared" si="92"/>
        <v>714</v>
      </c>
      <c r="X49" s="170">
        <v>650</v>
      </c>
      <c r="Y49" s="171">
        <f t="shared" si="81"/>
        <v>123.5</v>
      </c>
      <c r="Z49" s="171">
        <f t="shared" si="82"/>
        <v>773.5</v>
      </c>
      <c r="AA49" s="172">
        <f t="shared" si="83"/>
        <v>773.5</v>
      </c>
    </row>
    <row r="50" spans="1:27" ht="22.15" x14ac:dyDescent="0.8">
      <c r="A50" s="158"/>
      <c r="B50" s="421">
        <v>44</v>
      </c>
      <c r="C50" s="173" t="s">
        <v>150</v>
      </c>
      <c r="D50" s="99">
        <v>1</v>
      </c>
      <c r="E50" s="416">
        <v>1</v>
      </c>
      <c r="F50" s="159"/>
      <c r="G50" s="16">
        <f t="shared" si="3"/>
        <v>0</v>
      </c>
      <c r="H50" s="107"/>
      <c r="I50" s="168">
        <v>1000</v>
      </c>
      <c r="J50" s="11">
        <f t="shared" si="84"/>
        <v>190</v>
      </c>
      <c r="K50" s="11">
        <f t="shared" si="85"/>
        <v>1190</v>
      </c>
      <c r="L50" s="169">
        <f t="shared" si="86"/>
        <v>1190</v>
      </c>
      <c r="M50" s="12"/>
      <c r="N50" s="168">
        <v>670</v>
      </c>
      <c r="O50" s="11">
        <f t="shared" si="87"/>
        <v>127.3</v>
      </c>
      <c r="P50" s="79">
        <f t="shared" si="88"/>
        <v>797.3</v>
      </c>
      <c r="Q50" s="13">
        <f t="shared" si="89"/>
        <v>797.3</v>
      </c>
      <c r="R50" s="12"/>
      <c r="S50" s="14">
        <v>800</v>
      </c>
      <c r="T50" s="10">
        <f t="shared" si="90"/>
        <v>152</v>
      </c>
      <c r="U50" s="10">
        <f t="shared" si="91"/>
        <v>952</v>
      </c>
      <c r="V50" s="166">
        <f t="shared" si="92"/>
        <v>952</v>
      </c>
      <c r="X50" s="170">
        <v>800</v>
      </c>
      <c r="Y50" s="171">
        <f t="shared" si="81"/>
        <v>152</v>
      </c>
      <c r="Z50" s="171">
        <f t="shared" si="82"/>
        <v>952</v>
      </c>
      <c r="AA50" s="172">
        <f t="shared" si="83"/>
        <v>952</v>
      </c>
    </row>
    <row r="51" spans="1:27" ht="22.15" x14ac:dyDescent="0.8">
      <c r="A51" s="158"/>
      <c r="B51" s="421">
        <v>45</v>
      </c>
      <c r="C51" s="173" t="s">
        <v>151</v>
      </c>
      <c r="D51" s="99">
        <v>1</v>
      </c>
      <c r="E51" s="416">
        <v>1</v>
      </c>
      <c r="F51" s="159"/>
      <c r="G51" s="16">
        <f t="shared" si="3"/>
        <v>0</v>
      </c>
      <c r="H51" s="107"/>
      <c r="I51" s="168">
        <v>485</v>
      </c>
      <c r="J51" s="11">
        <f t="shared" si="84"/>
        <v>92.15</v>
      </c>
      <c r="K51" s="11">
        <f t="shared" si="85"/>
        <v>577.15</v>
      </c>
      <c r="L51" s="169">
        <f t="shared" si="86"/>
        <v>577.15</v>
      </c>
      <c r="M51" s="12"/>
      <c r="N51" s="168">
        <v>550</v>
      </c>
      <c r="O51" s="11">
        <f t="shared" si="87"/>
        <v>104.5</v>
      </c>
      <c r="P51" s="79">
        <f t="shared" si="88"/>
        <v>654.5</v>
      </c>
      <c r="Q51" s="13">
        <f t="shared" si="89"/>
        <v>654.5</v>
      </c>
      <c r="R51" s="12"/>
      <c r="S51" s="14">
        <v>450</v>
      </c>
      <c r="T51" s="10">
        <f t="shared" si="90"/>
        <v>85.5</v>
      </c>
      <c r="U51" s="10">
        <f t="shared" si="91"/>
        <v>535.5</v>
      </c>
      <c r="V51" s="166">
        <f t="shared" si="92"/>
        <v>535.5</v>
      </c>
      <c r="X51" s="170">
        <v>400</v>
      </c>
      <c r="Y51" s="171">
        <f t="shared" si="81"/>
        <v>76</v>
      </c>
      <c r="Z51" s="171">
        <f t="shared" si="82"/>
        <v>476</v>
      </c>
      <c r="AA51" s="172">
        <f t="shared" si="83"/>
        <v>476</v>
      </c>
    </row>
    <row r="52" spans="1:27" ht="22.15" x14ac:dyDescent="0.8">
      <c r="A52" s="158"/>
      <c r="B52" s="421">
        <v>46</v>
      </c>
      <c r="C52" s="173" t="s">
        <v>152</v>
      </c>
      <c r="D52" s="99">
        <v>1</v>
      </c>
      <c r="E52" s="416">
        <v>1</v>
      </c>
      <c r="F52" s="159"/>
      <c r="G52" s="16">
        <f t="shared" si="3"/>
        <v>0</v>
      </c>
      <c r="H52" s="107"/>
      <c r="I52" s="168">
        <v>549</v>
      </c>
      <c r="J52" s="11">
        <f t="shared" si="84"/>
        <v>104.31</v>
      </c>
      <c r="K52" s="11">
        <f t="shared" si="85"/>
        <v>653.30999999999995</v>
      </c>
      <c r="L52" s="169">
        <f t="shared" si="86"/>
        <v>653.30999999999995</v>
      </c>
      <c r="M52" s="12"/>
      <c r="N52" s="168">
        <v>650</v>
      </c>
      <c r="O52" s="11">
        <f t="shared" si="87"/>
        <v>123.5</v>
      </c>
      <c r="P52" s="79">
        <f t="shared" si="88"/>
        <v>773.5</v>
      </c>
      <c r="Q52" s="13">
        <f t="shared" si="89"/>
        <v>773.5</v>
      </c>
      <c r="R52" s="12"/>
      <c r="S52" s="14">
        <v>480</v>
      </c>
      <c r="T52" s="10">
        <f t="shared" si="90"/>
        <v>91.2</v>
      </c>
      <c r="U52" s="10">
        <f t="shared" si="91"/>
        <v>571.20000000000005</v>
      </c>
      <c r="V52" s="166">
        <f t="shared" si="92"/>
        <v>571.20000000000005</v>
      </c>
      <c r="X52" s="170">
        <v>450</v>
      </c>
      <c r="Y52" s="171">
        <f t="shared" si="81"/>
        <v>85.5</v>
      </c>
      <c r="Z52" s="171">
        <f t="shared" si="82"/>
        <v>535.5</v>
      </c>
      <c r="AA52" s="172">
        <f t="shared" si="83"/>
        <v>535.5</v>
      </c>
    </row>
    <row r="53" spans="1:27" ht="22.15" x14ac:dyDescent="0.8">
      <c r="A53" s="158"/>
      <c r="B53" s="421">
        <v>47</v>
      </c>
      <c r="C53" s="173" t="s">
        <v>153</v>
      </c>
      <c r="D53" s="99">
        <v>1</v>
      </c>
      <c r="E53" s="416">
        <v>1</v>
      </c>
      <c r="F53" s="159"/>
      <c r="G53" s="16">
        <f t="shared" si="3"/>
        <v>0</v>
      </c>
      <c r="H53" s="107"/>
      <c r="I53" s="168">
        <v>8569</v>
      </c>
      <c r="J53" s="11">
        <f t="shared" si="84"/>
        <v>1628.1100000000001</v>
      </c>
      <c r="K53" s="11">
        <f t="shared" si="85"/>
        <v>10197.11</v>
      </c>
      <c r="L53" s="169">
        <f t="shared" si="86"/>
        <v>10197.11</v>
      </c>
      <c r="M53" s="12"/>
      <c r="N53" s="168">
        <v>8500</v>
      </c>
      <c r="O53" s="11">
        <f t="shared" si="87"/>
        <v>1615</v>
      </c>
      <c r="P53" s="79">
        <f t="shared" si="88"/>
        <v>10115</v>
      </c>
      <c r="Q53" s="13">
        <f t="shared" si="89"/>
        <v>10115</v>
      </c>
      <c r="R53" s="12"/>
      <c r="S53" s="14">
        <v>12880</v>
      </c>
      <c r="T53" s="10">
        <f t="shared" si="90"/>
        <v>2447.1999999999998</v>
      </c>
      <c r="U53" s="10">
        <f t="shared" si="91"/>
        <v>15327.2</v>
      </c>
      <c r="V53" s="166">
        <f t="shared" si="92"/>
        <v>15327.2</v>
      </c>
      <c r="X53" s="170">
        <v>6500</v>
      </c>
      <c r="Y53" s="171">
        <f t="shared" si="81"/>
        <v>1235</v>
      </c>
      <c r="Z53" s="171">
        <f t="shared" si="82"/>
        <v>7735</v>
      </c>
      <c r="AA53" s="172">
        <f t="shared" si="83"/>
        <v>7735</v>
      </c>
    </row>
    <row r="54" spans="1:27" ht="22.15" x14ac:dyDescent="0.8">
      <c r="A54" s="158"/>
      <c r="B54" s="421">
        <v>48</v>
      </c>
      <c r="C54" s="173" t="s">
        <v>154</v>
      </c>
      <c r="D54" s="99">
        <v>1</v>
      </c>
      <c r="E54" s="416">
        <v>1</v>
      </c>
      <c r="F54" s="159"/>
      <c r="G54" s="16">
        <f t="shared" si="3"/>
        <v>0</v>
      </c>
      <c r="H54" s="107"/>
      <c r="I54" s="168">
        <v>3901</v>
      </c>
      <c r="J54" s="11">
        <f t="shared" si="84"/>
        <v>741.19</v>
      </c>
      <c r="K54" s="11">
        <f t="shared" si="85"/>
        <v>4642.1900000000005</v>
      </c>
      <c r="L54" s="169">
        <f t="shared" si="86"/>
        <v>4642.1900000000005</v>
      </c>
      <c r="M54" s="12"/>
      <c r="N54" s="168">
        <v>2620</v>
      </c>
      <c r="O54" s="11">
        <f t="shared" si="87"/>
        <v>497.8</v>
      </c>
      <c r="P54" s="79">
        <f t="shared" si="88"/>
        <v>3117.8</v>
      </c>
      <c r="Q54" s="13">
        <f t="shared" si="89"/>
        <v>3117.8</v>
      </c>
      <c r="R54" s="12"/>
      <c r="S54" s="14">
        <v>2350</v>
      </c>
      <c r="T54" s="10">
        <f t="shared" si="90"/>
        <v>446.5</v>
      </c>
      <c r="U54" s="10">
        <f t="shared" si="91"/>
        <v>2796.5</v>
      </c>
      <c r="V54" s="166">
        <f t="shared" si="92"/>
        <v>2796.5</v>
      </c>
      <c r="X54" s="170">
        <v>2500</v>
      </c>
      <c r="Y54" s="171">
        <f t="shared" si="81"/>
        <v>475</v>
      </c>
      <c r="Z54" s="171">
        <f t="shared" si="82"/>
        <v>2975</v>
      </c>
      <c r="AA54" s="172">
        <f t="shared" si="83"/>
        <v>2975</v>
      </c>
    </row>
    <row r="55" spans="1:27" ht="22.15" x14ac:dyDescent="0.8">
      <c r="A55" s="158"/>
      <c r="B55" s="421">
        <v>49</v>
      </c>
      <c r="C55" s="173" t="s">
        <v>155</v>
      </c>
      <c r="D55" s="99">
        <v>1</v>
      </c>
      <c r="E55" s="416">
        <v>1</v>
      </c>
      <c r="F55" s="159"/>
      <c r="G55" s="16">
        <f t="shared" si="3"/>
        <v>0</v>
      </c>
      <c r="H55" s="107"/>
      <c r="I55" s="168">
        <v>3147</v>
      </c>
      <c r="J55" s="11">
        <f t="shared" si="84"/>
        <v>597.93000000000006</v>
      </c>
      <c r="K55" s="11">
        <f t="shared" si="85"/>
        <v>3744.9300000000003</v>
      </c>
      <c r="L55" s="169">
        <f t="shared" si="86"/>
        <v>3744.9300000000003</v>
      </c>
      <c r="M55" s="12"/>
      <c r="N55" s="168">
        <v>2100</v>
      </c>
      <c r="O55" s="11">
        <f t="shared" si="87"/>
        <v>399</v>
      </c>
      <c r="P55" s="79">
        <f t="shared" si="88"/>
        <v>2499</v>
      </c>
      <c r="Q55" s="13">
        <f t="shared" si="89"/>
        <v>2499</v>
      </c>
      <c r="R55" s="12"/>
      <c r="S55" s="14">
        <v>1900</v>
      </c>
      <c r="T55" s="10">
        <f t="shared" si="90"/>
        <v>361</v>
      </c>
      <c r="U55" s="10">
        <f t="shared" si="91"/>
        <v>2261</v>
      </c>
      <c r="V55" s="166">
        <f t="shared" si="92"/>
        <v>2261</v>
      </c>
      <c r="X55" s="170">
        <v>1900</v>
      </c>
      <c r="Y55" s="171">
        <f t="shared" si="81"/>
        <v>361</v>
      </c>
      <c r="Z55" s="171">
        <f t="shared" si="82"/>
        <v>2261</v>
      </c>
      <c r="AA55" s="172">
        <f t="shared" si="83"/>
        <v>2261</v>
      </c>
    </row>
    <row r="56" spans="1:27" ht="22.15" x14ac:dyDescent="0.8">
      <c r="A56" s="158"/>
      <c r="B56" s="421">
        <v>50</v>
      </c>
      <c r="C56" s="173" t="s">
        <v>156</v>
      </c>
      <c r="D56" s="99">
        <v>1</v>
      </c>
      <c r="E56" s="416">
        <v>1</v>
      </c>
      <c r="F56" s="159"/>
      <c r="G56" s="16">
        <f t="shared" si="3"/>
        <v>0</v>
      </c>
      <c r="H56" s="107"/>
      <c r="I56" s="168">
        <v>87826</v>
      </c>
      <c r="J56" s="11">
        <f t="shared" si="84"/>
        <v>16686.939999999999</v>
      </c>
      <c r="K56" s="11">
        <f t="shared" si="85"/>
        <v>104512.94</v>
      </c>
      <c r="L56" s="169">
        <f t="shared" si="86"/>
        <v>104512.94</v>
      </c>
      <c r="M56" s="12"/>
      <c r="N56" s="168">
        <v>72000</v>
      </c>
      <c r="O56" s="11">
        <f t="shared" si="87"/>
        <v>13680</v>
      </c>
      <c r="P56" s="79">
        <f t="shared" si="88"/>
        <v>85680</v>
      </c>
      <c r="Q56" s="13">
        <f t="shared" si="89"/>
        <v>85680</v>
      </c>
      <c r="R56" s="12"/>
      <c r="S56" s="14">
        <v>58600</v>
      </c>
      <c r="T56" s="10">
        <f t="shared" si="90"/>
        <v>11134</v>
      </c>
      <c r="U56" s="10">
        <f t="shared" si="91"/>
        <v>69734</v>
      </c>
      <c r="V56" s="166">
        <f t="shared" si="92"/>
        <v>69734</v>
      </c>
      <c r="X56" s="170">
        <v>53900</v>
      </c>
      <c r="Y56" s="171">
        <f t="shared" si="81"/>
        <v>10241</v>
      </c>
      <c r="Z56" s="171">
        <f t="shared" si="82"/>
        <v>64141</v>
      </c>
      <c r="AA56" s="172">
        <f t="shared" si="83"/>
        <v>64141</v>
      </c>
    </row>
    <row r="57" spans="1:27" ht="22.15" x14ac:dyDescent="0.8">
      <c r="A57" s="158"/>
      <c r="B57" s="421">
        <v>51</v>
      </c>
      <c r="C57" s="173" t="s">
        <v>157</v>
      </c>
      <c r="D57" s="99">
        <v>1</v>
      </c>
      <c r="E57" s="416">
        <v>1</v>
      </c>
      <c r="F57" s="159"/>
      <c r="G57" s="16">
        <f t="shared" si="3"/>
        <v>0</v>
      </c>
      <c r="H57" s="107"/>
      <c r="I57" s="168">
        <v>4671</v>
      </c>
      <c r="J57" s="11">
        <f t="shared" si="84"/>
        <v>887.49</v>
      </c>
      <c r="K57" s="11">
        <f t="shared" si="85"/>
        <v>5558.49</v>
      </c>
      <c r="L57" s="169">
        <f t="shared" si="86"/>
        <v>5558.49</v>
      </c>
      <c r="M57" s="12"/>
      <c r="N57" s="168">
        <v>3130</v>
      </c>
      <c r="O57" s="11">
        <f t="shared" si="87"/>
        <v>594.70000000000005</v>
      </c>
      <c r="P57" s="79">
        <f>N57+O57</f>
        <v>3724.7</v>
      </c>
      <c r="Q57" s="13">
        <f>E57*P57</f>
        <v>3724.7</v>
      </c>
      <c r="R57" s="12"/>
      <c r="S57" s="14">
        <v>6200</v>
      </c>
      <c r="T57" s="10">
        <f t="shared" si="90"/>
        <v>1178</v>
      </c>
      <c r="U57" s="10">
        <f t="shared" si="91"/>
        <v>7378</v>
      </c>
      <c r="V57" s="166">
        <f t="shared" si="92"/>
        <v>7378</v>
      </c>
      <c r="X57" s="170">
        <v>2900</v>
      </c>
      <c r="Y57" s="171">
        <f t="shared" si="81"/>
        <v>551</v>
      </c>
      <c r="Z57" s="171">
        <f t="shared" si="82"/>
        <v>3451</v>
      </c>
      <c r="AA57" s="172">
        <f t="shared" si="83"/>
        <v>3451</v>
      </c>
    </row>
    <row r="58" spans="1:27" ht="22.15" x14ac:dyDescent="0.8">
      <c r="A58" s="158"/>
      <c r="B58" s="421">
        <v>52</v>
      </c>
      <c r="C58" s="173" t="s">
        <v>158</v>
      </c>
      <c r="D58" s="99">
        <v>1</v>
      </c>
      <c r="E58" s="416">
        <v>1</v>
      </c>
      <c r="F58" s="159"/>
      <c r="G58" s="16">
        <f t="shared" si="3"/>
        <v>0</v>
      </c>
      <c r="H58" s="107"/>
      <c r="I58" s="168">
        <v>26084</v>
      </c>
      <c r="J58" s="11">
        <f t="shared" si="84"/>
        <v>4955.96</v>
      </c>
      <c r="K58" s="11">
        <f t="shared" si="85"/>
        <v>31039.96</v>
      </c>
      <c r="L58" s="169">
        <f t="shared" si="86"/>
        <v>31039.96</v>
      </c>
      <c r="M58" s="12"/>
      <c r="N58" s="168">
        <v>8900</v>
      </c>
      <c r="O58" s="11">
        <f t="shared" si="87"/>
        <v>1691</v>
      </c>
      <c r="P58" s="79">
        <f t="shared" si="88"/>
        <v>10591</v>
      </c>
      <c r="Q58" s="13">
        <f t="shared" si="89"/>
        <v>10591</v>
      </c>
      <c r="R58" s="12"/>
      <c r="S58" s="14">
        <v>34200</v>
      </c>
      <c r="T58" s="10">
        <f t="shared" si="90"/>
        <v>6498</v>
      </c>
      <c r="U58" s="10">
        <f t="shared" si="91"/>
        <v>40698</v>
      </c>
      <c r="V58" s="166">
        <f t="shared" si="92"/>
        <v>40698</v>
      </c>
      <c r="X58" s="170">
        <v>18900</v>
      </c>
      <c r="Y58" s="171">
        <f t="shared" si="81"/>
        <v>3591</v>
      </c>
      <c r="Z58" s="171">
        <f t="shared" si="82"/>
        <v>22491</v>
      </c>
      <c r="AA58" s="172">
        <f t="shared" si="83"/>
        <v>22491</v>
      </c>
    </row>
    <row r="59" spans="1:27" ht="22.15" x14ac:dyDescent="0.8">
      <c r="A59" s="158"/>
      <c r="B59" s="421">
        <v>53</v>
      </c>
      <c r="C59" s="173" t="s">
        <v>159</v>
      </c>
      <c r="D59" s="99">
        <v>1</v>
      </c>
      <c r="E59" s="416">
        <v>1</v>
      </c>
      <c r="F59" s="159"/>
      <c r="G59" s="16">
        <f t="shared" si="3"/>
        <v>0</v>
      </c>
      <c r="H59" s="107"/>
      <c r="I59" s="168">
        <v>15716</v>
      </c>
      <c r="J59" s="11">
        <f t="shared" si="84"/>
        <v>2986.04</v>
      </c>
      <c r="K59" s="11">
        <f t="shared" si="85"/>
        <v>18702.04</v>
      </c>
      <c r="L59" s="169">
        <f t="shared" si="86"/>
        <v>18702.04</v>
      </c>
      <c r="M59" s="12"/>
      <c r="N59" s="168">
        <v>12170</v>
      </c>
      <c r="O59" s="11">
        <f t="shared" si="87"/>
        <v>2312.3000000000002</v>
      </c>
      <c r="P59" s="79">
        <f t="shared" si="88"/>
        <v>14482.3</v>
      </c>
      <c r="Q59" s="13">
        <f t="shared" si="89"/>
        <v>14482.3</v>
      </c>
      <c r="R59" s="12"/>
      <c r="S59" s="14">
        <v>12300</v>
      </c>
      <c r="T59" s="10">
        <f t="shared" si="90"/>
        <v>2337</v>
      </c>
      <c r="U59" s="10">
        <f t="shared" si="91"/>
        <v>14637</v>
      </c>
      <c r="V59" s="166">
        <f t="shared" si="92"/>
        <v>14637</v>
      </c>
      <c r="X59" s="170">
        <v>9700</v>
      </c>
      <c r="Y59" s="171">
        <f t="shared" si="81"/>
        <v>1843</v>
      </c>
      <c r="Z59" s="171">
        <f t="shared" si="82"/>
        <v>11543</v>
      </c>
      <c r="AA59" s="172">
        <f t="shared" si="83"/>
        <v>11543</v>
      </c>
    </row>
    <row r="60" spans="1:27" ht="22.15" x14ac:dyDescent="0.8">
      <c r="A60" s="158"/>
      <c r="B60" s="421">
        <v>54</v>
      </c>
      <c r="C60" s="173" t="s">
        <v>160</v>
      </c>
      <c r="D60" s="99">
        <v>1</v>
      </c>
      <c r="E60" s="416">
        <v>1</v>
      </c>
      <c r="F60" s="159"/>
      <c r="G60" s="16">
        <f t="shared" si="3"/>
        <v>0</v>
      </c>
      <c r="H60" s="107"/>
      <c r="I60" s="168">
        <v>9157</v>
      </c>
      <c r="J60" s="11">
        <f t="shared" si="84"/>
        <v>1739.83</v>
      </c>
      <c r="K60" s="11">
        <f t="shared" si="85"/>
        <v>10896.83</v>
      </c>
      <c r="L60" s="169">
        <f t="shared" si="86"/>
        <v>10896.83</v>
      </c>
      <c r="M60" s="12"/>
      <c r="N60" s="168">
        <v>6140</v>
      </c>
      <c r="O60" s="11">
        <f t="shared" si="87"/>
        <v>1166.5999999999999</v>
      </c>
      <c r="P60" s="79">
        <f t="shared" si="88"/>
        <v>7306.6</v>
      </c>
      <c r="Q60" s="13">
        <f t="shared" si="89"/>
        <v>7306.6</v>
      </c>
      <c r="R60" s="12"/>
      <c r="S60" s="14">
        <v>6100</v>
      </c>
      <c r="T60" s="10">
        <f t="shared" si="90"/>
        <v>1159</v>
      </c>
      <c r="U60" s="10">
        <f t="shared" si="91"/>
        <v>7259</v>
      </c>
      <c r="V60" s="166">
        <f t="shared" si="92"/>
        <v>7259</v>
      </c>
      <c r="X60" s="170">
        <v>5800</v>
      </c>
      <c r="Y60" s="171">
        <f t="shared" si="81"/>
        <v>1102</v>
      </c>
      <c r="Z60" s="171">
        <f t="shared" si="82"/>
        <v>6902</v>
      </c>
      <c r="AA60" s="172">
        <f t="shared" si="83"/>
        <v>6902</v>
      </c>
    </row>
    <row r="61" spans="1:27" ht="22.15" x14ac:dyDescent="0.8">
      <c r="A61" s="158"/>
      <c r="B61" s="421">
        <v>55</v>
      </c>
      <c r="C61" s="173" t="s">
        <v>161</v>
      </c>
      <c r="D61" s="99">
        <v>1</v>
      </c>
      <c r="E61" s="416">
        <v>1</v>
      </c>
      <c r="F61" s="159"/>
      <c r="G61" s="16">
        <f t="shared" si="3"/>
        <v>0</v>
      </c>
      <c r="H61" s="107"/>
      <c r="I61" s="168">
        <v>184490</v>
      </c>
      <c r="J61" s="11">
        <f t="shared" si="84"/>
        <v>35053.1</v>
      </c>
      <c r="K61" s="11">
        <f t="shared" si="85"/>
        <v>219543.1</v>
      </c>
      <c r="L61" s="169">
        <f t="shared" si="86"/>
        <v>219543.1</v>
      </c>
      <c r="M61" s="12"/>
      <c r="N61" s="168">
        <v>123000</v>
      </c>
      <c r="O61" s="11">
        <f t="shared" si="87"/>
        <v>23370</v>
      </c>
      <c r="P61" s="79">
        <f t="shared" si="88"/>
        <v>146370</v>
      </c>
      <c r="Q61" s="13">
        <f t="shared" si="89"/>
        <v>146370</v>
      </c>
      <c r="R61" s="12"/>
      <c r="S61" s="14">
        <v>63900</v>
      </c>
      <c r="T61" s="10">
        <f t="shared" si="90"/>
        <v>12141</v>
      </c>
      <c r="U61" s="10">
        <f t="shared" si="91"/>
        <v>76041</v>
      </c>
      <c r="V61" s="166">
        <f t="shared" si="92"/>
        <v>76041</v>
      </c>
      <c r="X61" s="170">
        <v>110900</v>
      </c>
      <c r="Y61" s="171">
        <f t="shared" si="81"/>
        <v>21071</v>
      </c>
      <c r="Z61" s="171">
        <f t="shared" si="82"/>
        <v>131971</v>
      </c>
      <c r="AA61" s="172">
        <f t="shared" si="83"/>
        <v>131971</v>
      </c>
    </row>
    <row r="62" spans="1:27" ht="22.15" x14ac:dyDescent="0.8">
      <c r="A62" s="158"/>
      <c r="B62" s="421">
        <v>56</v>
      </c>
      <c r="C62" s="173" t="s">
        <v>162</v>
      </c>
      <c r="D62" s="99">
        <v>1</v>
      </c>
      <c r="E62" s="416">
        <v>1</v>
      </c>
      <c r="F62" s="159"/>
      <c r="G62" s="16">
        <f t="shared" si="3"/>
        <v>0</v>
      </c>
      <c r="H62" s="107"/>
      <c r="I62" s="168">
        <v>17681</v>
      </c>
      <c r="J62" s="11">
        <f t="shared" si="84"/>
        <v>3359.39</v>
      </c>
      <c r="K62" s="11">
        <f t="shared" si="85"/>
        <v>21040.39</v>
      </c>
      <c r="L62" s="169">
        <f t="shared" si="86"/>
        <v>21040.39</v>
      </c>
      <c r="M62" s="12"/>
      <c r="N62" s="168">
        <v>11870</v>
      </c>
      <c r="O62" s="11">
        <f t="shared" si="87"/>
        <v>2255.3000000000002</v>
      </c>
      <c r="P62" s="79">
        <f t="shared" si="88"/>
        <v>14125.3</v>
      </c>
      <c r="Q62" s="13">
        <f t="shared" si="89"/>
        <v>14125.3</v>
      </c>
      <c r="R62" s="12"/>
      <c r="S62" s="14">
        <v>10537</v>
      </c>
      <c r="T62" s="10">
        <f t="shared" si="90"/>
        <v>2002.03</v>
      </c>
      <c r="U62" s="10">
        <f t="shared" si="91"/>
        <v>12539.03</v>
      </c>
      <c r="V62" s="166">
        <f t="shared" si="92"/>
        <v>12539.03</v>
      </c>
      <c r="X62" s="170">
        <v>11300</v>
      </c>
      <c r="Y62" s="171">
        <f t="shared" si="81"/>
        <v>2147</v>
      </c>
      <c r="Z62" s="171">
        <f t="shared" si="82"/>
        <v>13447</v>
      </c>
      <c r="AA62" s="172">
        <f t="shared" si="83"/>
        <v>13447</v>
      </c>
    </row>
    <row r="63" spans="1:27" ht="22.15" x14ac:dyDescent="0.8">
      <c r="A63" s="158"/>
      <c r="B63" s="421">
        <v>57</v>
      </c>
      <c r="C63" s="173" t="s">
        <v>163</v>
      </c>
      <c r="D63" s="99">
        <v>1</v>
      </c>
      <c r="E63" s="416">
        <v>1</v>
      </c>
      <c r="F63" s="159"/>
      <c r="G63" s="16">
        <f t="shared" si="3"/>
        <v>0</v>
      </c>
      <c r="H63" s="107"/>
      <c r="I63" s="168">
        <v>1794</v>
      </c>
      <c r="J63" s="11">
        <f t="shared" ref="J63" si="93">I63*$J$6</f>
        <v>340.86</v>
      </c>
      <c r="K63" s="11">
        <f t="shared" ref="K63" si="94">I63+J63</f>
        <v>2134.86</v>
      </c>
      <c r="L63" s="169">
        <f t="shared" ref="L63" si="95">E63*K63</f>
        <v>2134.86</v>
      </c>
      <c r="M63" s="12"/>
      <c r="N63" s="168">
        <v>2300</v>
      </c>
      <c r="O63" s="11">
        <f t="shared" ref="O63" si="96">N63*$O$6</f>
        <v>437</v>
      </c>
      <c r="P63" s="79">
        <f t="shared" ref="P63" si="97">N63+O63</f>
        <v>2737</v>
      </c>
      <c r="Q63" s="13">
        <f t="shared" ref="Q63" si="98">E63*P63</f>
        <v>2737</v>
      </c>
      <c r="R63" s="12"/>
      <c r="S63" s="14">
        <v>3050</v>
      </c>
      <c r="T63" s="10">
        <f t="shared" ref="T63" si="99">S63*$T$6</f>
        <v>579.5</v>
      </c>
      <c r="U63" s="10">
        <f t="shared" ref="U63" si="100">S63+T63</f>
        <v>3629.5</v>
      </c>
      <c r="V63" s="166">
        <f t="shared" ref="V63" si="101">E63*U63</f>
        <v>3629.5</v>
      </c>
      <c r="X63" s="170">
        <v>1700</v>
      </c>
      <c r="Y63" s="171">
        <f t="shared" ref="Y63:Y67" si="102">X63*$T$6</f>
        <v>323</v>
      </c>
      <c r="Z63" s="171">
        <f t="shared" ref="Z63:Z67" si="103">X63+Y63</f>
        <v>2023</v>
      </c>
      <c r="AA63" s="172">
        <f t="shared" ref="AA63:AA67" si="104">E63*Z63</f>
        <v>2023</v>
      </c>
    </row>
    <row r="64" spans="1:27" ht="22.15" x14ac:dyDescent="0.8">
      <c r="A64" s="158"/>
      <c r="B64" s="421">
        <v>58</v>
      </c>
      <c r="C64" s="173" t="s">
        <v>164</v>
      </c>
      <c r="D64" s="99">
        <v>1</v>
      </c>
      <c r="E64" s="416">
        <v>1</v>
      </c>
      <c r="F64" s="159"/>
      <c r="G64" s="16">
        <f t="shared" si="3"/>
        <v>0</v>
      </c>
      <c r="H64" s="107"/>
      <c r="I64" s="168">
        <v>3358</v>
      </c>
      <c r="J64" s="11">
        <f t="shared" ref="J64:J65" si="105">I64*$J$6</f>
        <v>638.02</v>
      </c>
      <c r="K64" s="11">
        <f t="shared" ref="K64:K65" si="106">I64+J64</f>
        <v>3996.02</v>
      </c>
      <c r="L64" s="169">
        <f t="shared" ref="L64:L65" si="107">E64*K64</f>
        <v>3996.02</v>
      </c>
      <c r="M64" s="12"/>
      <c r="N64" s="168">
        <v>2650</v>
      </c>
      <c r="O64" s="11">
        <f t="shared" ref="O64:O65" si="108">N64*$O$6</f>
        <v>503.5</v>
      </c>
      <c r="P64" s="79">
        <f t="shared" ref="P64:P65" si="109">N64+O64</f>
        <v>3153.5</v>
      </c>
      <c r="Q64" s="13">
        <f t="shared" ref="Q64:Q65" si="110">E64*P64</f>
        <v>3153.5</v>
      </c>
      <c r="R64" s="12"/>
      <c r="S64" s="14">
        <v>2200</v>
      </c>
      <c r="T64" s="10">
        <f t="shared" ref="T64:T65" si="111">S64*$T$6</f>
        <v>418</v>
      </c>
      <c r="U64" s="10">
        <f t="shared" ref="U64:U65" si="112">S64+T64</f>
        <v>2618</v>
      </c>
      <c r="V64" s="166">
        <f t="shared" ref="V64:V65" si="113">E64*U64</f>
        <v>2618</v>
      </c>
      <c r="X64" s="170">
        <v>2900</v>
      </c>
      <c r="Y64" s="171">
        <f t="shared" si="102"/>
        <v>551</v>
      </c>
      <c r="Z64" s="171">
        <f t="shared" si="103"/>
        <v>3451</v>
      </c>
      <c r="AA64" s="172">
        <f t="shared" si="104"/>
        <v>3451</v>
      </c>
    </row>
    <row r="65" spans="1:27" ht="22.15" x14ac:dyDescent="0.8">
      <c r="A65" s="158"/>
      <c r="B65" s="421">
        <v>59</v>
      </c>
      <c r="C65" s="173" t="s">
        <v>165</v>
      </c>
      <c r="D65" s="99">
        <v>1</v>
      </c>
      <c r="E65" s="416">
        <v>1</v>
      </c>
      <c r="F65" s="159"/>
      <c r="G65" s="16">
        <f t="shared" si="3"/>
        <v>0</v>
      </c>
      <c r="H65" s="107"/>
      <c r="I65" s="168">
        <v>1794</v>
      </c>
      <c r="J65" s="11">
        <f t="shared" si="105"/>
        <v>340.86</v>
      </c>
      <c r="K65" s="11">
        <f t="shared" si="106"/>
        <v>2134.86</v>
      </c>
      <c r="L65" s="169">
        <f t="shared" si="107"/>
        <v>2134.86</v>
      </c>
      <c r="M65" s="12"/>
      <c r="N65" s="168">
        <v>2200</v>
      </c>
      <c r="O65" s="11">
        <f t="shared" si="108"/>
        <v>418</v>
      </c>
      <c r="P65" s="79">
        <f t="shared" si="109"/>
        <v>2618</v>
      </c>
      <c r="Q65" s="13">
        <f t="shared" si="110"/>
        <v>2618</v>
      </c>
      <c r="R65" s="12"/>
      <c r="S65" s="14">
        <v>2900</v>
      </c>
      <c r="T65" s="10">
        <f t="shared" si="111"/>
        <v>551</v>
      </c>
      <c r="U65" s="10">
        <f t="shared" si="112"/>
        <v>3451</v>
      </c>
      <c r="V65" s="166">
        <f t="shared" si="113"/>
        <v>3451</v>
      </c>
      <c r="X65" s="170">
        <v>2400</v>
      </c>
      <c r="Y65" s="171">
        <f t="shared" si="102"/>
        <v>456</v>
      </c>
      <c r="Z65" s="171">
        <f t="shared" si="103"/>
        <v>2856</v>
      </c>
      <c r="AA65" s="172">
        <f t="shared" si="104"/>
        <v>2856</v>
      </c>
    </row>
    <row r="66" spans="1:27" ht="22.15" x14ac:dyDescent="0.8">
      <c r="A66" s="158"/>
      <c r="B66" s="421">
        <v>60</v>
      </c>
      <c r="C66" s="173" t="s">
        <v>166</v>
      </c>
      <c r="D66" s="99">
        <v>1</v>
      </c>
      <c r="E66" s="416">
        <v>1</v>
      </c>
      <c r="F66" s="159"/>
      <c r="G66" s="16">
        <f t="shared" si="3"/>
        <v>0</v>
      </c>
      <c r="H66" s="107"/>
      <c r="I66" s="168">
        <v>159160</v>
      </c>
      <c r="J66" s="11">
        <f t="shared" ref="J66:J67" si="114">I66*$J$6</f>
        <v>30240.400000000001</v>
      </c>
      <c r="K66" s="11">
        <f t="shared" ref="K66:K67" si="115">I66+J66</f>
        <v>189400.4</v>
      </c>
      <c r="L66" s="169">
        <f t="shared" ref="L66:L67" si="116">E66*K66</f>
        <v>189400.4</v>
      </c>
      <c r="M66" s="12"/>
      <c r="N66" s="168">
        <v>159000</v>
      </c>
      <c r="O66" s="11">
        <f t="shared" ref="O66:O67" si="117">N66*$O$6</f>
        <v>30210</v>
      </c>
      <c r="P66" s="79">
        <f t="shared" ref="P66:P67" si="118">N66+O66</f>
        <v>189210</v>
      </c>
      <c r="Q66" s="13">
        <f t="shared" ref="Q66:Q67" si="119">E66*P66</f>
        <v>189210</v>
      </c>
      <c r="R66" s="12"/>
      <c r="S66" s="14">
        <v>55600</v>
      </c>
      <c r="T66" s="10">
        <f t="shared" ref="T66:T67" si="120">S66*$T$6</f>
        <v>10564</v>
      </c>
      <c r="U66" s="10">
        <f t="shared" ref="U66:U67" si="121">S66+T66</f>
        <v>66164</v>
      </c>
      <c r="V66" s="166">
        <f t="shared" ref="V66:V67" si="122">E66*U66</f>
        <v>66164</v>
      </c>
      <c r="X66" s="170">
        <v>150900</v>
      </c>
      <c r="Y66" s="171">
        <f t="shared" si="102"/>
        <v>28671</v>
      </c>
      <c r="Z66" s="171">
        <f t="shared" si="103"/>
        <v>179571</v>
      </c>
      <c r="AA66" s="172">
        <f t="shared" si="104"/>
        <v>179571</v>
      </c>
    </row>
    <row r="67" spans="1:27" ht="22.5" thickBot="1" x14ac:dyDescent="0.85">
      <c r="A67" s="158"/>
      <c r="B67" s="422">
        <v>61</v>
      </c>
      <c r="C67" s="423" t="s">
        <v>167</v>
      </c>
      <c r="D67" s="20">
        <v>1</v>
      </c>
      <c r="E67" s="424">
        <v>1</v>
      </c>
      <c r="F67" s="425"/>
      <c r="G67" s="16">
        <f t="shared" si="3"/>
        <v>0</v>
      </c>
      <c r="H67" s="107"/>
      <c r="I67" s="168">
        <v>3772</v>
      </c>
      <c r="J67" s="11">
        <f t="shared" si="114"/>
        <v>716.68000000000006</v>
      </c>
      <c r="K67" s="11">
        <f t="shared" si="115"/>
        <v>4488.68</v>
      </c>
      <c r="L67" s="169">
        <f t="shared" si="116"/>
        <v>4488.68</v>
      </c>
      <c r="M67" s="12"/>
      <c r="N67" s="168">
        <v>2900</v>
      </c>
      <c r="O67" s="11">
        <f t="shared" si="117"/>
        <v>551</v>
      </c>
      <c r="P67" s="79">
        <f t="shared" si="118"/>
        <v>3451</v>
      </c>
      <c r="Q67" s="13">
        <f t="shared" si="119"/>
        <v>3451</v>
      </c>
      <c r="R67" s="12"/>
      <c r="S67" s="14">
        <v>3550</v>
      </c>
      <c r="T67" s="10">
        <f t="shared" si="120"/>
        <v>674.5</v>
      </c>
      <c r="U67" s="10">
        <f t="shared" si="121"/>
        <v>4224.5</v>
      </c>
      <c r="V67" s="166">
        <f t="shared" si="122"/>
        <v>4224.5</v>
      </c>
      <c r="X67" s="170">
        <v>3900</v>
      </c>
      <c r="Y67" s="171">
        <f t="shared" si="102"/>
        <v>741</v>
      </c>
      <c r="Z67" s="171">
        <f t="shared" si="103"/>
        <v>4641</v>
      </c>
      <c r="AA67" s="172">
        <f t="shared" si="104"/>
        <v>4641</v>
      </c>
    </row>
    <row r="68" spans="1:27" ht="22.5" thickBot="1" x14ac:dyDescent="0.85">
      <c r="A68" s="27"/>
      <c r="B68" s="27"/>
      <c r="C68" s="28"/>
      <c r="D68" s="160"/>
      <c r="E68" s="163"/>
      <c r="F68" s="164"/>
      <c r="G68" s="165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X68" s="30"/>
      <c r="Y68" s="30"/>
      <c r="Z68" s="30"/>
      <c r="AA68" s="30"/>
    </row>
    <row r="69" spans="1:27" s="4" customFormat="1" ht="25.5" x14ac:dyDescent="0.8">
      <c r="A69" s="61"/>
      <c r="B69" s="27"/>
      <c r="C69" s="275" t="s">
        <v>30</v>
      </c>
      <c r="D69" s="380"/>
      <c r="E69" s="380"/>
      <c r="F69" s="342">
        <f>SUM(G7:G67)</f>
        <v>0</v>
      </c>
      <c r="G69" s="343"/>
      <c r="H69" s="31"/>
      <c r="I69" s="281"/>
      <c r="J69" s="282"/>
      <c r="K69" s="282"/>
      <c r="L69" s="285">
        <f>SUM(L7:L67)</f>
        <v>4161552.5700000008</v>
      </c>
      <c r="M69" s="32"/>
      <c r="N69" s="281"/>
      <c r="O69" s="282"/>
      <c r="P69" s="282"/>
      <c r="Q69" s="389">
        <f>SUM(Q7:Q67)</f>
        <v>3385026.3999999994</v>
      </c>
      <c r="R69" s="32"/>
      <c r="S69" s="281"/>
      <c r="T69" s="282"/>
      <c r="U69" s="282"/>
      <c r="V69" s="387">
        <f>SUM(V7:V67)</f>
        <v>3715307.3300000005</v>
      </c>
      <c r="X69" s="281"/>
      <c r="Y69" s="282"/>
      <c r="Z69" s="282"/>
      <c r="AA69" s="387">
        <f>SUM(AA7:AA67)</f>
        <v>4668072.5</v>
      </c>
    </row>
    <row r="70" spans="1:27" s="4" customFormat="1" ht="25.9" thickBot="1" x14ac:dyDescent="0.85">
      <c r="A70" s="62"/>
      <c r="B70" s="27"/>
      <c r="C70" s="278"/>
      <c r="D70" s="279"/>
      <c r="E70" s="279"/>
      <c r="F70" s="344"/>
      <c r="G70" s="345"/>
      <c r="H70" s="31"/>
      <c r="I70" s="283"/>
      <c r="J70" s="284"/>
      <c r="K70" s="284"/>
      <c r="L70" s="286"/>
      <c r="M70" s="32"/>
      <c r="N70" s="283"/>
      <c r="O70" s="284"/>
      <c r="P70" s="284"/>
      <c r="Q70" s="390"/>
      <c r="R70" s="32"/>
      <c r="S70" s="283"/>
      <c r="T70" s="284"/>
      <c r="U70" s="284"/>
      <c r="V70" s="388"/>
      <c r="X70" s="283"/>
      <c r="Y70" s="284"/>
      <c r="Z70" s="284"/>
      <c r="AA70" s="388"/>
    </row>
    <row r="71" spans="1:27" s="4" customFormat="1" ht="8.25" customHeight="1" thickBot="1" x14ac:dyDescent="0.85">
      <c r="A71" s="28"/>
      <c r="B71" s="28"/>
      <c r="C71" s="28"/>
      <c r="D71" s="28"/>
      <c r="E71" s="33"/>
      <c r="F71" s="33"/>
      <c r="G71" s="33"/>
      <c r="H71" s="3"/>
      <c r="I71" s="35"/>
      <c r="J71" s="35"/>
      <c r="K71" s="35"/>
      <c r="L71" s="32"/>
      <c r="M71" s="32"/>
      <c r="N71" s="35"/>
      <c r="O71" s="35"/>
      <c r="P71" s="35"/>
      <c r="Q71" s="32"/>
      <c r="R71" s="32"/>
      <c r="S71" s="35"/>
      <c r="T71" s="35"/>
      <c r="U71" s="35"/>
      <c r="V71" s="32"/>
      <c r="X71" s="35"/>
      <c r="Y71" s="35"/>
      <c r="Z71" s="35"/>
      <c r="AA71" s="32"/>
    </row>
    <row r="72" spans="1:27" s="4" customFormat="1" ht="22.5" thickBot="1" x14ac:dyDescent="0.85">
      <c r="A72" s="87"/>
      <c r="B72" s="88" t="s">
        <v>31</v>
      </c>
      <c r="C72" s="88"/>
      <c r="D72" s="88"/>
      <c r="E72" s="89"/>
      <c r="F72" s="28"/>
      <c r="G72" s="28"/>
      <c r="H72" s="36"/>
      <c r="I72" s="301"/>
      <c r="J72" s="302"/>
      <c r="K72" s="302"/>
      <c r="L72" s="37">
        <f>+L69-MIN($L$69,$Q$69,$V$69)</f>
        <v>776526.17000000132</v>
      </c>
      <c r="M72" s="38"/>
      <c r="N72" s="301"/>
      <c r="O72" s="302"/>
      <c r="P72" s="302"/>
      <c r="Q72" s="39">
        <f>+Q69-MIN($L$69,$Q$69)</f>
        <v>0</v>
      </c>
      <c r="R72" s="38"/>
      <c r="S72" s="301"/>
      <c r="T72" s="302"/>
      <c r="U72" s="302"/>
      <c r="V72" s="40">
        <f>+V69-MIN($L$69,$Q$69,$V$69)</f>
        <v>330280.9300000011</v>
      </c>
      <c r="X72" s="301"/>
      <c r="Y72" s="302"/>
      <c r="Z72" s="302"/>
      <c r="AA72" s="40">
        <f>+AA69-MIN($L$69,$Q$69,$V$69)</f>
        <v>1283046.1000000006</v>
      </c>
    </row>
    <row r="73" spans="1:27" s="4" customFormat="1" ht="22.5" thickBot="1" x14ac:dyDescent="0.85">
      <c r="A73" s="84"/>
      <c r="B73" s="85" t="s">
        <v>32</v>
      </c>
      <c r="C73" s="85"/>
      <c r="D73" s="85"/>
      <c r="E73" s="86"/>
      <c r="F73" s="46"/>
      <c r="G73" s="46"/>
      <c r="H73" s="36"/>
      <c r="I73" s="303"/>
      <c r="J73" s="304"/>
      <c r="K73" s="304"/>
      <c r="L73" s="175" t="e">
        <f>+L69/F69</f>
        <v>#DIV/0!</v>
      </c>
      <c r="M73" s="43"/>
      <c r="N73" s="303"/>
      <c r="O73" s="304"/>
      <c r="P73" s="304"/>
      <c r="Q73" s="174" t="e">
        <f>+Q69/F69</f>
        <v>#DIV/0!</v>
      </c>
      <c r="R73" s="43"/>
      <c r="S73" s="303"/>
      <c r="T73" s="304"/>
      <c r="U73" s="304"/>
      <c r="V73" s="161" t="e">
        <f>+V69/F69</f>
        <v>#DIV/0!</v>
      </c>
      <c r="X73" s="303"/>
      <c r="Y73" s="304"/>
      <c r="Z73" s="304"/>
      <c r="AA73" s="161" t="e">
        <f>+AA69/K69</f>
        <v>#DIV/0!</v>
      </c>
    </row>
    <row r="74" spans="1:27" s="4" customFormat="1" ht="7.5" customHeight="1" x14ac:dyDescent="0.8">
      <c r="A74" s="46"/>
      <c r="B74" s="46"/>
      <c r="C74" s="46"/>
      <c r="D74" s="46"/>
      <c r="E74" s="33"/>
      <c r="F74" s="33"/>
      <c r="G74" s="33"/>
      <c r="H74" s="34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X74" s="47"/>
      <c r="Y74" s="47"/>
      <c r="Z74" s="47"/>
      <c r="AA74" s="47"/>
    </row>
    <row r="75" spans="1:27" ht="9" customHeight="1" thickBot="1" x14ac:dyDescent="0.6">
      <c r="A75" s="48"/>
      <c r="B75" s="82"/>
      <c r="C75" s="82"/>
      <c r="D75" s="82"/>
      <c r="E75" s="82"/>
      <c r="F75" s="82"/>
      <c r="G75" s="82"/>
      <c r="H75" s="2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X75" s="49"/>
      <c r="Y75" s="49"/>
      <c r="Z75" s="49"/>
      <c r="AA75" s="49"/>
    </row>
    <row r="76" spans="1:27" ht="15" customHeight="1" x14ac:dyDescent="0.55000000000000004">
      <c r="A76" s="80"/>
      <c r="B76" s="82"/>
      <c r="C76" s="82"/>
      <c r="D76" s="82"/>
      <c r="E76" s="82"/>
      <c r="F76" s="82"/>
      <c r="G76" s="82"/>
      <c r="H76" s="50"/>
      <c r="I76" s="60" t="s">
        <v>33</v>
      </c>
      <c r="J76" s="293" t="s">
        <v>168</v>
      </c>
      <c r="K76" s="293"/>
      <c r="L76" s="294"/>
      <c r="M76" s="133"/>
      <c r="N76" s="60" t="s">
        <v>33</v>
      </c>
      <c r="O76" s="293" t="s">
        <v>168</v>
      </c>
      <c r="P76" s="293"/>
      <c r="Q76" s="294"/>
      <c r="R76" s="133"/>
      <c r="S76" s="60" t="s">
        <v>33</v>
      </c>
      <c r="T76" s="293" t="s">
        <v>168</v>
      </c>
      <c r="U76" s="293"/>
      <c r="V76" s="294"/>
      <c r="X76" s="60" t="s">
        <v>33</v>
      </c>
      <c r="Y76" s="293" t="s">
        <v>168</v>
      </c>
      <c r="Z76" s="293"/>
      <c r="AA76" s="294"/>
    </row>
    <row r="77" spans="1:27" ht="15" customHeight="1" x14ac:dyDescent="0.55000000000000004">
      <c r="A77" s="81"/>
      <c r="B77" s="82"/>
      <c r="C77" s="82"/>
      <c r="D77" s="82"/>
      <c r="E77" s="82"/>
      <c r="F77" s="167"/>
      <c r="G77" s="82"/>
      <c r="H77" s="50"/>
      <c r="I77" s="51"/>
      <c r="J77" s="53"/>
      <c r="K77" s="53"/>
      <c r="L77" s="54"/>
      <c r="M77" s="53"/>
      <c r="N77" s="51"/>
      <c r="O77" s="53"/>
      <c r="P77" s="53"/>
      <c r="Q77" s="54"/>
      <c r="R77" s="53"/>
      <c r="S77" s="51"/>
      <c r="T77" s="53"/>
      <c r="U77" s="53"/>
      <c r="V77" s="54"/>
      <c r="X77" s="51"/>
      <c r="Y77" s="53"/>
      <c r="Z77" s="53"/>
      <c r="AA77" s="54"/>
    </row>
    <row r="78" spans="1:27" ht="15" customHeight="1" x14ac:dyDescent="0.55000000000000004">
      <c r="A78" s="81"/>
      <c r="B78" s="82"/>
      <c r="C78" s="82"/>
      <c r="D78" s="82"/>
      <c r="E78" s="82"/>
      <c r="F78" s="82"/>
      <c r="G78" s="82"/>
      <c r="H78" s="50"/>
      <c r="I78" s="51" t="s">
        <v>36</v>
      </c>
      <c r="J78" s="385" t="s">
        <v>172</v>
      </c>
      <c r="K78" s="385"/>
      <c r="L78" s="386"/>
      <c r="M78" s="139"/>
      <c r="N78" s="131" t="s">
        <v>36</v>
      </c>
      <c r="O78" s="385" t="s">
        <v>169</v>
      </c>
      <c r="P78" s="385"/>
      <c r="Q78" s="386"/>
      <c r="R78" s="139"/>
      <c r="S78" s="131" t="s">
        <v>36</v>
      </c>
      <c r="T78" s="385" t="s">
        <v>169</v>
      </c>
      <c r="U78" s="385"/>
      <c r="V78" s="386"/>
      <c r="X78" s="131" t="s">
        <v>36</v>
      </c>
      <c r="Y78" s="385" t="s">
        <v>172</v>
      </c>
      <c r="Z78" s="385"/>
      <c r="AA78" s="386"/>
    </row>
    <row r="79" spans="1:27" ht="15" customHeight="1" x14ac:dyDescent="0.55000000000000004">
      <c r="A79" s="81"/>
      <c r="B79" s="82"/>
      <c r="C79" s="82"/>
      <c r="D79" s="82"/>
      <c r="E79" s="82"/>
      <c r="F79" s="82"/>
      <c r="G79" s="82"/>
      <c r="H79" s="50"/>
      <c r="I79" s="51"/>
      <c r="J79" s="53"/>
      <c r="K79" s="53"/>
      <c r="L79" s="54"/>
      <c r="M79" s="53"/>
      <c r="N79" s="51"/>
      <c r="O79" s="53"/>
      <c r="P79" s="53"/>
      <c r="Q79" s="54"/>
      <c r="R79" s="53"/>
      <c r="S79" s="51"/>
      <c r="T79" s="53"/>
      <c r="U79" s="53"/>
      <c r="V79" s="54"/>
      <c r="X79" s="51"/>
      <c r="Y79" s="53"/>
      <c r="Z79" s="53"/>
      <c r="AA79" s="54"/>
    </row>
    <row r="80" spans="1:27" ht="15" customHeight="1" x14ac:dyDescent="0.55000000000000004">
      <c r="A80" s="81"/>
      <c r="B80" s="82"/>
      <c r="C80" s="95" t="s">
        <v>37</v>
      </c>
      <c r="D80" s="82"/>
      <c r="E80" s="82"/>
      <c r="F80" s="82"/>
      <c r="G80" s="82"/>
      <c r="H80" s="50"/>
      <c r="I80" s="131" t="s">
        <v>170</v>
      </c>
      <c r="J80" s="305" t="s">
        <v>171</v>
      </c>
      <c r="K80" s="305"/>
      <c r="L80" s="306"/>
      <c r="M80" s="133"/>
      <c r="N80" s="131" t="s">
        <v>170</v>
      </c>
      <c r="O80" s="305" t="s">
        <v>171</v>
      </c>
      <c r="P80" s="305"/>
      <c r="Q80" s="306"/>
      <c r="R80" s="133"/>
      <c r="S80" s="131" t="s">
        <v>170</v>
      </c>
      <c r="T80" s="305" t="s">
        <v>171</v>
      </c>
      <c r="U80" s="305"/>
      <c r="V80" s="306"/>
      <c r="X80" s="131" t="s">
        <v>170</v>
      </c>
      <c r="Y80" s="305" t="s">
        <v>171</v>
      </c>
      <c r="Z80" s="305"/>
      <c r="AA80" s="306"/>
    </row>
    <row r="81" spans="1:27" ht="15" customHeight="1" x14ac:dyDescent="0.55000000000000004">
      <c r="A81" s="81"/>
      <c r="B81" s="82"/>
      <c r="C81" s="162" t="s">
        <v>39</v>
      </c>
      <c r="D81" s="82"/>
      <c r="E81" s="82"/>
      <c r="F81" s="82"/>
      <c r="G81" s="82"/>
      <c r="H81" s="50"/>
      <c r="I81" s="51"/>
      <c r="J81" s="52"/>
      <c r="K81" s="52"/>
      <c r="L81" s="55"/>
      <c r="M81" s="52"/>
      <c r="N81" s="51"/>
      <c r="O81" s="52"/>
      <c r="P81" s="52"/>
      <c r="Q81" s="55"/>
      <c r="R81" s="52"/>
      <c r="S81" s="51"/>
      <c r="T81" s="52"/>
      <c r="U81" s="52"/>
      <c r="V81" s="55"/>
      <c r="X81" s="51"/>
      <c r="Y81" s="52"/>
      <c r="Z81" s="52"/>
      <c r="AA81" s="55"/>
    </row>
    <row r="82" spans="1:27" ht="15" customHeight="1" x14ac:dyDescent="0.55000000000000004">
      <c r="A82" s="81"/>
      <c r="B82" s="82"/>
      <c r="C82" s="162" t="s">
        <v>40</v>
      </c>
      <c r="D82" s="82"/>
      <c r="E82" s="82"/>
      <c r="F82" s="82"/>
      <c r="G82" s="82"/>
      <c r="H82" s="50"/>
      <c r="I82" s="307" t="s">
        <v>41</v>
      </c>
      <c r="J82" s="308"/>
      <c r="K82" s="305">
        <v>0</v>
      </c>
      <c r="L82" s="306"/>
      <c r="M82" s="133"/>
      <c r="N82" s="51" t="s">
        <v>41</v>
      </c>
      <c r="O82" s="52"/>
      <c r="P82" s="52">
        <v>0</v>
      </c>
      <c r="Q82" s="55"/>
      <c r="R82" s="133"/>
      <c r="S82" s="307" t="s">
        <v>41</v>
      </c>
      <c r="T82" s="308"/>
      <c r="U82" s="305">
        <v>0</v>
      </c>
      <c r="V82" s="306"/>
      <c r="X82" s="307" t="s">
        <v>41</v>
      </c>
      <c r="Y82" s="308"/>
      <c r="Z82" s="305">
        <v>0</v>
      </c>
      <c r="AA82" s="306"/>
    </row>
    <row r="83" spans="1:27" ht="15" customHeight="1" x14ac:dyDescent="0.55000000000000004">
      <c r="A83" s="81"/>
      <c r="B83" s="82"/>
      <c r="C83" s="162" t="s">
        <v>42</v>
      </c>
      <c r="D83" s="82"/>
      <c r="E83" s="82"/>
      <c r="F83" s="82"/>
      <c r="G83" s="82"/>
      <c r="H83" s="50"/>
      <c r="I83" s="131"/>
      <c r="J83" s="132"/>
      <c r="K83" s="133"/>
      <c r="L83" s="134"/>
      <c r="M83" s="133"/>
      <c r="N83" s="131"/>
      <c r="O83" s="132"/>
      <c r="P83" s="133"/>
      <c r="Q83" s="134"/>
      <c r="R83" s="133"/>
      <c r="S83" s="131"/>
      <c r="T83" s="132"/>
      <c r="U83" s="133"/>
      <c r="V83" s="134"/>
      <c r="X83" s="131"/>
      <c r="Y83" s="132"/>
      <c r="Z83" s="133"/>
      <c r="AA83" s="134"/>
    </row>
    <row r="84" spans="1:27" ht="15" customHeight="1" x14ac:dyDescent="0.55000000000000004">
      <c r="A84" s="81"/>
      <c r="B84" s="82"/>
      <c r="C84" s="162" t="s">
        <v>43</v>
      </c>
      <c r="D84" s="82"/>
      <c r="E84" s="82"/>
      <c r="F84" s="82"/>
      <c r="G84" s="82"/>
      <c r="H84" s="50"/>
      <c r="I84" s="131" t="s">
        <v>44</v>
      </c>
      <c r="J84" s="52"/>
      <c r="K84" s="52"/>
      <c r="L84" s="55"/>
      <c r="M84" s="135"/>
      <c r="N84" s="51" t="s">
        <v>44</v>
      </c>
      <c r="O84" s="52"/>
      <c r="P84" s="52"/>
      <c r="Q84" s="55"/>
      <c r="R84" s="135"/>
      <c r="S84" s="131" t="s">
        <v>44</v>
      </c>
      <c r="T84" s="309"/>
      <c r="U84" s="309"/>
      <c r="V84" s="310"/>
      <c r="X84" s="131" t="s">
        <v>44</v>
      </c>
      <c r="Y84" s="309"/>
      <c r="Z84" s="309"/>
      <c r="AA84" s="310"/>
    </row>
    <row r="85" spans="1:27" ht="15" customHeight="1" x14ac:dyDescent="0.55000000000000004">
      <c r="A85" s="81"/>
      <c r="B85" s="82"/>
      <c r="C85" s="162" t="s">
        <v>45</v>
      </c>
      <c r="D85" s="82"/>
      <c r="E85" s="82"/>
      <c r="F85" s="82"/>
      <c r="G85" s="82"/>
      <c r="H85" s="50"/>
      <c r="I85" s="391"/>
      <c r="J85" s="392"/>
      <c r="K85" s="392"/>
      <c r="L85" s="393"/>
      <c r="M85" s="135"/>
      <c r="N85" s="391"/>
      <c r="O85" s="392"/>
      <c r="P85" s="392"/>
      <c r="Q85" s="393"/>
      <c r="R85" s="135"/>
      <c r="S85" s="391"/>
      <c r="T85" s="392"/>
      <c r="U85" s="392"/>
      <c r="V85" s="393"/>
      <c r="X85" s="391"/>
      <c r="Y85" s="392"/>
      <c r="Z85" s="392"/>
      <c r="AA85" s="393"/>
    </row>
    <row r="86" spans="1:27" ht="15" customHeight="1" x14ac:dyDescent="0.55000000000000004">
      <c r="A86" s="81"/>
      <c r="B86" s="82"/>
      <c r="C86" s="162" t="s">
        <v>51</v>
      </c>
      <c r="D86" s="82"/>
      <c r="E86" s="82"/>
      <c r="F86" s="82"/>
      <c r="G86" s="82"/>
      <c r="H86" s="50"/>
      <c r="I86" s="391"/>
      <c r="J86" s="392"/>
      <c r="K86" s="392"/>
      <c r="L86" s="393"/>
      <c r="M86" s="135"/>
      <c r="N86" s="391"/>
      <c r="O86" s="392"/>
      <c r="P86" s="392"/>
      <c r="Q86" s="393"/>
      <c r="R86" s="135"/>
      <c r="S86" s="391"/>
      <c r="T86" s="392"/>
      <c r="U86" s="392"/>
      <c r="V86" s="393"/>
      <c r="X86" s="391"/>
      <c r="Y86" s="392"/>
      <c r="Z86" s="392"/>
      <c r="AA86" s="393"/>
    </row>
    <row r="87" spans="1:27" ht="15" customHeight="1" x14ac:dyDescent="0.55000000000000004">
      <c r="A87" s="81"/>
      <c r="B87" s="82"/>
      <c r="C87" s="82"/>
      <c r="D87" s="82"/>
      <c r="E87" s="82"/>
      <c r="F87" s="82"/>
      <c r="G87" s="82"/>
      <c r="H87" s="50"/>
      <c r="I87" s="391"/>
      <c r="J87" s="392"/>
      <c r="K87" s="392"/>
      <c r="L87" s="393"/>
      <c r="M87" s="135"/>
      <c r="N87" s="391"/>
      <c r="O87" s="392"/>
      <c r="P87" s="392"/>
      <c r="Q87" s="393"/>
      <c r="R87" s="135"/>
      <c r="S87" s="391"/>
      <c r="T87" s="392"/>
      <c r="U87" s="392"/>
      <c r="V87" s="393"/>
      <c r="X87" s="391"/>
      <c r="Y87" s="392"/>
      <c r="Z87" s="392"/>
      <c r="AA87" s="393"/>
    </row>
    <row r="88" spans="1:27" ht="15" customHeight="1" x14ac:dyDescent="0.55000000000000004">
      <c r="A88" s="81"/>
      <c r="B88" s="82"/>
      <c r="C88" s="82"/>
      <c r="D88" s="82"/>
      <c r="E88" s="82"/>
      <c r="F88" s="82"/>
      <c r="G88" s="82"/>
      <c r="H88" s="50"/>
      <c r="I88" s="131" t="s">
        <v>52</v>
      </c>
      <c r="J88" s="53"/>
      <c r="K88" s="53"/>
      <c r="L88" s="54"/>
      <c r="M88" s="133"/>
      <c r="N88" s="51" t="s">
        <v>52</v>
      </c>
      <c r="O88" s="52"/>
      <c r="P88" s="52"/>
      <c r="Q88" s="55"/>
      <c r="R88" s="133"/>
      <c r="S88" s="131" t="s">
        <v>52</v>
      </c>
      <c r="T88" s="53"/>
      <c r="U88" s="53"/>
      <c r="V88" s="54"/>
      <c r="X88" s="131" t="s">
        <v>52</v>
      </c>
      <c r="Y88" s="53"/>
      <c r="Z88" s="53"/>
      <c r="AA88" s="54"/>
    </row>
    <row r="89" spans="1:27" ht="15" customHeight="1" thickBot="1" x14ac:dyDescent="0.6">
      <c r="A89" s="83"/>
      <c r="B89" s="82"/>
      <c r="C89" s="346"/>
      <c r="D89" s="347"/>
      <c r="E89" s="347"/>
      <c r="F89" s="150"/>
      <c r="G89" s="150"/>
      <c r="H89" s="50"/>
      <c r="I89" s="311"/>
      <c r="J89" s="312"/>
      <c r="K89" s="312"/>
      <c r="L89" s="313"/>
      <c r="M89" s="56"/>
      <c r="N89" s="311"/>
      <c r="O89" s="312"/>
      <c r="P89" s="312"/>
      <c r="Q89" s="313"/>
      <c r="R89" s="56"/>
      <c r="S89" s="311"/>
      <c r="T89" s="312"/>
      <c r="U89" s="312"/>
      <c r="V89" s="313"/>
      <c r="X89" s="311"/>
      <c r="Y89" s="312"/>
      <c r="Z89" s="312"/>
      <c r="AA89" s="313"/>
    </row>
    <row r="90" spans="1:27" ht="18.75" x14ac:dyDescent="0.55000000000000004">
      <c r="A90" s="80"/>
      <c r="B90" s="82"/>
      <c r="C90" s="346"/>
      <c r="D90" s="347"/>
      <c r="E90" s="347"/>
      <c r="F90" s="150"/>
      <c r="G90" s="150"/>
      <c r="H90" s="50"/>
    </row>
    <row r="91" spans="1:27" ht="18.75" x14ac:dyDescent="0.55000000000000004">
      <c r="A91" s="81"/>
      <c r="B91" s="82"/>
      <c r="C91" s="82"/>
      <c r="D91" s="82"/>
      <c r="E91" s="82"/>
      <c r="F91" s="82"/>
      <c r="G91" s="82"/>
      <c r="H91" s="50"/>
    </row>
  </sheetData>
  <mergeCells count="82">
    <mergeCell ref="Y84:AA84"/>
    <mergeCell ref="X85:AA87"/>
    <mergeCell ref="X89:AA89"/>
    <mergeCell ref="X72:Z73"/>
    <mergeCell ref="Y76:AA76"/>
    <mergeCell ref="Y78:AA78"/>
    <mergeCell ref="Y80:AA80"/>
    <mergeCell ref="X82:Y82"/>
    <mergeCell ref="Z82:AA82"/>
    <mergeCell ref="X5:X6"/>
    <mergeCell ref="Z5:Z6"/>
    <mergeCell ref="AA5:AA6"/>
    <mergeCell ref="X69:Z70"/>
    <mergeCell ref="AA69:AA70"/>
    <mergeCell ref="X1:AA1"/>
    <mergeCell ref="X2:AA2"/>
    <mergeCell ref="X3:AA3"/>
    <mergeCell ref="X4:Y4"/>
    <mergeCell ref="Z4:AA4"/>
    <mergeCell ref="I85:L87"/>
    <mergeCell ref="S85:V87"/>
    <mergeCell ref="C89:C90"/>
    <mergeCell ref="D89:E90"/>
    <mergeCell ref="I89:L89"/>
    <mergeCell ref="N89:Q89"/>
    <mergeCell ref="S89:V89"/>
    <mergeCell ref="N85:Q87"/>
    <mergeCell ref="T84:V84"/>
    <mergeCell ref="J80:L80"/>
    <mergeCell ref="O80:Q80"/>
    <mergeCell ref="T80:V80"/>
    <mergeCell ref="I82:J82"/>
    <mergeCell ref="K82:L82"/>
    <mergeCell ref="S82:T82"/>
    <mergeCell ref="U82:V82"/>
    <mergeCell ref="T78:V78"/>
    <mergeCell ref="V69:V70"/>
    <mergeCell ref="I72:K73"/>
    <mergeCell ref="N72:P73"/>
    <mergeCell ref="S72:U73"/>
    <mergeCell ref="S69:U70"/>
    <mergeCell ref="N69:P70"/>
    <mergeCell ref="Q69:Q70"/>
    <mergeCell ref="J76:L76"/>
    <mergeCell ref="O76:Q76"/>
    <mergeCell ref="T76:V76"/>
    <mergeCell ref="O78:Q78"/>
    <mergeCell ref="J78:L78"/>
    <mergeCell ref="F69:G70"/>
    <mergeCell ref="D5:G5"/>
    <mergeCell ref="C69:E70"/>
    <mergeCell ref="I69:K70"/>
    <mergeCell ref="L69:L70"/>
    <mergeCell ref="I5:I6"/>
    <mergeCell ref="K5:K6"/>
    <mergeCell ref="L5:L6"/>
    <mergeCell ref="N5:N6"/>
    <mergeCell ref="P5:P6"/>
    <mergeCell ref="V5:V6"/>
    <mergeCell ref="S4:T4"/>
    <mergeCell ref="N4:O4"/>
    <mergeCell ref="P4:Q4"/>
    <mergeCell ref="Q5:Q6"/>
    <mergeCell ref="S5:S6"/>
    <mergeCell ref="U5:U6"/>
    <mergeCell ref="G1:G3"/>
    <mergeCell ref="B1:F3"/>
    <mergeCell ref="D4:G4"/>
    <mergeCell ref="B4:B6"/>
    <mergeCell ref="C4:C6"/>
    <mergeCell ref="I2:L2"/>
    <mergeCell ref="N2:Q2"/>
    <mergeCell ref="S2:V2"/>
    <mergeCell ref="I1:L1"/>
    <mergeCell ref="N1:Q1"/>
    <mergeCell ref="S1:V1"/>
    <mergeCell ref="I3:L3"/>
    <mergeCell ref="N3:Q3"/>
    <mergeCell ref="S3:V3"/>
    <mergeCell ref="I4:J4"/>
    <mergeCell ref="K4:L4"/>
    <mergeCell ref="U4:V4"/>
  </mergeCells>
  <printOptions horizontalCentered="1" verticalCentered="1"/>
  <pageMargins left="0.25" right="0.25" top="0.75" bottom="0.75" header="0.3" footer="0.3"/>
  <pageSetup scale="35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A53D38D6F2F34CA3A81450F48BD0BA" ma:contentTypeVersion="17" ma:contentTypeDescription="Crear nuevo documento." ma:contentTypeScope="" ma:versionID="e8285cebfc64b7458f96d88951b93982">
  <xsd:schema xmlns:xsd="http://www.w3.org/2001/XMLSchema" xmlns:xs="http://www.w3.org/2001/XMLSchema" xmlns:p="http://schemas.microsoft.com/office/2006/metadata/properties" xmlns:ns2="3cabfbfa-22c1-4162-9775-2b67678c8080" xmlns:ns3="670bfb97-fe35-4d64-8485-05bb5b6f9e89" targetNamespace="http://schemas.microsoft.com/office/2006/metadata/properties" ma:root="true" ma:fieldsID="234b979776fa6fb54a90a5c7e81cf88c" ns2:_="" ns3:_="">
    <xsd:import namespace="3cabfbfa-22c1-4162-9775-2b67678c8080"/>
    <xsd:import namespace="670bfb97-fe35-4d64-8485-05bb5b6f9e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usuario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bfbfa-22c1-4162-9775-2b67678c80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a4174269-05ed-46f5-8424-ac65241c1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uarios" ma:index="23" nillable="true" ma:displayName="usuarios" ma:format="Dropdown" ma:list="UserInfo" ma:SharePointGroup="0" ma:internalName="usuarios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bfb97-fe35-4d64-8485-05bb5b6f9e8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bf90d49-a99d-481c-8813-378ef4fa6095}" ma:internalName="TaxCatchAll" ma:showField="CatchAllData" ma:web="670bfb97-fe35-4d64-8485-05bb5b6f9e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bfbfa-22c1-4162-9775-2b67678c8080">
      <Terms xmlns="http://schemas.microsoft.com/office/infopath/2007/PartnerControls"/>
    </lcf76f155ced4ddcb4097134ff3c332f>
    <TaxCatchAll xmlns="670bfb97-fe35-4d64-8485-05bb5b6f9e89" xsi:nil="true"/>
    <SharedWithUsers xmlns="670bfb97-fe35-4d64-8485-05bb5b6f9e89">
      <UserInfo>
        <DisplayName/>
        <AccountId xsi:nil="true"/>
        <AccountType/>
      </UserInfo>
    </SharedWithUsers>
    <MediaLengthInSeconds xmlns="3cabfbfa-22c1-4162-9775-2b67678c8080" xsi:nil="true"/>
    <usuarios xmlns="3cabfbfa-22c1-4162-9775-2b67678c8080">
      <UserInfo>
        <DisplayName/>
        <AccountId xsi:nil="true"/>
        <AccountType/>
      </UserInfo>
    </usuario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282C94-3456-4727-8936-C9D5C85F6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abfbfa-22c1-4162-9775-2b67678c8080"/>
    <ds:schemaRef ds:uri="670bfb97-fe35-4d64-8485-05bb5b6f9e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A9D031-99EC-4C65-B6F4-E3340AAB0402}">
  <ds:schemaRefs>
    <ds:schemaRef ds:uri="http://purl.org/dc/dcmitype/"/>
    <ds:schemaRef ds:uri="http://schemas.microsoft.com/office/2006/metadata/properties"/>
    <ds:schemaRef ds:uri="3cabfbfa-22c1-4162-9775-2b67678c8080"/>
    <ds:schemaRef ds:uri="670bfb97-fe35-4d64-8485-05bb5b6f9e89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87DF179-1BC9-45F6-8C7B-00B424ABAC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COMPARATIVO  CONTENEDORES</vt:lpstr>
      <vt:lpstr>COMPARATIVO ACERO</vt:lpstr>
      <vt:lpstr>COMPARATIVO  TACO MADERA</vt:lpstr>
      <vt:lpstr>COMPARATIVO  TELA SARAN</vt:lpstr>
      <vt:lpstr>COMPARATIVO FERRETERIA</vt:lpstr>
      <vt:lpstr>'COMPARATIVO  CONTENEDORES'!Área_de_impresión</vt:lpstr>
      <vt:lpstr>'COMPARATIVO  TACO MADERA'!Área_de_impresión</vt:lpstr>
      <vt:lpstr>'COMPARATIVO  TELA SARAN'!Área_de_impresión</vt:lpstr>
      <vt:lpstr>'COMPARATIVO ACERO'!Área_de_impresión</vt:lpstr>
      <vt:lpstr>'COMPARATIVO FERRETERIA'!Área_de_impresión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Fabio Angel Galan Pulido</dc:creator>
  <cp:keywords/>
  <dc:description/>
  <cp:lastModifiedBy>MARIA PAULINA  VANEGAS GOMEZ</cp:lastModifiedBy>
  <cp:revision/>
  <dcterms:created xsi:type="dcterms:W3CDTF">2013-11-13T14:37:59Z</dcterms:created>
  <dcterms:modified xsi:type="dcterms:W3CDTF">2026-03-23T21:56:16Z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0x010100CEA53D38D6F2F34CA3A81450F48BD0BA</vt:lpwstr>
  </property>
  <property fmtid="{D5CDD505-2E9C-101B-9397-08002B2CF9AE}" pid="3" name="MediaServiceImageTags">
    <vt:lpwstr/>
  </property>
  <property fmtid="{D5CDD505-2E9C-101B-9397-08002B2CF9AE}" pid="4" name="Order">
    <vt:r8>32582600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