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ingenierosdeantioquia2.sharepoint.com/sites/INGANT/2025/Planeación y Control/FCOT 538-2022 Mant Ant Nutresa (Original)/8. Cuadros Comparativos/2026/MANO DE OBRA/"/>
    </mc:Choice>
  </mc:AlternateContent>
  <xr:revisionPtr revIDLastSave="18" documentId="13_ncr:1_{52C4CACF-3B77-4A58-B099-F9CFCCF2D49C}" xr6:coauthVersionLast="47" xr6:coauthVersionMax="47" xr10:uidLastSave="{E0628229-9DA0-4F0F-B1E2-A2F5A2FA65D7}"/>
  <bookViews>
    <workbookView xWindow="-108" yWindow="-108" windowWidth="23256" windowHeight="12456" activeTab="3" xr2:uid="{4AF2D8EF-ED34-496B-A1BD-8C2B4359F363}"/>
  </bookViews>
  <sheets>
    <sheet name="MANO DE OBRA" sheetId="1" r:id="rId1"/>
    <sheet name="DJ " sheetId="2" r:id="rId2"/>
    <sheet name="MRM" sheetId="3" r:id="rId3"/>
    <sheet name="VALDEZ PALACIO " sheetId="4" r:id="rId4"/>
  </sheets>
  <definedNames>
    <definedName name="_xlnm._FilterDatabase" localSheetId="0" hidden="1">'MANO DE OBRA'!$D$18:$F$221</definedName>
    <definedName name="_xlnm.Print_Area" localSheetId="0">'MANO DE OBRA'!$D$1:$N$239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22" i="1" l="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T21" i="1" l="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0" i="1"/>
  <c r="S221"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0"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I180" i="1"/>
  <c r="H180" i="1"/>
  <c r="I179" i="1"/>
  <c r="H179"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I162" i="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I223" i="1" s="1"/>
  <c r="I224" i="1" s="1"/>
  <c r="H22" i="1"/>
  <c r="H223" i="1" s="1"/>
  <c r="I21" i="1"/>
  <c r="H21" i="1"/>
  <c r="I20" i="1"/>
  <c r="H20" i="1"/>
  <c r="O235" i="1"/>
  <c r="O234" i="1"/>
  <c r="K235" i="1"/>
  <c r="K234" i="1"/>
  <c r="G29" i="1"/>
  <c r="G223" i="1" s="1"/>
  <c r="M223" i="1"/>
  <c r="M224" i="1" s="1"/>
  <c r="L223" i="1"/>
  <c r="L224" i="1" s="1"/>
  <c r="K223" i="1"/>
  <c r="Q223" i="1"/>
  <c r="P223" i="1"/>
  <c r="O223" i="1"/>
  <c r="O224" i="1" s="1"/>
  <c r="I6" i="1"/>
  <c r="P224" i="1" l="1"/>
  <c r="P225" i="1" s="1"/>
  <c r="Q224" i="1"/>
  <c r="Q225" i="1" s="1"/>
  <c r="O225" i="1"/>
  <c r="K224" i="1"/>
  <c r="K225" i="1" s="1"/>
  <c r="T223" i="1"/>
  <c r="S223" i="1"/>
  <c r="M225" i="1"/>
  <c r="L225" i="1"/>
  <c r="G224" i="1"/>
  <c r="G225" i="1" s="1"/>
  <c r="I225" i="1"/>
  <c r="H224" i="1"/>
  <c r="H225" i="1" s="1"/>
  <c r="G235" i="1"/>
  <c r="G2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Ingant</author>
    <author>Ana Maria Moreno Gomez</author>
  </authors>
  <commentList>
    <comment ref="K219" authorId="0" shapeId="0" xr:uid="{F2D24359-6C47-4B6C-B54D-113D3508DAE1}">
      <text>
        <r>
          <rPr>
            <b/>
            <sz val="9"/>
            <color indexed="81"/>
            <rFont val="Tahoma"/>
            <charset val="1"/>
          </rPr>
          <t xml:space="preserve">DJ: </t>
        </r>
        <r>
          <rPr>
            <sz val="9"/>
            <color indexed="81"/>
            <rFont val="Tahoma"/>
            <charset val="1"/>
          </rPr>
          <t xml:space="preserve">
</t>
        </r>
      </text>
    </comment>
    <comment ref="D230" authorId="1" shapeId="0" xr:uid="{779BC0CE-DD32-4593-9652-326DA9F578E1}">
      <text>
        <r>
          <rPr>
            <b/>
            <sz val="9"/>
            <color indexed="81"/>
            <rFont val="Tahoma"/>
            <family val="2"/>
          </rPr>
          <t>El contratista por ley debe contar con una auto- evaluacion en % del cumplimiento de estos estandares la cual debe ser avalada por su ARL 
Si se tiene duda aclarar con la coord. SSTA de Arconsa
EN ESTE CASILLA SE DEBE REGISTRAR ESTA CALIFICACION</t>
        </r>
      </text>
    </comment>
  </commentList>
</comments>
</file>

<file path=xl/sharedStrings.xml><?xml version="1.0" encoding="utf-8"?>
<sst xmlns="http://schemas.openxmlformats.org/spreadsheetml/2006/main" count="694" uniqueCount="477">
  <si>
    <t xml:space="preserve">PROYECTO: </t>
  </si>
  <si>
    <t>MANTENIMIENTO INDUSTRIAL PLANTA GRUPO NUTRESA</t>
  </si>
  <si>
    <t>Nº</t>
  </si>
  <si>
    <t>A2-G03</t>
  </si>
  <si>
    <t>ACTIVIDAD:</t>
  </si>
  <si>
    <t>MANO DE OBRA</t>
  </si>
  <si>
    <t>TIPO DE CONTRATACION:</t>
  </si>
  <si>
    <t>CONTRATO DE CONSTRUCCIÓN MANO DE OBRA</t>
  </si>
  <si>
    <t xml:space="preserve">FECHA DE ELABORACIÓN: </t>
  </si>
  <si>
    <t>Actividades</t>
  </si>
  <si>
    <t>sin Presentar</t>
  </si>
  <si>
    <t>Menor valor</t>
  </si>
  <si>
    <t>Mayor valor</t>
  </si>
  <si>
    <t>En Medio</t>
  </si>
  <si>
    <t xml:space="preserve">Nit: </t>
  </si>
  <si>
    <t xml:space="preserve">Nombre: </t>
  </si>
  <si>
    <t>Contacto:</t>
  </si>
  <si>
    <t>Tel:</t>
  </si>
  <si>
    <t>Correo Electronico</t>
  </si>
  <si>
    <t xml:space="preserve">ITEMS </t>
  </si>
  <si>
    <t xml:space="preserve">INSUMO </t>
  </si>
  <si>
    <t>DETALLE</t>
  </si>
  <si>
    <t>Unid.</t>
  </si>
  <si>
    <t>Cant.</t>
  </si>
  <si>
    <t>(Jornada Ordinaria)</t>
  </si>
  <si>
    <t>(Jornada Festivos y dominicales)</t>
  </si>
  <si>
    <t>(Jornada Nocturna)</t>
  </si>
  <si>
    <t>Observaciones</t>
  </si>
  <si>
    <t>RANGO DE LIMITES ORDINARIOS</t>
  </si>
  <si>
    <t>Vlr Unitario</t>
  </si>
  <si>
    <t>VALORES MINIMOS</t>
  </si>
  <si>
    <t>VALORES MAXIMOS</t>
  </si>
  <si>
    <t>1</t>
  </si>
  <si>
    <t>Acarreo interno concreto y/o material de playa 0 a 50m</t>
  </si>
  <si>
    <t>m3</t>
  </si>
  <si>
    <t>2</t>
  </si>
  <si>
    <t>Acarreo interno concreto y/o material de playa 0 a 100m</t>
  </si>
  <si>
    <t>3</t>
  </si>
  <si>
    <t>Acarreo malla electrosoldada 0 a 50m</t>
  </si>
  <si>
    <t>m2</t>
  </si>
  <si>
    <t>4</t>
  </si>
  <si>
    <t>Acarreo malla electrosoldada 0 a 100m</t>
  </si>
  <si>
    <t>5</t>
  </si>
  <si>
    <t>Transporte Interno Hierro 0 - 100 m</t>
  </si>
  <si>
    <t>Kg</t>
  </si>
  <si>
    <t>6</t>
  </si>
  <si>
    <t>Transporte Interno Hierro (más de 100 m)</t>
  </si>
  <si>
    <t>7</t>
  </si>
  <si>
    <t>Transporte Vertical material, altura mayor a 2,4m  hasta 8m. Con manila y/o polea. No incluye equipo.</t>
  </si>
  <si>
    <t>m³</t>
  </si>
  <si>
    <t>8</t>
  </si>
  <si>
    <t>Acarreo interno escombros 0 a 50m (si el escombro sale de planta y el acopio está inmediatamente afuera se incluye en el trabajo que se está ejecutando)</t>
  </si>
  <si>
    <t>9</t>
  </si>
  <si>
    <t>Acarreo interno escombros 0 a 100m (si el escombro sale de planta y el acopio está inmediatamente afuera se incluye en el trabajo que se está ejecutando)</t>
  </si>
  <si>
    <t>10</t>
  </si>
  <si>
    <t>Aligeramiento de losa con adobe</t>
  </si>
  <si>
    <t>m²</t>
  </si>
  <si>
    <t>11</t>
  </si>
  <si>
    <t>Aplicación de elastica (sikaflex, eucojoinnt, sikadur 51sl o similares) en juntas - Incluye preparacion y encintado</t>
  </si>
  <si>
    <t>ml</t>
  </si>
  <si>
    <t>12</t>
  </si>
  <si>
    <t>Sello de juntas  (incluye aplicación de sellalon y elastica)</t>
  </si>
  <si>
    <t>13</t>
  </si>
  <si>
    <t>Armado,vaciado, desecofrado muro concreto E: 10-15</t>
  </si>
  <si>
    <t>14</t>
  </si>
  <si>
    <t>Armado,vaciado, desecofrado muro concreto E: 16-20</t>
  </si>
  <si>
    <t>15</t>
  </si>
  <si>
    <t>Atraque de concreto para tubería de 3" y 4"</t>
  </si>
  <si>
    <t>16</t>
  </si>
  <si>
    <t>Atraque de concreto para tubería de 4" a 8"</t>
  </si>
  <si>
    <t>m</t>
  </si>
  <si>
    <t>17</t>
  </si>
  <si>
    <t>Instalación tuberías (AN,ALL, AI) en terreno natural o losas de 1/2" a 2"</t>
  </si>
  <si>
    <t>18</t>
  </si>
  <si>
    <t>Instalación tuberías (AN,ALL, AI) en terreno natural o losas de 3" a 4"</t>
  </si>
  <si>
    <t>19</t>
  </si>
  <si>
    <t>Instalación tuberías (AN,ALL, AI) en terreno natural o losas de 6 a 8"</t>
  </si>
  <si>
    <t>20</t>
  </si>
  <si>
    <t>Cerramiento con plástico (implica colocar postes en madera o similar forrados en plastico y asegurar el plastico a estos)</t>
  </si>
  <si>
    <t>21</t>
  </si>
  <si>
    <t>Cobertura de equipos con plastico (implica cubrir y asegurar con citas o amarres)</t>
  </si>
  <si>
    <t>22</t>
  </si>
  <si>
    <t>Colocacion malla para reboque</t>
  </si>
  <si>
    <t>23</t>
  </si>
  <si>
    <t>Colocacion refuerzo</t>
  </si>
  <si>
    <t>kg</t>
  </si>
  <si>
    <t>24</t>
  </si>
  <si>
    <t>Figuracion refuerzo</t>
  </si>
  <si>
    <t>25</t>
  </si>
  <si>
    <t xml:space="preserve">Colocar esquinero en aluminio, pvc, plastico o similar para enchape </t>
  </si>
  <si>
    <t>26</t>
  </si>
  <si>
    <t>Construccion anden (inc entresuelo)</t>
  </si>
  <si>
    <t>27</t>
  </si>
  <si>
    <t>Construccion de curvas para 1/2 caña</t>
  </si>
  <si>
    <t>un</t>
  </si>
  <si>
    <t>28</t>
  </si>
  <si>
    <t>Corte de piso en concreto, no incluye equipo.</t>
  </si>
  <si>
    <t>29</t>
  </si>
  <si>
    <t>Demolicion baldosas y ceramicas (incluye el adhesivo)</t>
  </si>
  <si>
    <t>30</t>
  </si>
  <si>
    <t>Demolicion faja en concreto (desarrollo hasta 40 cm)</t>
  </si>
  <si>
    <t>31</t>
  </si>
  <si>
    <t>Demolicion cordon concreto</t>
  </si>
  <si>
    <t>32</t>
  </si>
  <si>
    <t>Demolicion Cuneta (desarrollo hasta 40 cm)</t>
  </si>
  <si>
    <t>33</t>
  </si>
  <si>
    <t>Demolicion enchape</t>
  </si>
  <si>
    <t>34</t>
  </si>
  <si>
    <t>Demolicion faja revoque</t>
  </si>
  <si>
    <t>35</t>
  </si>
  <si>
    <t>Cortagoteras en revoque</t>
  </si>
  <si>
    <t>36</t>
  </si>
  <si>
    <t>Lleno en revoque</t>
  </si>
  <si>
    <t>37</t>
  </si>
  <si>
    <t>Filetes y ranuras en revoque</t>
  </si>
  <si>
    <t>38</t>
  </si>
  <si>
    <t>Pelada o demolicion revoque</t>
  </si>
  <si>
    <t>39</t>
  </si>
  <si>
    <t>Revoque fachada</t>
  </si>
  <si>
    <t>40</t>
  </si>
  <si>
    <t>Revoque faja</t>
  </si>
  <si>
    <t>41</t>
  </si>
  <si>
    <t>Revoque muros</t>
  </si>
  <si>
    <t>42</t>
  </si>
  <si>
    <t>Picada muros</t>
  </si>
  <si>
    <t>43</t>
  </si>
  <si>
    <t>Demolicion mediacaña</t>
  </si>
  <si>
    <t>44</t>
  </si>
  <si>
    <t>Demolicion muro 10 a 15</t>
  </si>
  <si>
    <t>45</t>
  </si>
  <si>
    <t>Demolicion muro 20</t>
  </si>
  <si>
    <t>46</t>
  </si>
  <si>
    <t>Demolicion de muro en concreto ( espesor hasta 15 cm)</t>
  </si>
  <si>
    <t>47</t>
  </si>
  <si>
    <r>
      <t xml:space="preserve">Demolicion nervio concreto </t>
    </r>
    <r>
      <rPr>
        <sz val="12"/>
        <rFont val="Calibri"/>
        <family val="2"/>
      </rPr>
      <t>≤</t>
    </r>
    <r>
      <rPr>
        <sz val="12"/>
        <rFont val="Arial"/>
        <family val="2"/>
      </rPr>
      <t>12cm</t>
    </r>
  </si>
  <si>
    <t>48</t>
  </si>
  <si>
    <t>Demolicion de piso en concreto no reforzada de hasta 10 cm de espesor</t>
  </si>
  <si>
    <t>49</t>
  </si>
  <si>
    <t>Demolicion de piso en mortero de hasta 10 cm de espesor</t>
  </si>
  <si>
    <t>50</t>
  </si>
  <si>
    <t>MO demolicion piso concreto hasta espesor de 10 cm</t>
  </si>
  <si>
    <t>51</t>
  </si>
  <si>
    <t>Demolicion pisos concreto 11-15cm</t>
  </si>
  <si>
    <t>52</t>
  </si>
  <si>
    <t>Demolicion pisos concreto 16-20cm</t>
  </si>
  <si>
    <t>53</t>
  </si>
  <si>
    <t>Demolicion viga concreto &gt;20cm</t>
  </si>
  <si>
    <t>54</t>
  </si>
  <si>
    <t>Demoliciòn de guarda en concreto de 0 a 40 cm de altura</t>
  </si>
  <si>
    <t>55</t>
  </si>
  <si>
    <t>Demoliciòn de guarda en concreto de 0 a 80 cm de altura</t>
  </si>
  <si>
    <t>56</t>
  </si>
  <si>
    <t>Demolicion de lagrimal</t>
  </si>
  <si>
    <t>57</t>
  </si>
  <si>
    <t>Desmonte de cielo falso (drywall, Sboard, modular o similar)</t>
  </si>
  <si>
    <t>58</t>
  </si>
  <si>
    <t>Desmonte de tejas en fibrocemento</t>
  </si>
  <si>
    <t>59</t>
  </si>
  <si>
    <t xml:space="preserve">Enchape de piso en porcelanato </t>
  </si>
  <si>
    <t>60</t>
  </si>
  <si>
    <t>Encorozado muros, cuchillas</t>
  </si>
  <si>
    <t>61</t>
  </si>
  <si>
    <t>Extraccion roca (desembombe)</t>
  </si>
  <si>
    <t>pulg</t>
  </si>
  <si>
    <t>62</t>
  </si>
  <si>
    <t>Perforacion cuña hidraulica</t>
  </si>
  <si>
    <t>63</t>
  </si>
  <si>
    <t>Perforacion de roca (no incluye equipo)</t>
  </si>
  <si>
    <t>64</t>
  </si>
  <si>
    <t>Instalaciòn Guarda prefabricada de 0 a 40 cm de altura</t>
  </si>
  <si>
    <t>65</t>
  </si>
  <si>
    <t>Instalaciòn Guarda prefabricada de 0 a 80 cm de altura</t>
  </si>
  <si>
    <t>66</t>
  </si>
  <si>
    <t>Lineales de enchape en porcelanato</t>
  </si>
  <si>
    <t>67</t>
  </si>
  <si>
    <t>Lleno en suelo cemento (base-cemento)</t>
  </si>
  <si>
    <t>68</t>
  </si>
  <si>
    <t>Lleno manual compactado</t>
  </si>
  <si>
    <t>69</t>
  </si>
  <si>
    <t>Lleno Estructural a maquina material excavacion</t>
  </si>
  <si>
    <t>70</t>
  </si>
  <si>
    <t>Lleno estructural subbase granular</t>
  </si>
  <si>
    <t>71</t>
  </si>
  <si>
    <t>Lleno estructural base granular</t>
  </si>
  <si>
    <t>72</t>
  </si>
  <si>
    <t>Lleno estructural con arenilla</t>
  </si>
  <si>
    <t>73</t>
  </si>
  <si>
    <t>Muro Ladrillo Catalan 10x15x30</t>
  </si>
  <si>
    <t>74</t>
  </si>
  <si>
    <t>Marcación 1ª hilada mamposteria (unidad pegada)</t>
  </si>
  <si>
    <t>und</t>
  </si>
  <si>
    <t>75</t>
  </si>
  <si>
    <t>Muro Ladrillo 10x20x40 sucio Rayado</t>
  </si>
  <si>
    <t>76</t>
  </si>
  <si>
    <t>Muro Ladrillo 12x20x40 sucio Rayado</t>
  </si>
  <si>
    <t>77</t>
  </si>
  <si>
    <t>Muro Ladrillo Tolete 15x20x40 sucio Rayado</t>
  </si>
  <si>
    <t>78</t>
  </si>
  <si>
    <t>Muro Ladrillo Tolete E=20 sucio Rayado</t>
  </si>
  <si>
    <t>79</t>
  </si>
  <si>
    <t>Muro Ladrillo 10x20x40 Liso Horizontal</t>
  </si>
  <si>
    <t>80</t>
  </si>
  <si>
    <t>Muro Ladrillo 15x20x40 Liso Horizontal</t>
  </si>
  <si>
    <t>81</t>
  </si>
  <si>
    <t>Ladrillo Calado en mamposteria</t>
  </si>
  <si>
    <t>82</t>
  </si>
  <si>
    <t>Muro bloque 10x20x40</t>
  </si>
  <si>
    <t>83</t>
  </si>
  <si>
    <t>Muro bloque 12x20x40</t>
  </si>
  <si>
    <t>84</t>
  </si>
  <si>
    <t>Muro bloque 15x20x40</t>
  </si>
  <si>
    <t>85</t>
  </si>
  <si>
    <t>Muro bloque 20x20x40</t>
  </si>
  <si>
    <t>86</t>
  </si>
  <si>
    <t>MO transp interno adobe/bloque</t>
  </si>
  <si>
    <t>87</t>
  </si>
  <si>
    <t>Mediacaña en mortero sin varilla</t>
  </si>
  <si>
    <t>88</t>
  </si>
  <si>
    <t>Cambio de chapa Catalan</t>
  </si>
  <si>
    <t>89</t>
  </si>
  <si>
    <t>Desmonte y demolicion muro drywall o construccion liviana</t>
  </si>
  <si>
    <t>90</t>
  </si>
  <si>
    <t>Fajas de piso en grano</t>
  </si>
  <si>
    <t>91</t>
  </si>
  <si>
    <t>Piso vaciado en grano</t>
  </si>
  <si>
    <t>92</t>
  </si>
  <si>
    <t>Aplicación de grano en muro</t>
  </si>
  <si>
    <t>93</t>
  </si>
  <si>
    <t>Brillada baldosa de grano</t>
  </si>
  <si>
    <t>94</t>
  </si>
  <si>
    <t>Cristalizada baldosa en grano</t>
  </si>
  <si>
    <t>95</t>
  </si>
  <si>
    <t>Faja en grano en muro</t>
  </si>
  <si>
    <t>96</t>
  </si>
  <si>
    <t>Instalacion baldosa de grano</t>
  </si>
  <si>
    <t>97</t>
  </si>
  <si>
    <t>Pulida baldosa de grano</t>
  </si>
  <si>
    <t>98</t>
  </si>
  <si>
    <t>Pulida fajas en grano</t>
  </si>
  <si>
    <t>99</t>
  </si>
  <si>
    <t>Pulida filete en grano</t>
  </si>
  <si>
    <t>100</t>
  </si>
  <si>
    <t>Pulida grano</t>
  </si>
  <si>
    <t>101</t>
  </si>
  <si>
    <t>Pulida media caña en grano</t>
  </si>
  <si>
    <t>102</t>
  </si>
  <si>
    <t>Zocalo media caña en grano</t>
  </si>
  <si>
    <t>103</t>
  </si>
  <si>
    <t>Filete en grano</t>
  </si>
  <si>
    <t>104</t>
  </si>
  <si>
    <t>Perforacion y pases de losas</t>
  </si>
  <si>
    <t>105</t>
  </si>
  <si>
    <t>Perforacion y anclaje</t>
  </si>
  <si>
    <t>106</t>
  </si>
  <si>
    <t>MO Allanada y pulida losas en concreto</t>
  </si>
  <si>
    <t>107</t>
  </si>
  <si>
    <t>Anclaje epoxico 3/8" a 5/8"</t>
  </si>
  <si>
    <t>108</t>
  </si>
  <si>
    <t>MO armada y desarmada andamio multidireccional (70 x 1,40)</t>
  </si>
  <si>
    <t>cuerpo</t>
  </si>
  <si>
    <t>109</t>
  </si>
  <si>
    <t>MO armada y desarmada andamio multidireccional (3 x 1,40)</t>
  </si>
  <si>
    <t>110</t>
  </si>
  <si>
    <t>Columnetas en concreto (armado+ vaciado + desencofre)</t>
  </si>
  <si>
    <t>111</t>
  </si>
  <si>
    <t>Losa aerea maciza E=10 cm</t>
  </si>
  <si>
    <t>112</t>
  </si>
  <si>
    <t>Losa aerea maciza E=12 cm</t>
  </si>
  <si>
    <t>113</t>
  </si>
  <si>
    <t>Losa aerea maciza E=15 cm</t>
  </si>
  <si>
    <t>114</t>
  </si>
  <si>
    <t>Losa aerea E=20cm aligerado ladrillo</t>
  </si>
  <si>
    <t>115</t>
  </si>
  <si>
    <t>Losa aerea aligerada E=40 (armado+vaciado losa + desencofrado)</t>
  </si>
  <si>
    <t>116</t>
  </si>
  <si>
    <t>Losa aerea aligerada E=45 (armado+vaciado losa + desencofrado)</t>
  </si>
  <si>
    <t>117</t>
  </si>
  <si>
    <t>Losa aerea aligerada E=50 (armado+vaciado losa + desencofrado)</t>
  </si>
  <si>
    <t>118</t>
  </si>
  <si>
    <t xml:space="preserve">Piso Industrial Endurecido + fibra </t>
  </si>
  <si>
    <t>119</t>
  </si>
  <si>
    <t>120</t>
  </si>
  <si>
    <t>MO preparacion concreto</t>
  </si>
  <si>
    <t>121</t>
  </si>
  <si>
    <t>Losa contrapiso E=10 cm (armado+vaciado+ desencofrado)</t>
  </si>
  <si>
    <t>122</t>
  </si>
  <si>
    <t>Losa contrapiso E=12 cm (armado+vaciado+ desencofrado)</t>
  </si>
  <si>
    <t>123</t>
  </si>
  <si>
    <t>Losa contrapiso E=15 cm (armado+vaciado+ desencofrado)</t>
  </si>
  <si>
    <t>124</t>
  </si>
  <si>
    <t>Losa contrapiso E=20 cm (armado+vaciado+ desencofrado)</t>
  </si>
  <si>
    <t>125</t>
  </si>
  <si>
    <t>Losa Steel Deck ( incluye concreto)</t>
  </si>
  <si>
    <t>126</t>
  </si>
  <si>
    <t>Sillar en concreto</t>
  </si>
  <si>
    <t>127</t>
  </si>
  <si>
    <t>Anillo pila e=0.10 concreto (encofrado y desencofrado)</t>
  </si>
  <si>
    <t>128</t>
  </si>
  <si>
    <t>Vaciado solado</t>
  </si>
  <si>
    <t>129</t>
  </si>
  <si>
    <t>Vaciado guarda en concreto 30cm</t>
  </si>
  <si>
    <t>130</t>
  </si>
  <si>
    <t>Vaciado guarda en concreto 80cm</t>
  </si>
  <si>
    <t>131</t>
  </si>
  <si>
    <t>Vaciado viga concreto aerea 20x20</t>
  </si>
  <si>
    <t>132</t>
  </si>
  <si>
    <t>Vaciado viga concreto aerea 25x25</t>
  </si>
  <si>
    <t>133</t>
  </si>
  <si>
    <t>Vaciado viga concreto aerea 30x30</t>
  </si>
  <si>
    <t>134</t>
  </si>
  <si>
    <t>Vaciado viga concreto aerea 40x40</t>
  </si>
  <si>
    <t>135</t>
  </si>
  <si>
    <t>Vaciado viga concreto amarreo o fundacio 20x20</t>
  </si>
  <si>
    <t>136</t>
  </si>
  <si>
    <t>Vaciado viga concreto amarreo o fundacio 25x25</t>
  </si>
  <si>
    <t>137</t>
  </si>
  <si>
    <t>Vaciado viga concreto amarreo o fundacio 30x30</t>
  </si>
  <si>
    <t>138</t>
  </si>
  <si>
    <t>Vaciado viga concreto amarreo o fundacio 40x40</t>
  </si>
  <si>
    <t>139</t>
  </si>
  <si>
    <t>Vaciado concreto</t>
  </si>
  <si>
    <t>140</t>
  </si>
  <si>
    <t>Vaciado zapata fundacion en concreto</t>
  </si>
  <si>
    <t>141</t>
  </si>
  <si>
    <t>Vaciado pila fuste macizo</t>
  </si>
  <si>
    <t>142</t>
  </si>
  <si>
    <t>Vaciado de lagrimal en concreto ( incluye formaleteada con molduras corta goteras) 40x05</t>
  </si>
  <si>
    <t>143</t>
  </si>
  <si>
    <t>Vaciado faja de piso en concreto</t>
  </si>
  <si>
    <t>144</t>
  </si>
  <si>
    <t>Vaciado muro concreto E:0.10</t>
  </si>
  <si>
    <t>145</t>
  </si>
  <si>
    <t>Vaciado muro concreto E:0.15</t>
  </si>
  <si>
    <t>146</t>
  </si>
  <si>
    <t>Vaciado muro concreto E:0.20</t>
  </si>
  <si>
    <t>147</t>
  </si>
  <si>
    <t>Vaciado muro concreto E:0.25</t>
  </si>
  <si>
    <t>148</t>
  </si>
  <si>
    <t>Escalas en concreto</t>
  </si>
  <si>
    <t>149</t>
  </si>
  <si>
    <t>Vaciado dovela</t>
  </si>
  <si>
    <t>150</t>
  </si>
  <si>
    <t>Base en concreto de 25 x 25 E: 0 a 12 cm</t>
  </si>
  <si>
    <t>151</t>
  </si>
  <si>
    <t>Base en concreto de 30 x 30 E: 0 a 12 cm</t>
  </si>
  <si>
    <t>152</t>
  </si>
  <si>
    <t>Base en concreto de 40 x 40 E: 0 a 12 cm</t>
  </si>
  <si>
    <t>153</t>
  </si>
  <si>
    <t>Caja inspeccion concreto 40x40 (armado+vaciado+ desencofrado)</t>
  </si>
  <si>
    <t>154</t>
  </si>
  <si>
    <t>Caja inspeccion concreto 50x50 (armado+vaciado+ desencofrado)</t>
  </si>
  <si>
    <t>155</t>
  </si>
  <si>
    <t>Caja inspeccion concreto 60x60 (armado+vaciado+ desencofrado)</t>
  </si>
  <si>
    <t>156</t>
  </si>
  <si>
    <t>Caja inspeccion concreto 80x80 (armado+vaciado+ desencofrado)</t>
  </si>
  <si>
    <t>157</t>
  </si>
  <si>
    <t>Caja inspeccion concreto 100x100 (armado+vaciado+ desencofrado)</t>
  </si>
  <si>
    <t>158</t>
  </si>
  <si>
    <t>Vaciado + instalacion herraje caja</t>
  </si>
  <si>
    <t>159</t>
  </si>
  <si>
    <t>Reparacion de guardas en concreto (implica prepararsuperficie afectada y realizar acabado)</t>
  </si>
  <si>
    <t>160</t>
  </si>
  <si>
    <t>Cambio de piezas de enchape (de lado de 10cm hasta 35 cm)</t>
  </si>
  <si>
    <t>161</t>
  </si>
  <si>
    <t>Cambio de piezas de enchape (de lado de 40cm hasta 60 cm)</t>
  </si>
  <si>
    <t>162</t>
  </si>
  <si>
    <t>Cañuela concreto (hasta de 40cm x 10 de espesor)</t>
  </si>
  <si>
    <t>163</t>
  </si>
  <si>
    <t>Cerramiento tela zaran con larguero empotrado (incluye instalacion de largueros para asegurar tela)</t>
  </si>
  <si>
    <t>164</t>
  </si>
  <si>
    <t>Cerramiento tela zaran con larguero anclado (incluye instalacion de largueros para asegurar tela)</t>
  </si>
  <si>
    <t>165</t>
  </si>
  <si>
    <t>Champeado de muros y pantallas</t>
  </si>
  <si>
    <t>166</t>
  </si>
  <si>
    <t>Colocación de conectores</t>
  </si>
  <si>
    <t>167</t>
  </si>
  <si>
    <t>Colocacion malla electrosoldada</t>
  </si>
  <si>
    <t>168</t>
  </si>
  <si>
    <t>Colocacion rejilla de 1/2" a 4"</t>
  </si>
  <si>
    <t>169</t>
  </si>
  <si>
    <t>Colocacion rejilla de 6"</t>
  </si>
  <si>
    <t>170</t>
  </si>
  <si>
    <t>MO colocacion varilla dilatacion</t>
  </si>
  <si>
    <t>171</t>
  </si>
  <si>
    <t>MO construcción cerramiento en plástico (incluye forrada de palos en plastico, transporte de material e instalación)</t>
  </si>
  <si>
    <t>172</t>
  </si>
  <si>
    <t>Desmonte cerramiento tela zaran</t>
  </si>
  <si>
    <t>173</t>
  </si>
  <si>
    <t>MO destronque+brillada baldosa</t>
  </si>
  <si>
    <t>174</t>
  </si>
  <si>
    <t>Reparacion de piso en baldosa (implica demoler piesa puntual sin afectar las otras y sustituir por nueva)</t>
  </si>
  <si>
    <t>175</t>
  </si>
  <si>
    <t>Enchape ceramica (piezas de lado de 10cm hasta 35 cm)</t>
  </si>
  <si>
    <t>176</t>
  </si>
  <si>
    <t>Enchape ceramica (piezas de lado de 40cm hasta 60 cm)</t>
  </si>
  <si>
    <t>177</t>
  </si>
  <si>
    <t>Enchape ladrillo fachada</t>
  </si>
  <si>
    <t>178</t>
  </si>
  <si>
    <t>Enchape muros (cerámica FAJAS)</t>
  </si>
  <si>
    <t>179</t>
  </si>
  <si>
    <t>Perfilacion o nivelacion terreno</t>
  </si>
  <si>
    <t>180</t>
  </si>
  <si>
    <t>Perfilada de muro en mal estado</t>
  </si>
  <si>
    <t>181</t>
  </si>
  <si>
    <t>Excavacion manual brecha lineal seccion menor</t>
  </si>
  <si>
    <t>182</t>
  </si>
  <si>
    <r>
      <t xml:space="preserve">Excavacion manual pilotes diametro </t>
    </r>
    <r>
      <rPr>
        <sz val="12"/>
        <rFont val="Calibri"/>
        <family val="2"/>
      </rPr>
      <t>≤</t>
    </r>
    <r>
      <rPr>
        <sz val="12"/>
        <rFont val="Arial"/>
        <family val="2"/>
      </rPr>
      <t xml:space="preserve"> a 50cm</t>
    </r>
  </si>
  <si>
    <t>183</t>
  </si>
  <si>
    <t>Excavacion manual material homogeneo</t>
  </si>
  <si>
    <t>184</t>
  </si>
  <si>
    <t>Excavacion brecha H≤2.0m</t>
  </si>
  <si>
    <t>185</t>
  </si>
  <si>
    <t>Excavacion pilas 0-2 m</t>
  </si>
  <si>
    <t>186</t>
  </si>
  <si>
    <t>Excavacion pilas 10-12 m</t>
  </si>
  <si>
    <t>187</t>
  </si>
  <si>
    <t>Excavacion pilas 2-4 m</t>
  </si>
  <si>
    <t>188</t>
  </si>
  <si>
    <t>Excavacion pilas 4-6 m</t>
  </si>
  <si>
    <t>189</t>
  </si>
  <si>
    <t>Excavacion pilas 6-8 m</t>
  </si>
  <si>
    <t>190</t>
  </si>
  <si>
    <t>Excavacion pilas 8-10 m</t>
  </si>
  <si>
    <t>191</t>
  </si>
  <si>
    <t>Arenon lavado</t>
  </si>
  <si>
    <t>192</t>
  </si>
  <si>
    <t>Faja arenon lavado</t>
  </si>
  <si>
    <t>193</t>
  </si>
  <si>
    <t>Imprimante muros concreto</t>
  </si>
  <si>
    <t>194</t>
  </si>
  <si>
    <t>Instalacion grama</t>
  </si>
  <si>
    <t>195</t>
  </si>
  <si>
    <t>Mortero nivelacion</t>
  </si>
  <si>
    <t>196</t>
  </si>
  <si>
    <t>MO reparacion superficie piso (incluye retiro de epóxico con o sin equipo, recolección de escombro, cerramiento, lavado y secado de piso)</t>
  </si>
  <si>
    <t>197</t>
  </si>
  <si>
    <t>Reparacion piso con morteros formulados (incluye preparación de superficie, cortes, aseo, cerramientos, etc)</t>
  </si>
  <si>
    <t>198</t>
  </si>
  <si>
    <t>Vaciado de Morteros e=0.05 m - 0.10 m</t>
  </si>
  <si>
    <t>199</t>
  </si>
  <si>
    <t>Oficial</t>
  </si>
  <si>
    <t>hr</t>
  </si>
  <si>
    <t>200</t>
  </si>
  <si>
    <t>Ayudante entendido (este costo aplica tambien si es coordinador en alturas pues esta formacion no implica aumento salarial)</t>
  </si>
  <si>
    <t>201</t>
  </si>
  <si>
    <t>Ayudante (este costo aplica tambien si es coordinador en alturas pues esta formacion no implica aumento salarial)</t>
  </si>
  <si>
    <t>202</t>
  </si>
  <si>
    <t xml:space="preserve">Tecnologo en Seguridad Ocupacional </t>
  </si>
  <si>
    <t>IVA</t>
  </si>
  <si>
    <t>TOTAL</t>
  </si>
  <si>
    <t>Forma de pago</t>
  </si>
  <si>
    <t>Tiempo de entrega</t>
  </si>
  <si>
    <t>Garantía (s)</t>
  </si>
  <si>
    <t>Calificación contratista Sistema interno</t>
  </si>
  <si>
    <t>Calificacion Estandares Minimos SG-SST- Resolucion 1111</t>
  </si>
  <si>
    <t xml:space="preserve">% Anticipo </t>
  </si>
  <si>
    <t xml:space="preserve">RETENIDO (%) Solo si es diferente al definido por el area juridica para el tipo de contrato </t>
  </si>
  <si>
    <t>% de variacion contra la mas barata</t>
  </si>
  <si>
    <t>% de variacion contra la mas cara</t>
  </si>
  <si>
    <t>OBSERVACIONES:</t>
  </si>
  <si>
    <t>VoBo.</t>
  </si>
  <si>
    <t xml:space="preserve">NOTA IMPORTANTE ANEXOS </t>
  </si>
  <si>
    <t xml:space="preserve">MRM  INGENIERIA SAS </t>
  </si>
  <si>
    <t xml:space="preserve">Mateo Rojas </t>
  </si>
  <si>
    <t>305 4695048</t>
  </si>
  <si>
    <t>proyectosmrmingenieria@gmail.com</t>
  </si>
  <si>
    <t>Si es coordinador se debe reconocer el curso de coordinar una unica vez y $120.000 como bonificacion al trabajador mensual</t>
  </si>
  <si>
    <t>901358430-1</t>
  </si>
  <si>
    <t>Construobras DJ S.A.S</t>
  </si>
  <si>
    <t>Never Salon - Herley Mercado</t>
  </si>
  <si>
    <t>3148569035 - 3003633250</t>
  </si>
  <si>
    <t>admonconstruobras@gmail.com - proyectosconstruobrasdj@gmail.com</t>
  </si>
  <si>
    <t>900.851.028 - 1</t>
  </si>
  <si>
    <t>VALDES PALACIO OBRAS Y SERVICIOS S.A.S</t>
  </si>
  <si>
    <t xml:space="preserve">EDWIN VALDES </t>
  </si>
  <si>
    <t>311 6437034</t>
  </si>
  <si>
    <t>GERENCIA@VALDESPALACIO.CO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</si>
</sst>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2C0A]\ #,##0.00"/>
    <numFmt numFmtId="165" formatCode="[$-F800]dddd\,\ mmmm\ dd\,\ yyyy"/>
    <numFmt numFmtId="166" formatCode="[$$-2C0A]\ #,##0"/>
    <numFmt numFmtId="167" formatCode="&quot;$&quot;\ #,##0.00"/>
  </numFmts>
  <fonts count="25" x14ac:knownFonts="1">
    <font>
      <sz val="10"/>
      <name val="Arial"/>
      <family val="2"/>
    </font>
    <font>
      <sz val="10"/>
      <name val="Arial"/>
      <family val="2"/>
    </font>
    <font>
      <b/>
      <sz val="12"/>
      <name val="Arial"/>
      <family val="2"/>
    </font>
    <font>
      <b/>
      <sz val="14"/>
      <name val="Tahoma"/>
      <family val="2"/>
    </font>
    <font>
      <sz val="8"/>
      <name val="Arial"/>
      <family val="2"/>
    </font>
    <font>
      <b/>
      <sz val="10"/>
      <name val="Arial"/>
      <family val="2"/>
    </font>
    <font>
      <b/>
      <sz val="12"/>
      <name val="Tahoma"/>
      <family val="2"/>
    </font>
    <font>
      <b/>
      <sz val="11"/>
      <name val="Tahoma"/>
      <family val="2"/>
    </font>
    <font>
      <sz val="9"/>
      <name val="Arial"/>
      <family val="2"/>
    </font>
    <font>
      <sz val="12"/>
      <name val="Arial"/>
      <family val="2"/>
    </font>
    <font>
      <u/>
      <sz val="10"/>
      <color theme="10"/>
      <name val="Arial"/>
      <family val="2"/>
    </font>
    <font>
      <b/>
      <sz val="10"/>
      <name val="Verdana"/>
      <family val="2"/>
    </font>
    <font>
      <b/>
      <sz val="11"/>
      <name val="Arial"/>
      <family val="2"/>
    </font>
    <font>
      <sz val="11"/>
      <name val="Arial"/>
      <family val="2"/>
    </font>
    <font>
      <b/>
      <sz val="9"/>
      <name val="Arial"/>
      <family val="2"/>
    </font>
    <font>
      <sz val="11"/>
      <name val="Arial Narrow"/>
      <family val="2"/>
    </font>
    <font>
      <sz val="12"/>
      <name val="Calibri"/>
      <family val="2"/>
    </font>
    <font>
      <b/>
      <sz val="12"/>
      <name val="Verdana"/>
      <family val="2"/>
    </font>
    <font>
      <b/>
      <sz val="14"/>
      <color indexed="12"/>
      <name val="Arial Narrow"/>
      <family val="2"/>
    </font>
    <font>
      <sz val="10"/>
      <color indexed="12"/>
      <name val="Arial"/>
      <family val="2"/>
    </font>
    <font>
      <sz val="11"/>
      <color indexed="12"/>
      <name val="Arial Narrow"/>
      <family val="2"/>
    </font>
    <font>
      <sz val="11"/>
      <color theme="1"/>
      <name val="Arial Narrow"/>
      <family val="2"/>
    </font>
    <font>
      <b/>
      <sz val="9"/>
      <color indexed="81"/>
      <name val="Tahoma"/>
      <family val="2"/>
    </font>
    <font>
      <sz val="9"/>
      <color indexed="81"/>
      <name val="Tahoma"/>
      <charset val="1"/>
    </font>
    <font>
      <b/>
      <sz val="9"/>
      <color indexed="81"/>
      <name val="Tahoma"/>
      <charset val="1"/>
    </font>
  </fonts>
  <fills count="13">
    <fill>
      <patternFill patternType="none"/>
    </fill>
    <fill>
      <patternFill patternType="gray125"/>
    </fill>
    <fill>
      <patternFill patternType="solid">
        <fgColor indexed="9"/>
        <bgColor indexed="64"/>
      </patternFill>
    </fill>
    <fill>
      <patternFill patternType="solid">
        <fgColor rgb="FF00FF00"/>
        <bgColor indexed="64"/>
      </patternFill>
    </fill>
    <fill>
      <patternFill patternType="solid">
        <fgColor rgb="FFFF0000"/>
        <bgColor indexed="64"/>
      </patternFill>
    </fill>
    <fill>
      <patternFill patternType="solid">
        <fgColor theme="6" tint="0.39997558519241921"/>
        <bgColor indexed="64"/>
      </patternFill>
    </fill>
    <fill>
      <patternFill patternType="solid">
        <fgColor indexed="51"/>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bgColor indexed="64"/>
      </patternFill>
    </fill>
  </fills>
  <borders count="4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50">
    <xf numFmtId="0" fontId="0" fillId="0" borderId="0" xfId="0"/>
    <xf numFmtId="164" fontId="0" fillId="2" borderId="0" xfId="0" applyNumberFormat="1" applyFill="1"/>
    <xf numFmtId="0" fontId="0" fillId="2" borderId="0" xfId="0" applyFill="1"/>
    <xf numFmtId="164" fontId="1" fillId="2" borderId="0" xfId="0" applyNumberFormat="1" applyFont="1" applyFill="1"/>
    <xf numFmtId="0" fontId="6" fillId="2" borderId="0" xfId="0" applyFont="1" applyFill="1"/>
    <xf numFmtId="0" fontId="5" fillId="2" borderId="0" xfId="0" applyFont="1" applyFill="1" applyAlignment="1">
      <alignment horizontal="center" vertical="center"/>
    </xf>
    <xf numFmtId="164" fontId="3" fillId="2" borderId="0" xfId="0" applyNumberFormat="1" applyFont="1" applyFill="1" applyAlignment="1">
      <alignment horizontal="right"/>
    </xf>
    <xf numFmtId="164" fontId="0" fillId="2" borderId="4" xfId="0" applyNumberFormat="1" applyFill="1" applyBorder="1" applyAlignment="1">
      <alignment horizontal="center" vertical="center"/>
    </xf>
    <xf numFmtId="0" fontId="7" fillId="2" borderId="0" xfId="0" applyFont="1" applyFill="1" applyAlignment="1">
      <alignment horizontal="center" vertical="center"/>
    </xf>
    <xf numFmtId="14" fontId="0" fillId="2" borderId="0" xfId="0" applyNumberFormat="1" applyFill="1" applyAlignment="1">
      <alignment horizontal="center" vertical="center"/>
    </xf>
    <xf numFmtId="0" fontId="0" fillId="2" borderId="0" xfId="0" applyFill="1" applyAlignment="1">
      <alignment horizontal="center" vertical="center"/>
    </xf>
    <xf numFmtId="164" fontId="1" fillId="2" borderId="0" xfId="0" applyNumberFormat="1" applyFont="1" applyFill="1" applyAlignment="1">
      <alignment horizontal="center"/>
    </xf>
    <xf numFmtId="164" fontId="0" fillId="2" borderId="0" xfId="0" applyNumberFormat="1" applyFill="1" applyAlignment="1">
      <alignment horizontal="center"/>
    </xf>
    <xf numFmtId="0" fontId="8" fillId="0" borderId="4" xfId="0" applyFont="1" applyBorder="1"/>
    <xf numFmtId="9" fontId="8" fillId="0" borderId="4" xfId="0" applyNumberFormat="1" applyFont="1" applyBorder="1" applyAlignment="1">
      <alignment horizontal="center" vertical="center"/>
    </xf>
    <xf numFmtId="0" fontId="8" fillId="0" borderId="0" xfId="0" applyFont="1"/>
    <xf numFmtId="9" fontId="8" fillId="0" borderId="4" xfId="1" applyFont="1" applyBorder="1" applyAlignment="1">
      <alignment horizontal="left" vertical="top"/>
    </xf>
    <xf numFmtId="0" fontId="8" fillId="3" borderId="4" xfId="0" applyFont="1" applyFill="1" applyBorder="1"/>
    <xf numFmtId="0" fontId="8" fillId="2" borderId="4" xfId="0" applyFont="1" applyFill="1" applyBorder="1"/>
    <xf numFmtId="0" fontId="8" fillId="4" borderId="4" xfId="0" applyFont="1" applyFill="1" applyBorder="1"/>
    <xf numFmtId="0" fontId="2" fillId="2" borderId="0" xfId="0" applyFont="1" applyFill="1"/>
    <xf numFmtId="15" fontId="1" fillId="2" borderId="0" xfId="0" applyNumberFormat="1" applyFont="1" applyFill="1" applyAlignment="1">
      <alignment horizontal="center"/>
    </xf>
    <xf numFmtId="164" fontId="1" fillId="2" borderId="0" xfId="0" applyNumberFormat="1" applyFont="1" applyFill="1" applyAlignment="1">
      <alignment horizontal="right"/>
    </xf>
    <xf numFmtId="0" fontId="9" fillId="2" borderId="0" xfId="0" applyFont="1" applyFill="1"/>
    <xf numFmtId="164" fontId="5" fillId="6" borderId="5" xfId="0" applyNumberFormat="1" applyFont="1" applyFill="1" applyBorder="1" applyAlignment="1">
      <alignment horizontal="center" vertical="center" wrapText="1"/>
    </xf>
    <xf numFmtId="164" fontId="5" fillId="6" borderId="6" xfId="0" applyNumberFormat="1" applyFont="1" applyFill="1" applyBorder="1" applyAlignment="1">
      <alignment horizontal="center" vertical="center" wrapText="1"/>
    </xf>
    <xf numFmtId="164" fontId="5" fillId="6" borderId="7" xfId="0" applyNumberFormat="1" applyFont="1" applyFill="1" applyBorder="1" applyAlignment="1">
      <alignment horizontal="center" vertical="center" wrapText="1"/>
    </xf>
    <xf numFmtId="164" fontId="5" fillId="6" borderId="10" xfId="0" applyNumberFormat="1" applyFont="1" applyFill="1" applyBorder="1" applyAlignment="1">
      <alignment horizontal="center" vertical="center"/>
    </xf>
    <xf numFmtId="164" fontId="5" fillId="6" borderId="11" xfId="0" applyNumberFormat="1" applyFont="1" applyFill="1" applyBorder="1" applyAlignment="1">
      <alignment horizontal="center" vertical="center"/>
    </xf>
    <xf numFmtId="164" fontId="5" fillId="6" borderId="12" xfId="0" applyNumberFormat="1" applyFont="1" applyFill="1" applyBorder="1" applyAlignment="1">
      <alignment horizontal="center" vertical="center"/>
    </xf>
    <xf numFmtId="164" fontId="14" fillId="3" borderId="19" xfId="0" applyNumberFormat="1" applyFont="1" applyFill="1" applyBorder="1" applyAlignment="1">
      <alignment horizontal="center" vertical="center" wrapText="1"/>
    </xf>
    <xf numFmtId="164" fontId="14" fillId="4" borderId="19" xfId="0" applyNumberFormat="1" applyFont="1" applyFill="1" applyBorder="1" applyAlignment="1">
      <alignment horizontal="center" vertical="center" wrapText="1"/>
    </xf>
    <xf numFmtId="49" fontId="1" fillId="0" borderId="0" xfId="0" applyNumberFormat="1" applyFont="1"/>
    <xf numFmtId="49" fontId="1" fillId="0" borderId="4" xfId="0" applyNumberFormat="1" applyFont="1" applyBorder="1"/>
    <xf numFmtId="0" fontId="9" fillId="0" borderId="4" xfId="0" applyFont="1" applyBorder="1" applyAlignment="1">
      <alignment horizontal="left" vertical="center"/>
    </xf>
    <xf numFmtId="0" fontId="1" fillId="2" borderId="4" xfId="0" applyFont="1" applyFill="1" applyBorder="1" applyAlignment="1">
      <alignment horizontal="center" vertical="center"/>
    </xf>
    <xf numFmtId="0" fontId="1" fillId="2" borderId="20" xfId="0" applyFont="1" applyFill="1" applyBorder="1" applyAlignment="1">
      <alignment horizontal="center" vertical="center"/>
    </xf>
    <xf numFmtId="166" fontId="1" fillId="0" borderId="23" xfId="0" applyNumberFormat="1" applyFont="1" applyBorder="1" applyAlignment="1">
      <alignment horizontal="right" vertical="center"/>
    </xf>
    <xf numFmtId="166" fontId="1" fillId="0" borderId="17" xfId="0" applyNumberFormat="1" applyFont="1" applyBorder="1" applyAlignment="1">
      <alignment horizontal="right" vertical="center"/>
    </xf>
    <xf numFmtId="166" fontId="15" fillId="5" borderId="24" xfId="0" applyNumberFormat="1" applyFont="1" applyFill="1" applyBorder="1" applyAlignment="1">
      <alignment horizontal="center"/>
    </xf>
    <xf numFmtId="166" fontId="15" fillId="5" borderId="4" xfId="0" applyNumberFormat="1" applyFont="1" applyFill="1" applyBorder="1" applyAlignment="1">
      <alignment horizontal="center"/>
    </xf>
    <xf numFmtId="166" fontId="15" fillId="5" borderId="25" xfId="0" applyNumberFormat="1" applyFont="1" applyFill="1" applyBorder="1" applyAlignment="1">
      <alignment horizontal="center"/>
    </xf>
    <xf numFmtId="0" fontId="9" fillId="0" borderId="4" xfId="0" applyFont="1" applyBorder="1" applyAlignment="1">
      <alignment horizontal="left" vertical="center" wrapText="1"/>
    </xf>
    <xf numFmtId="166" fontId="15" fillId="5" borderId="26" xfId="0" applyNumberFormat="1" applyFont="1" applyFill="1" applyBorder="1" applyAlignment="1">
      <alignment horizontal="center"/>
    </xf>
    <xf numFmtId="166" fontId="15" fillId="5" borderId="27" xfId="0" applyNumberFormat="1" applyFont="1" applyFill="1" applyBorder="1" applyAlignment="1">
      <alignment horizontal="center"/>
    </xf>
    <xf numFmtId="166" fontId="15" fillId="5" borderId="28" xfId="0" applyNumberFormat="1" applyFont="1" applyFill="1" applyBorder="1" applyAlignment="1">
      <alignment horizontal="center"/>
    </xf>
    <xf numFmtId="166" fontId="1" fillId="0" borderId="29" xfId="0" applyNumberFormat="1" applyFont="1" applyBorder="1" applyAlignment="1">
      <alignment horizontal="right" vertical="center"/>
    </xf>
    <xf numFmtId="166" fontId="1" fillId="0" borderId="30" xfId="0" applyNumberFormat="1" applyFont="1" applyBorder="1" applyAlignment="1">
      <alignment horizontal="right" vertical="center"/>
    </xf>
    <xf numFmtId="0" fontId="0" fillId="2" borderId="4" xfId="0" applyFill="1" applyBorder="1"/>
    <xf numFmtId="0" fontId="17" fillId="0" borderId="20" xfId="0" applyFont="1" applyBorder="1" applyAlignment="1">
      <alignment horizontal="right"/>
    </xf>
    <xf numFmtId="0" fontId="1" fillId="0" borderId="4" xfId="0" applyFont="1" applyBorder="1" applyAlignment="1">
      <alignment horizontal="center"/>
    </xf>
    <xf numFmtId="0" fontId="1" fillId="0" borderId="20" xfId="0" applyFont="1" applyBorder="1" applyAlignment="1">
      <alignment horizontal="center"/>
    </xf>
    <xf numFmtId="166" fontId="5" fillId="5" borderId="31" xfId="0" applyNumberFormat="1" applyFont="1" applyFill="1" applyBorder="1" applyAlignment="1">
      <alignment horizontal="center"/>
    </xf>
    <xf numFmtId="166" fontId="5" fillId="5" borderId="19" xfId="0" applyNumberFormat="1" applyFont="1" applyFill="1" applyBorder="1" applyAlignment="1">
      <alignment horizontal="center"/>
    </xf>
    <xf numFmtId="166" fontId="15" fillId="5" borderId="3" xfId="0" applyNumberFormat="1" applyFont="1" applyFill="1" applyBorder="1" applyAlignment="1">
      <alignment horizontal="center"/>
    </xf>
    <xf numFmtId="166" fontId="1" fillId="7" borderId="1" xfId="0" applyNumberFormat="1" applyFont="1" applyFill="1" applyBorder="1" applyAlignment="1">
      <alignment horizontal="right" vertical="center"/>
    </xf>
    <xf numFmtId="166" fontId="1" fillId="7" borderId="19" xfId="0" applyNumberFormat="1" applyFont="1" applyFill="1" applyBorder="1" applyAlignment="1">
      <alignment horizontal="right" vertical="center"/>
    </xf>
    <xf numFmtId="9" fontId="1" fillId="0" borderId="13" xfId="1" applyFont="1" applyFill="1" applyBorder="1" applyAlignment="1">
      <alignment horizontal="center"/>
    </xf>
    <xf numFmtId="0" fontId="1" fillId="0" borderId="14" xfId="0" applyFont="1" applyBorder="1" applyAlignment="1">
      <alignment horizontal="center"/>
    </xf>
    <xf numFmtId="167" fontId="1" fillId="5" borderId="24" xfId="1" applyNumberFormat="1" applyFont="1" applyFill="1" applyBorder="1" applyAlignment="1">
      <alignment horizontal="center"/>
    </xf>
    <xf numFmtId="166" fontId="15" fillId="5" borderId="32" xfId="0" applyNumberFormat="1" applyFont="1" applyFill="1" applyBorder="1" applyAlignment="1">
      <alignment horizontal="center"/>
    </xf>
    <xf numFmtId="166" fontId="1" fillId="0" borderId="0" xfId="0" applyNumberFormat="1" applyFont="1" applyAlignment="1">
      <alignment horizontal="right" vertical="center"/>
    </xf>
    <xf numFmtId="0" fontId="2" fillId="8" borderId="4" xfId="0" applyFont="1" applyFill="1" applyBorder="1" applyAlignment="1">
      <alignment horizontal="right"/>
    </xf>
    <xf numFmtId="0" fontId="1" fillId="8" borderId="4" xfId="0" applyFont="1" applyFill="1" applyBorder="1" applyAlignment="1">
      <alignment horizontal="center"/>
    </xf>
    <xf numFmtId="0" fontId="1" fillId="8" borderId="20" xfId="0" applyFont="1" applyFill="1" applyBorder="1" applyAlignment="1">
      <alignment horizontal="center"/>
    </xf>
    <xf numFmtId="166" fontId="18" fillId="5" borderId="19" xfId="0" applyNumberFormat="1" applyFont="1" applyFill="1" applyBorder="1" applyAlignment="1">
      <alignment horizontal="center" vertical="center"/>
    </xf>
    <xf numFmtId="0" fontId="17" fillId="2" borderId="33" xfId="0" applyFont="1" applyFill="1" applyBorder="1" applyAlignment="1">
      <alignment horizontal="right"/>
    </xf>
    <xf numFmtId="0" fontId="19" fillId="2" borderId="34" xfId="0" applyFont="1" applyFill="1" applyBorder="1" applyAlignment="1">
      <alignment horizontal="center"/>
    </xf>
    <xf numFmtId="0" fontId="17" fillId="2" borderId="35" xfId="0" applyFont="1" applyFill="1" applyBorder="1" applyAlignment="1">
      <alignment horizontal="right"/>
    </xf>
    <xf numFmtId="0" fontId="17" fillId="0" borderId="35" xfId="0" applyFont="1" applyBorder="1" applyAlignment="1">
      <alignment horizontal="right"/>
    </xf>
    <xf numFmtId="0" fontId="17" fillId="2" borderId="35" xfId="0" applyFont="1" applyFill="1" applyBorder="1" applyAlignment="1">
      <alignment horizontal="right" vertical="center" wrapText="1"/>
    </xf>
    <xf numFmtId="0" fontId="19" fillId="2" borderId="37" xfId="0" applyFont="1" applyFill="1" applyBorder="1" applyAlignment="1">
      <alignment horizontal="center"/>
    </xf>
    <xf numFmtId="0" fontId="2" fillId="2" borderId="0" xfId="0" applyFont="1" applyFill="1" applyAlignment="1">
      <alignment horizontal="right" vertical="center"/>
    </xf>
    <xf numFmtId="0" fontId="19" fillId="2" borderId="0" xfId="0" applyFont="1" applyFill="1" applyAlignment="1">
      <alignment horizontal="center"/>
    </xf>
    <xf numFmtId="166" fontId="20" fillId="2" borderId="24" xfId="0" applyNumberFormat="1" applyFont="1" applyFill="1" applyBorder="1" applyAlignment="1">
      <alignment horizontal="center"/>
    </xf>
    <xf numFmtId="166" fontId="20" fillId="2" borderId="4" xfId="0" applyNumberFormat="1" applyFont="1" applyFill="1" applyBorder="1" applyAlignment="1">
      <alignment horizontal="center"/>
    </xf>
    <xf numFmtId="166" fontId="20" fillId="2" borderId="20" xfId="0" applyNumberFormat="1" applyFont="1" applyFill="1" applyBorder="1" applyAlignment="1">
      <alignment horizontal="center"/>
    </xf>
    <xf numFmtId="166" fontId="9" fillId="3" borderId="4" xfId="0" applyNumberFormat="1" applyFont="1" applyFill="1" applyBorder="1" applyAlignment="1">
      <alignment horizontal="right" vertical="center"/>
    </xf>
    <xf numFmtId="9" fontId="21" fillId="4" borderId="24" xfId="1" applyFont="1" applyFill="1" applyBorder="1" applyAlignment="1">
      <alignment horizontal="center"/>
    </xf>
    <xf numFmtId="9" fontId="20" fillId="2" borderId="4" xfId="1" applyFont="1" applyFill="1" applyBorder="1" applyAlignment="1">
      <alignment horizontal="center"/>
    </xf>
    <xf numFmtId="9" fontId="20" fillId="2" borderId="20" xfId="1" applyFont="1" applyFill="1" applyBorder="1" applyAlignment="1">
      <alignment horizontal="center"/>
    </xf>
    <xf numFmtId="166" fontId="9" fillId="4" borderId="4" xfId="0" applyNumberFormat="1" applyFont="1" applyFill="1" applyBorder="1" applyAlignment="1">
      <alignment horizontal="right" vertical="center"/>
    </xf>
    <xf numFmtId="164" fontId="20" fillId="8" borderId="17" xfId="0" applyNumberFormat="1" applyFont="1" applyFill="1" applyBorder="1" applyAlignment="1">
      <alignment horizontal="center"/>
    </xf>
    <xf numFmtId="0" fontId="17" fillId="2" borderId="0" xfId="0" applyFont="1" applyFill="1" applyAlignment="1">
      <alignment horizontal="center" vertical="center"/>
    </xf>
    <xf numFmtId="0" fontId="1" fillId="7" borderId="4" xfId="0" applyFont="1" applyFill="1" applyBorder="1" applyAlignment="1">
      <alignment horizontal="center" vertical="center"/>
    </xf>
    <xf numFmtId="164" fontId="5" fillId="9" borderId="5" xfId="0" applyNumberFormat="1" applyFont="1" applyFill="1" applyBorder="1"/>
    <xf numFmtId="164" fontId="5" fillId="9" borderId="8" xfId="0" applyNumberFormat="1" applyFont="1" applyFill="1" applyBorder="1"/>
    <xf numFmtId="0" fontId="0" fillId="2" borderId="0" xfId="0" applyFill="1" applyAlignment="1">
      <alignment horizontal="center"/>
    </xf>
    <xf numFmtId="49" fontId="1" fillId="0" borderId="4" xfId="0" applyNumberFormat="1" applyFont="1" applyBorder="1" applyAlignment="1">
      <alignment horizontal="center"/>
    </xf>
    <xf numFmtId="0" fontId="0" fillId="2" borderId="4" xfId="0" applyFill="1" applyBorder="1" applyAlignment="1">
      <alignment horizontal="center"/>
    </xf>
    <xf numFmtId="49" fontId="15" fillId="5" borderId="25" xfId="0" applyNumberFormat="1" applyFont="1" applyFill="1" applyBorder="1" applyAlignment="1">
      <alignment horizontal="left" wrapText="1"/>
    </xf>
    <xf numFmtId="49" fontId="1" fillId="7" borderId="4" xfId="0" applyNumberFormat="1" applyFont="1" applyFill="1" applyBorder="1" applyAlignment="1">
      <alignment horizontal="center"/>
    </xf>
    <xf numFmtId="49" fontId="1" fillId="0" borderId="17" xfId="0" applyNumberFormat="1" applyFont="1" applyBorder="1" applyAlignment="1">
      <alignment horizontal="center"/>
    </xf>
    <xf numFmtId="49" fontId="1" fillId="0" borderId="17" xfId="0" applyNumberFormat="1" applyFont="1" applyBorder="1"/>
    <xf numFmtId="0" fontId="9" fillId="0" borderId="17" xfId="0" applyFont="1" applyBorder="1" applyAlignment="1">
      <alignment horizontal="left"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166" fontId="15" fillId="5" borderId="38" xfId="0" applyNumberFormat="1" applyFont="1" applyFill="1" applyBorder="1" applyAlignment="1">
      <alignment horizontal="center"/>
    </xf>
    <xf numFmtId="166" fontId="15" fillId="5" borderId="17" xfId="0" applyNumberFormat="1" applyFont="1" applyFill="1" applyBorder="1" applyAlignment="1">
      <alignment horizontal="center"/>
    </xf>
    <xf numFmtId="166" fontId="15" fillId="5" borderId="39" xfId="0" applyNumberFormat="1" applyFont="1" applyFill="1" applyBorder="1" applyAlignment="1">
      <alignment horizontal="center"/>
    </xf>
    <xf numFmtId="0" fontId="19" fillId="2" borderId="20" xfId="0" applyFont="1" applyFill="1" applyBorder="1" applyAlignment="1">
      <alignment horizontal="center"/>
    </xf>
    <xf numFmtId="9" fontId="10" fillId="2" borderId="4" xfId="2" applyNumberFormat="1" applyFill="1" applyBorder="1" applyAlignment="1"/>
    <xf numFmtId="166" fontId="20" fillId="2" borderId="17" xfId="0" applyNumberFormat="1" applyFont="1" applyFill="1" applyBorder="1" applyAlignment="1">
      <alignment horizontal="center"/>
    </xf>
    <xf numFmtId="164" fontId="5" fillId="9" borderId="0" xfId="0" applyNumberFormat="1" applyFont="1" applyFill="1" applyAlignment="1">
      <alignment horizontal="center"/>
    </xf>
    <xf numFmtId="164" fontId="5" fillId="9" borderId="9" xfId="0" applyNumberFormat="1" applyFont="1" applyFill="1" applyBorder="1" applyAlignment="1">
      <alignment horizont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165" fontId="5" fillId="2" borderId="1" xfId="0" applyNumberFormat="1" applyFont="1" applyFill="1" applyBorder="1" applyAlignment="1">
      <alignment horizontal="center" vertical="center"/>
    </xf>
    <xf numFmtId="165" fontId="5" fillId="2" borderId="2" xfId="0" applyNumberFormat="1" applyFont="1" applyFill="1" applyBorder="1" applyAlignment="1">
      <alignment horizontal="center" vertical="center"/>
    </xf>
    <xf numFmtId="165" fontId="5" fillId="2" borderId="3" xfId="0" applyNumberFormat="1" applyFont="1" applyFill="1" applyBorder="1" applyAlignment="1">
      <alignment horizontal="center" vertical="center"/>
    </xf>
    <xf numFmtId="164" fontId="1" fillId="2" borderId="1" xfId="0" applyNumberFormat="1" applyFont="1" applyFill="1" applyBorder="1" applyAlignment="1">
      <alignment horizontal="center"/>
    </xf>
    <xf numFmtId="164" fontId="0" fillId="2" borderId="3" xfId="0" applyNumberFormat="1" applyFill="1" applyBorder="1" applyAlignment="1">
      <alignment horizontal="center"/>
    </xf>
    <xf numFmtId="164" fontId="5" fillId="9" borderId="6" xfId="0" applyNumberFormat="1" applyFont="1" applyFill="1" applyBorder="1" applyAlignment="1">
      <alignment horizontal="center"/>
    </xf>
    <xf numFmtId="164" fontId="5" fillId="9" borderId="7" xfId="0" applyNumberFormat="1" applyFont="1" applyFill="1" applyBorder="1" applyAlignment="1">
      <alignment horizontal="center"/>
    </xf>
    <xf numFmtId="0" fontId="11" fillId="6" borderId="21"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11" fillId="6" borderId="27" xfId="0" applyFont="1" applyFill="1" applyBorder="1" applyAlignment="1">
      <alignment horizontal="center" vertical="center" wrapText="1"/>
    </xf>
    <xf numFmtId="0" fontId="2" fillId="6" borderId="40" xfId="0" applyFont="1" applyFill="1" applyBorder="1" applyAlignment="1">
      <alignment horizontal="center" vertical="center"/>
    </xf>
    <xf numFmtId="0" fontId="2" fillId="6" borderId="42" xfId="0" applyFont="1" applyFill="1" applyBorder="1" applyAlignment="1">
      <alignment horizontal="center" vertical="center"/>
    </xf>
    <xf numFmtId="0" fontId="5" fillId="6" borderId="40" xfId="0" applyFont="1" applyFill="1" applyBorder="1" applyAlignment="1">
      <alignment horizontal="center" vertical="center"/>
    </xf>
    <xf numFmtId="0" fontId="5" fillId="6" borderId="42" xfId="0" applyFont="1" applyFill="1" applyBorder="1" applyAlignment="1">
      <alignment horizontal="center" vertical="center"/>
    </xf>
    <xf numFmtId="0" fontId="5" fillId="6" borderId="41" xfId="0" applyFont="1" applyFill="1" applyBorder="1" applyAlignment="1">
      <alignment horizontal="center" vertical="center"/>
    </xf>
    <xf numFmtId="0" fontId="5" fillId="6" borderId="43" xfId="0" applyFont="1" applyFill="1" applyBorder="1" applyAlignment="1">
      <alignment horizontal="center" vertical="center"/>
    </xf>
    <xf numFmtId="49" fontId="10" fillId="9" borderId="0" xfId="2" applyNumberFormat="1" applyFill="1" applyBorder="1" applyAlignment="1">
      <alignment horizontal="center" vertical="center"/>
    </xf>
    <xf numFmtId="49" fontId="5" fillId="9" borderId="0" xfId="0" applyNumberFormat="1" applyFont="1" applyFill="1" applyAlignment="1">
      <alignment horizontal="center" vertical="center"/>
    </xf>
    <xf numFmtId="49" fontId="5" fillId="9" borderId="9" xfId="0" applyNumberFormat="1" applyFont="1" applyFill="1" applyBorder="1" applyAlignment="1">
      <alignment horizontal="center" vertical="center"/>
    </xf>
    <xf numFmtId="0" fontId="5" fillId="2" borderId="0" xfId="0" applyFont="1" applyFill="1" applyAlignment="1">
      <alignment horizontal="right" vertical="top"/>
    </xf>
    <xf numFmtId="0" fontId="5" fillId="2" borderId="29" xfId="0" applyFont="1" applyFill="1" applyBorder="1" applyAlignment="1">
      <alignment horizontal="right" vertical="top"/>
    </xf>
    <xf numFmtId="164" fontId="20" fillId="8" borderId="23" xfId="0" applyNumberFormat="1" applyFont="1" applyFill="1" applyBorder="1" applyAlignment="1">
      <alignment horizontal="center"/>
    </xf>
    <xf numFmtId="164" fontId="20" fillId="8" borderId="17" xfId="0" applyNumberFormat="1" applyFont="1" applyFill="1" applyBorder="1" applyAlignment="1">
      <alignment horizontal="center"/>
    </xf>
    <xf numFmtId="15" fontId="12" fillId="7" borderId="15" xfId="0" applyNumberFormat="1" applyFont="1" applyFill="1" applyBorder="1" applyAlignment="1">
      <alignment horizontal="center" vertical="center" wrapText="1"/>
    </xf>
    <xf numFmtId="15" fontId="13" fillId="7" borderId="16" xfId="0" applyNumberFormat="1" applyFont="1" applyFill="1" applyBorder="1" applyAlignment="1">
      <alignment horizontal="center" vertical="center" wrapText="1"/>
    </xf>
    <xf numFmtId="9" fontId="10" fillId="2" borderId="4" xfId="2" applyNumberFormat="1" applyFill="1" applyBorder="1" applyAlignment="1">
      <alignment horizontal="center"/>
    </xf>
    <xf numFmtId="0" fontId="5" fillId="2" borderId="20" xfId="0" applyFont="1" applyFill="1" applyBorder="1" applyAlignment="1">
      <alignment horizontal="center" vertical="top"/>
    </xf>
    <xf numFmtId="0" fontId="5" fillId="2" borderId="36" xfId="0" applyFont="1" applyFill="1" applyBorder="1" applyAlignment="1">
      <alignment horizontal="center" vertical="top"/>
    </xf>
    <xf numFmtId="166" fontId="15" fillId="10" borderId="24" xfId="0" applyNumberFormat="1" applyFont="1" applyFill="1" applyBorder="1" applyAlignment="1">
      <alignment horizontal="center"/>
    </xf>
    <xf numFmtId="166" fontId="15" fillId="11" borderId="26" xfId="0" applyNumberFormat="1" applyFont="1" applyFill="1" applyBorder="1" applyAlignment="1">
      <alignment horizontal="center"/>
    </xf>
    <xf numFmtId="166" fontId="15" fillId="5" borderId="25" xfId="0" applyNumberFormat="1" applyFont="1" applyFill="1" applyBorder="1" applyAlignment="1">
      <alignment horizontal="left" vertical="center"/>
    </xf>
    <xf numFmtId="164" fontId="5" fillId="12" borderId="6" xfId="0" applyNumberFormat="1" applyFont="1" applyFill="1" applyBorder="1" applyAlignment="1">
      <alignment horizontal="center"/>
    </xf>
    <xf numFmtId="164" fontId="5" fillId="12" borderId="7" xfId="0" applyNumberFormat="1" applyFont="1" applyFill="1" applyBorder="1" applyAlignment="1">
      <alignment horizontal="center"/>
    </xf>
    <xf numFmtId="164" fontId="5" fillId="12" borderId="0" xfId="0" applyNumberFormat="1" applyFont="1" applyFill="1" applyAlignment="1">
      <alignment horizontal="center"/>
    </xf>
    <xf numFmtId="164" fontId="5" fillId="12" borderId="9" xfId="0" applyNumberFormat="1" applyFont="1" applyFill="1" applyBorder="1" applyAlignment="1">
      <alignment horizontal="center"/>
    </xf>
    <xf numFmtId="49" fontId="10" fillId="12" borderId="0" xfId="2" applyNumberFormat="1" applyFill="1" applyBorder="1" applyAlignment="1">
      <alignment horizontal="center" vertical="center"/>
    </xf>
    <xf numFmtId="49" fontId="5" fillId="12" borderId="0" xfId="0" applyNumberFormat="1" applyFont="1" applyFill="1" applyAlignment="1">
      <alignment horizontal="center" vertical="center"/>
    </xf>
    <xf numFmtId="49" fontId="5" fillId="12" borderId="9" xfId="0" applyNumberFormat="1" applyFont="1" applyFill="1" applyBorder="1" applyAlignment="1">
      <alignment horizontal="center" vertical="center"/>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121920</xdr:rowOff>
    </xdr:from>
    <xdr:to>
      <xdr:col>12</xdr:col>
      <xdr:colOff>305830</xdr:colOff>
      <xdr:row>31</xdr:row>
      <xdr:rowOff>129991</xdr:rowOff>
    </xdr:to>
    <xdr:pic>
      <xdr:nvPicPr>
        <xdr:cNvPr id="2" name="Imagen 1">
          <a:extLst>
            <a:ext uri="{FF2B5EF4-FFF2-40B4-BE49-F238E27FC236}">
              <a16:creationId xmlns:a16="http://schemas.microsoft.com/office/drawing/2014/main" id="{2FAFCEE3-0994-BEEC-83BB-99412EF978AC}"/>
            </a:ext>
          </a:extLst>
        </xdr:cNvPr>
        <xdr:cNvPicPr>
          <a:picLocks noChangeAspect="1"/>
        </xdr:cNvPicPr>
      </xdr:nvPicPr>
      <xdr:blipFill>
        <a:blip xmlns:r="http://schemas.openxmlformats.org/officeDocument/2006/relationships" r:embed="rId1"/>
        <a:stretch>
          <a:fillRect/>
        </a:stretch>
      </xdr:blipFill>
      <xdr:spPr>
        <a:xfrm>
          <a:off x="0" y="121920"/>
          <a:ext cx="11888230" cy="5204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16272</xdr:colOff>
      <xdr:row>30</xdr:row>
      <xdr:rowOff>69007</xdr:rowOff>
    </xdr:to>
    <xdr:pic>
      <xdr:nvPicPr>
        <xdr:cNvPr id="2" name="Imagen 1">
          <a:extLst>
            <a:ext uri="{FF2B5EF4-FFF2-40B4-BE49-F238E27FC236}">
              <a16:creationId xmlns:a16="http://schemas.microsoft.com/office/drawing/2014/main" id="{397E9216-DB84-9467-E869-26291DAFBA0D}"/>
            </a:ext>
          </a:extLst>
        </xdr:cNvPr>
        <xdr:cNvPicPr>
          <a:picLocks noChangeAspect="1"/>
        </xdr:cNvPicPr>
      </xdr:nvPicPr>
      <xdr:blipFill>
        <a:blip xmlns:r="http://schemas.openxmlformats.org/officeDocument/2006/relationships" r:embed="rId1"/>
        <a:stretch>
          <a:fillRect/>
        </a:stretch>
      </xdr:blipFill>
      <xdr:spPr>
        <a:xfrm>
          <a:off x="0" y="167640"/>
          <a:ext cx="11903472" cy="49305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68580</xdr:rowOff>
    </xdr:from>
    <xdr:to>
      <xdr:col>11</xdr:col>
      <xdr:colOff>107445</xdr:colOff>
      <xdr:row>33</xdr:row>
      <xdr:rowOff>76666</xdr:rowOff>
    </xdr:to>
    <xdr:pic>
      <xdr:nvPicPr>
        <xdr:cNvPr id="2" name="Imagen 1">
          <a:extLst>
            <a:ext uri="{FF2B5EF4-FFF2-40B4-BE49-F238E27FC236}">
              <a16:creationId xmlns:a16="http://schemas.microsoft.com/office/drawing/2014/main" id="{F170569B-714B-929C-46DE-6B853D241C11}"/>
            </a:ext>
          </a:extLst>
        </xdr:cNvPr>
        <xdr:cNvPicPr>
          <a:picLocks noChangeAspect="1"/>
        </xdr:cNvPicPr>
      </xdr:nvPicPr>
      <xdr:blipFill>
        <a:blip xmlns:r="http://schemas.openxmlformats.org/officeDocument/2006/relationships" r:embed="rId1"/>
        <a:stretch>
          <a:fillRect/>
        </a:stretch>
      </xdr:blipFill>
      <xdr:spPr>
        <a:xfrm>
          <a:off x="0" y="236220"/>
          <a:ext cx="8824725" cy="537256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ERENCIA@VALDESPALACIO.CO" TargetMode="External"/><Relationship Id="rId2" Type="http://schemas.openxmlformats.org/officeDocument/2006/relationships/hyperlink" Target="mailto:proyectosconstruobrasdj@gmail.com" TargetMode="External"/><Relationship Id="rId1" Type="http://schemas.openxmlformats.org/officeDocument/2006/relationships/hyperlink" Target="mailto:proyectosmrmingenieria@gmail.com"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0AAB-C9B1-43FA-82E6-28A5E1FD0560}">
  <sheetPr>
    <pageSetUpPr fitToPage="1"/>
  </sheetPr>
  <dimension ref="A1:V1822"/>
  <sheetViews>
    <sheetView showGridLines="0" zoomScale="65" zoomScaleNormal="65" workbookViewId="0">
      <pane xSplit="6" ySplit="19" topLeftCell="G104" activePane="bottomRight" state="frozen"/>
      <selection activeCell="A13" sqref="A13"/>
      <selection pane="topRight" activeCell="G13" sqref="G13"/>
      <selection pane="bottomLeft" activeCell="A20" sqref="A20"/>
      <selection pane="bottomRight" activeCell="D8" sqref="D8"/>
    </sheetView>
  </sheetViews>
  <sheetFormatPr baseColWidth="10" defaultColWidth="11.44140625" defaultRowHeight="15" x14ac:dyDescent="0.25"/>
  <cols>
    <col min="1" max="1" width="3.44140625" style="2" customWidth="1"/>
    <col min="2" max="2" width="12.5546875" style="87" customWidth="1"/>
    <col min="3" max="3" width="11" style="2" customWidth="1"/>
    <col min="4" max="4" width="78.109375" style="23" customWidth="1"/>
    <col min="5" max="5" width="6.88671875" style="2" customWidth="1"/>
    <col min="6" max="6" width="8.88671875" style="2" customWidth="1"/>
    <col min="7" max="14" width="16.6640625" style="1" customWidth="1"/>
    <col min="15" max="15" width="17.109375" style="2" customWidth="1"/>
    <col min="16" max="16" width="18.109375" style="2" customWidth="1"/>
    <col min="17" max="17" width="18.44140625" style="2" customWidth="1"/>
    <col min="18" max="18" width="11.44140625" style="2"/>
    <col min="19" max="20" width="15" style="2" customWidth="1"/>
    <col min="21" max="252" width="11.44140625" style="2"/>
    <col min="253" max="253" width="3.44140625" style="2" customWidth="1"/>
    <col min="254" max="255" width="12.5546875" style="2" customWidth="1"/>
    <col min="256" max="256" width="78.109375" style="2" customWidth="1"/>
    <col min="257" max="257" width="6.88671875" style="2" customWidth="1"/>
    <col min="258" max="258" width="8.88671875" style="2" customWidth="1"/>
    <col min="259" max="259" width="16.44140625" style="2" customWidth="1"/>
    <col min="260" max="260" width="14.5546875" style="2" bestFit="1" customWidth="1"/>
    <col min="261" max="261" width="19" style="2" customWidth="1"/>
    <col min="262" max="262" width="19.88671875" style="2" customWidth="1"/>
    <col min="263" max="263" width="15.44140625" style="2" customWidth="1"/>
    <col min="264" max="264" width="15.5546875" style="2" customWidth="1"/>
    <col min="265" max="266" width="0" style="2" hidden="1" customWidth="1"/>
    <col min="267" max="267" width="17.109375" style="2" customWidth="1"/>
    <col min="268" max="268" width="18.109375" style="2" customWidth="1"/>
    <col min="269" max="508" width="11.44140625" style="2"/>
    <col min="509" max="509" width="3.44140625" style="2" customWidth="1"/>
    <col min="510" max="511" width="12.5546875" style="2" customWidth="1"/>
    <col min="512" max="512" width="78.109375" style="2" customWidth="1"/>
    <col min="513" max="513" width="6.88671875" style="2" customWidth="1"/>
    <col min="514" max="514" width="8.88671875" style="2" customWidth="1"/>
    <col min="515" max="515" width="16.44140625" style="2" customWidth="1"/>
    <col min="516" max="516" width="14.5546875" style="2" bestFit="1" customWidth="1"/>
    <col min="517" max="517" width="19" style="2" customWidth="1"/>
    <col min="518" max="518" width="19.88671875" style="2" customWidth="1"/>
    <col min="519" max="519" width="15.44140625" style="2" customWidth="1"/>
    <col min="520" max="520" width="15.5546875" style="2" customWidth="1"/>
    <col min="521" max="522" width="0" style="2" hidden="1" customWidth="1"/>
    <col min="523" max="523" width="17.109375" style="2" customWidth="1"/>
    <col min="524" max="524" width="18.109375" style="2" customWidth="1"/>
    <col min="525" max="764" width="11.44140625" style="2"/>
    <col min="765" max="765" width="3.44140625" style="2" customWidth="1"/>
    <col min="766" max="767" width="12.5546875" style="2" customWidth="1"/>
    <col min="768" max="768" width="78.109375" style="2" customWidth="1"/>
    <col min="769" max="769" width="6.88671875" style="2" customWidth="1"/>
    <col min="770" max="770" width="8.88671875" style="2" customWidth="1"/>
    <col min="771" max="771" width="16.44140625" style="2" customWidth="1"/>
    <col min="772" max="772" width="14.5546875" style="2" bestFit="1" customWidth="1"/>
    <col min="773" max="773" width="19" style="2" customWidth="1"/>
    <col min="774" max="774" width="19.88671875" style="2" customWidth="1"/>
    <col min="775" max="775" width="15.44140625" style="2" customWidth="1"/>
    <col min="776" max="776" width="15.5546875" style="2" customWidth="1"/>
    <col min="777" max="778" width="0" style="2" hidden="1" customWidth="1"/>
    <col min="779" max="779" width="17.109375" style="2" customWidth="1"/>
    <col min="780" max="780" width="18.109375" style="2" customWidth="1"/>
    <col min="781" max="1020" width="11.44140625" style="2"/>
    <col min="1021" max="1021" width="3.44140625" style="2" customWidth="1"/>
    <col min="1022" max="1023" width="12.5546875" style="2" customWidth="1"/>
    <col min="1024" max="1024" width="78.109375" style="2" customWidth="1"/>
    <col min="1025" max="1025" width="6.88671875" style="2" customWidth="1"/>
    <col min="1026" max="1026" width="8.88671875" style="2" customWidth="1"/>
    <col min="1027" max="1027" width="16.44140625" style="2" customWidth="1"/>
    <col min="1028" max="1028" width="14.5546875" style="2" bestFit="1" customWidth="1"/>
    <col min="1029" max="1029" width="19" style="2" customWidth="1"/>
    <col min="1030" max="1030" width="19.88671875" style="2" customWidth="1"/>
    <col min="1031" max="1031" width="15.44140625" style="2" customWidth="1"/>
    <col min="1032" max="1032" width="15.5546875" style="2" customWidth="1"/>
    <col min="1033" max="1034" width="0" style="2" hidden="1" customWidth="1"/>
    <col min="1035" max="1035" width="17.109375" style="2" customWidth="1"/>
    <col min="1036" max="1036" width="18.109375" style="2" customWidth="1"/>
    <col min="1037" max="1276" width="11.44140625" style="2"/>
    <col min="1277" max="1277" width="3.44140625" style="2" customWidth="1"/>
    <col min="1278" max="1279" width="12.5546875" style="2" customWidth="1"/>
    <col min="1280" max="1280" width="78.109375" style="2" customWidth="1"/>
    <col min="1281" max="1281" width="6.88671875" style="2" customWidth="1"/>
    <col min="1282" max="1282" width="8.88671875" style="2" customWidth="1"/>
    <col min="1283" max="1283" width="16.44140625" style="2" customWidth="1"/>
    <col min="1284" max="1284" width="14.5546875" style="2" bestFit="1" customWidth="1"/>
    <col min="1285" max="1285" width="19" style="2" customWidth="1"/>
    <col min="1286" max="1286" width="19.88671875" style="2" customWidth="1"/>
    <col min="1287" max="1287" width="15.44140625" style="2" customWidth="1"/>
    <col min="1288" max="1288" width="15.5546875" style="2" customWidth="1"/>
    <col min="1289" max="1290" width="0" style="2" hidden="1" customWidth="1"/>
    <col min="1291" max="1291" width="17.109375" style="2" customWidth="1"/>
    <col min="1292" max="1292" width="18.109375" style="2" customWidth="1"/>
    <col min="1293" max="1532" width="11.44140625" style="2"/>
    <col min="1533" max="1533" width="3.44140625" style="2" customWidth="1"/>
    <col min="1534" max="1535" width="12.5546875" style="2" customWidth="1"/>
    <col min="1536" max="1536" width="78.109375" style="2" customWidth="1"/>
    <col min="1537" max="1537" width="6.88671875" style="2" customWidth="1"/>
    <col min="1538" max="1538" width="8.88671875" style="2" customWidth="1"/>
    <col min="1539" max="1539" width="16.44140625" style="2" customWidth="1"/>
    <col min="1540" max="1540" width="14.5546875" style="2" bestFit="1" customWidth="1"/>
    <col min="1541" max="1541" width="19" style="2" customWidth="1"/>
    <col min="1542" max="1542" width="19.88671875" style="2" customWidth="1"/>
    <col min="1543" max="1543" width="15.44140625" style="2" customWidth="1"/>
    <col min="1544" max="1544" width="15.5546875" style="2" customWidth="1"/>
    <col min="1545" max="1546" width="0" style="2" hidden="1" customWidth="1"/>
    <col min="1547" max="1547" width="17.109375" style="2" customWidth="1"/>
    <col min="1548" max="1548" width="18.109375" style="2" customWidth="1"/>
    <col min="1549" max="1788" width="11.44140625" style="2"/>
    <col min="1789" max="1789" width="3.44140625" style="2" customWidth="1"/>
    <col min="1790" max="1791" width="12.5546875" style="2" customWidth="1"/>
    <col min="1792" max="1792" width="78.109375" style="2" customWidth="1"/>
    <col min="1793" max="1793" width="6.88671875" style="2" customWidth="1"/>
    <col min="1794" max="1794" width="8.88671875" style="2" customWidth="1"/>
    <col min="1795" max="1795" width="16.44140625" style="2" customWidth="1"/>
    <col min="1796" max="1796" width="14.5546875" style="2" bestFit="1" customWidth="1"/>
    <col min="1797" max="1797" width="19" style="2" customWidth="1"/>
    <col min="1798" max="1798" width="19.88671875" style="2" customWidth="1"/>
    <col min="1799" max="1799" width="15.44140625" style="2" customWidth="1"/>
    <col min="1800" max="1800" width="15.5546875" style="2" customWidth="1"/>
    <col min="1801" max="1802" width="0" style="2" hidden="1" customWidth="1"/>
    <col min="1803" max="1803" width="17.109375" style="2" customWidth="1"/>
    <col min="1804" max="1804" width="18.109375" style="2" customWidth="1"/>
    <col min="1805" max="2044" width="11.44140625" style="2"/>
    <col min="2045" max="2045" width="3.44140625" style="2" customWidth="1"/>
    <col min="2046" max="2047" width="12.5546875" style="2" customWidth="1"/>
    <col min="2048" max="2048" width="78.109375" style="2" customWidth="1"/>
    <col min="2049" max="2049" width="6.88671875" style="2" customWidth="1"/>
    <col min="2050" max="2050" width="8.88671875" style="2" customWidth="1"/>
    <col min="2051" max="2051" width="16.44140625" style="2" customWidth="1"/>
    <col min="2052" max="2052" width="14.5546875" style="2" bestFit="1" customWidth="1"/>
    <col min="2053" max="2053" width="19" style="2" customWidth="1"/>
    <col min="2054" max="2054" width="19.88671875" style="2" customWidth="1"/>
    <col min="2055" max="2055" width="15.44140625" style="2" customWidth="1"/>
    <col min="2056" max="2056" width="15.5546875" style="2" customWidth="1"/>
    <col min="2057" max="2058" width="0" style="2" hidden="1" customWidth="1"/>
    <col min="2059" max="2059" width="17.109375" style="2" customWidth="1"/>
    <col min="2060" max="2060" width="18.109375" style="2" customWidth="1"/>
    <col min="2061" max="2300" width="11.44140625" style="2"/>
    <col min="2301" max="2301" width="3.44140625" style="2" customWidth="1"/>
    <col min="2302" max="2303" width="12.5546875" style="2" customWidth="1"/>
    <col min="2304" max="2304" width="78.109375" style="2" customWidth="1"/>
    <col min="2305" max="2305" width="6.88671875" style="2" customWidth="1"/>
    <col min="2306" max="2306" width="8.88671875" style="2" customWidth="1"/>
    <col min="2307" max="2307" width="16.44140625" style="2" customWidth="1"/>
    <col min="2308" max="2308" width="14.5546875" style="2" bestFit="1" customWidth="1"/>
    <col min="2309" max="2309" width="19" style="2" customWidth="1"/>
    <col min="2310" max="2310" width="19.88671875" style="2" customWidth="1"/>
    <col min="2311" max="2311" width="15.44140625" style="2" customWidth="1"/>
    <col min="2312" max="2312" width="15.5546875" style="2" customWidth="1"/>
    <col min="2313" max="2314" width="0" style="2" hidden="1" customWidth="1"/>
    <col min="2315" max="2315" width="17.109375" style="2" customWidth="1"/>
    <col min="2316" max="2316" width="18.109375" style="2" customWidth="1"/>
    <col min="2317" max="2556" width="11.44140625" style="2"/>
    <col min="2557" max="2557" width="3.44140625" style="2" customWidth="1"/>
    <col min="2558" max="2559" width="12.5546875" style="2" customWidth="1"/>
    <col min="2560" max="2560" width="78.109375" style="2" customWidth="1"/>
    <col min="2561" max="2561" width="6.88671875" style="2" customWidth="1"/>
    <col min="2562" max="2562" width="8.88671875" style="2" customWidth="1"/>
    <col min="2563" max="2563" width="16.44140625" style="2" customWidth="1"/>
    <col min="2564" max="2564" width="14.5546875" style="2" bestFit="1" customWidth="1"/>
    <col min="2565" max="2565" width="19" style="2" customWidth="1"/>
    <col min="2566" max="2566" width="19.88671875" style="2" customWidth="1"/>
    <col min="2567" max="2567" width="15.44140625" style="2" customWidth="1"/>
    <col min="2568" max="2568" width="15.5546875" style="2" customWidth="1"/>
    <col min="2569" max="2570" width="0" style="2" hidden="1" customWidth="1"/>
    <col min="2571" max="2571" width="17.109375" style="2" customWidth="1"/>
    <col min="2572" max="2572" width="18.109375" style="2" customWidth="1"/>
    <col min="2573" max="2812" width="11.44140625" style="2"/>
    <col min="2813" max="2813" width="3.44140625" style="2" customWidth="1"/>
    <col min="2814" max="2815" width="12.5546875" style="2" customWidth="1"/>
    <col min="2816" max="2816" width="78.109375" style="2" customWidth="1"/>
    <col min="2817" max="2817" width="6.88671875" style="2" customWidth="1"/>
    <col min="2818" max="2818" width="8.88671875" style="2" customWidth="1"/>
    <col min="2819" max="2819" width="16.44140625" style="2" customWidth="1"/>
    <col min="2820" max="2820" width="14.5546875" style="2" bestFit="1" customWidth="1"/>
    <col min="2821" max="2821" width="19" style="2" customWidth="1"/>
    <col min="2822" max="2822" width="19.88671875" style="2" customWidth="1"/>
    <col min="2823" max="2823" width="15.44140625" style="2" customWidth="1"/>
    <col min="2824" max="2824" width="15.5546875" style="2" customWidth="1"/>
    <col min="2825" max="2826" width="0" style="2" hidden="1" customWidth="1"/>
    <col min="2827" max="2827" width="17.109375" style="2" customWidth="1"/>
    <col min="2828" max="2828" width="18.109375" style="2" customWidth="1"/>
    <col min="2829" max="3068" width="11.44140625" style="2"/>
    <col min="3069" max="3069" width="3.44140625" style="2" customWidth="1"/>
    <col min="3070" max="3071" width="12.5546875" style="2" customWidth="1"/>
    <col min="3072" max="3072" width="78.109375" style="2" customWidth="1"/>
    <col min="3073" max="3073" width="6.88671875" style="2" customWidth="1"/>
    <col min="3074" max="3074" width="8.88671875" style="2" customWidth="1"/>
    <col min="3075" max="3075" width="16.44140625" style="2" customWidth="1"/>
    <col min="3076" max="3076" width="14.5546875" style="2" bestFit="1" customWidth="1"/>
    <col min="3077" max="3077" width="19" style="2" customWidth="1"/>
    <col min="3078" max="3078" width="19.88671875" style="2" customWidth="1"/>
    <col min="3079" max="3079" width="15.44140625" style="2" customWidth="1"/>
    <col min="3080" max="3080" width="15.5546875" style="2" customWidth="1"/>
    <col min="3081" max="3082" width="0" style="2" hidden="1" customWidth="1"/>
    <col min="3083" max="3083" width="17.109375" style="2" customWidth="1"/>
    <col min="3084" max="3084" width="18.109375" style="2" customWidth="1"/>
    <col min="3085" max="3324" width="11.44140625" style="2"/>
    <col min="3325" max="3325" width="3.44140625" style="2" customWidth="1"/>
    <col min="3326" max="3327" width="12.5546875" style="2" customWidth="1"/>
    <col min="3328" max="3328" width="78.109375" style="2" customWidth="1"/>
    <col min="3329" max="3329" width="6.88671875" style="2" customWidth="1"/>
    <col min="3330" max="3330" width="8.88671875" style="2" customWidth="1"/>
    <col min="3331" max="3331" width="16.44140625" style="2" customWidth="1"/>
    <col min="3332" max="3332" width="14.5546875" style="2" bestFit="1" customWidth="1"/>
    <col min="3333" max="3333" width="19" style="2" customWidth="1"/>
    <col min="3334" max="3334" width="19.88671875" style="2" customWidth="1"/>
    <col min="3335" max="3335" width="15.44140625" style="2" customWidth="1"/>
    <col min="3336" max="3336" width="15.5546875" style="2" customWidth="1"/>
    <col min="3337" max="3338" width="0" style="2" hidden="1" customWidth="1"/>
    <col min="3339" max="3339" width="17.109375" style="2" customWidth="1"/>
    <col min="3340" max="3340" width="18.109375" style="2" customWidth="1"/>
    <col min="3341" max="3580" width="11.44140625" style="2"/>
    <col min="3581" max="3581" width="3.44140625" style="2" customWidth="1"/>
    <col min="3582" max="3583" width="12.5546875" style="2" customWidth="1"/>
    <col min="3584" max="3584" width="78.109375" style="2" customWidth="1"/>
    <col min="3585" max="3585" width="6.88671875" style="2" customWidth="1"/>
    <col min="3586" max="3586" width="8.88671875" style="2" customWidth="1"/>
    <col min="3587" max="3587" width="16.44140625" style="2" customWidth="1"/>
    <col min="3588" max="3588" width="14.5546875" style="2" bestFit="1" customWidth="1"/>
    <col min="3589" max="3589" width="19" style="2" customWidth="1"/>
    <col min="3590" max="3590" width="19.88671875" style="2" customWidth="1"/>
    <col min="3591" max="3591" width="15.44140625" style="2" customWidth="1"/>
    <col min="3592" max="3592" width="15.5546875" style="2" customWidth="1"/>
    <col min="3593" max="3594" width="0" style="2" hidden="1" customWidth="1"/>
    <col min="3595" max="3595" width="17.109375" style="2" customWidth="1"/>
    <col min="3596" max="3596" width="18.109375" style="2" customWidth="1"/>
    <col min="3597" max="3836" width="11.44140625" style="2"/>
    <col min="3837" max="3837" width="3.44140625" style="2" customWidth="1"/>
    <col min="3838" max="3839" width="12.5546875" style="2" customWidth="1"/>
    <col min="3840" max="3840" width="78.109375" style="2" customWidth="1"/>
    <col min="3841" max="3841" width="6.88671875" style="2" customWidth="1"/>
    <col min="3842" max="3842" width="8.88671875" style="2" customWidth="1"/>
    <col min="3843" max="3843" width="16.44140625" style="2" customWidth="1"/>
    <col min="3844" max="3844" width="14.5546875" style="2" bestFit="1" customWidth="1"/>
    <col min="3845" max="3845" width="19" style="2" customWidth="1"/>
    <col min="3846" max="3846" width="19.88671875" style="2" customWidth="1"/>
    <col min="3847" max="3847" width="15.44140625" style="2" customWidth="1"/>
    <col min="3848" max="3848" width="15.5546875" style="2" customWidth="1"/>
    <col min="3849" max="3850" width="0" style="2" hidden="1" customWidth="1"/>
    <col min="3851" max="3851" width="17.109375" style="2" customWidth="1"/>
    <col min="3852" max="3852" width="18.109375" style="2" customWidth="1"/>
    <col min="3853" max="4092" width="11.44140625" style="2"/>
    <col min="4093" max="4093" width="3.44140625" style="2" customWidth="1"/>
    <col min="4094" max="4095" width="12.5546875" style="2" customWidth="1"/>
    <col min="4096" max="4096" width="78.109375" style="2" customWidth="1"/>
    <col min="4097" max="4097" width="6.88671875" style="2" customWidth="1"/>
    <col min="4098" max="4098" width="8.88671875" style="2" customWidth="1"/>
    <col min="4099" max="4099" width="16.44140625" style="2" customWidth="1"/>
    <col min="4100" max="4100" width="14.5546875" style="2" bestFit="1" customWidth="1"/>
    <col min="4101" max="4101" width="19" style="2" customWidth="1"/>
    <col min="4102" max="4102" width="19.88671875" style="2" customWidth="1"/>
    <col min="4103" max="4103" width="15.44140625" style="2" customWidth="1"/>
    <col min="4104" max="4104" width="15.5546875" style="2" customWidth="1"/>
    <col min="4105" max="4106" width="0" style="2" hidden="1" customWidth="1"/>
    <col min="4107" max="4107" width="17.109375" style="2" customWidth="1"/>
    <col min="4108" max="4108" width="18.109375" style="2" customWidth="1"/>
    <col min="4109" max="4348" width="11.44140625" style="2"/>
    <col min="4349" max="4349" width="3.44140625" style="2" customWidth="1"/>
    <col min="4350" max="4351" width="12.5546875" style="2" customWidth="1"/>
    <col min="4352" max="4352" width="78.109375" style="2" customWidth="1"/>
    <col min="4353" max="4353" width="6.88671875" style="2" customWidth="1"/>
    <col min="4354" max="4354" width="8.88671875" style="2" customWidth="1"/>
    <col min="4355" max="4355" width="16.44140625" style="2" customWidth="1"/>
    <col min="4356" max="4356" width="14.5546875" style="2" bestFit="1" customWidth="1"/>
    <col min="4357" max="4357" width="19" style="2" customWidth="1"/>
    <col min="4358" max="4358" width="19.88671875" style="2" customWidth="1"/>
    <col min="4359" max="4359" width="15.44140625" style="2" customWidth="1"/>
    <col min="4360" max="4360" width="15.5546875" style="2" customWidth="1"/>
    <col min="4361" max="4362" width="0" style="2" hidden="1" customWidth="1"/>
    <col min="4363" max="4363" width="17.109375" style="2" customWidth="1"/>
    <col min="4364" max="4364" width="18.109375" style="2" customWidth="1"/>
    <col min="4365" max="4604" width="11.44140625" style="2"/>
    <col min="4605" max="4605" width="3.44140625" style="2" customWidth="1"/>
    <col min="4606" max="4607" width="12.5546875" style="2" customWidth="1"/>
    <col min="4608" max="4608" width="78.109375" style="2" customWidth="1"/>
    <col min="4609" max="4609" width="6.88671875" style="2" customWidth="1"/>
    <col min="4610" max="4610" width="8.88671875" style="2" customWidth="1"/>
    <col min="4611" max="4611" width="16.44140625" style="2" customWidth="1"/>
    <col min="4612" max="4612" width="14.5546875" style="2" bestFit="1" customWidth="1"/>
    <col min="4613" max="4613" width="19" style="2" customWidth="1"/>
    <col min="4614" max="4614" width="19.88671875" style="2" customWidth="1"/>
    <col min="4615" max="4615" width="15.44140625" style="2" customWidth="1"/>
    <col min="4616" max="4616" width="15.5546875" style="2" customWidth="1"/>
    <col min="4617" max="4618" width="0" style="2" hidden="1" customWidth="1"/>
    <col min="4619" max="4619" width="17.109375" style="2" customWidth="1"/>
    <col min="4620" max="4620" width="18.109375" style="2" customWidth="1"/>
    <col min="4621" max="4860" width="11.44140625" style="2"/>
    <col min="4861" max="4861" width="3.44140625" style="2" customWidth="1"/>
    <col min="4862" max="4863" width="12.5546875" style="2" customWidth="1"/>
    <col min="4864" max="4864" width="78.109375" style="2" customWidth="1"/>
    <col min="4865" max="4865" width="6.88671875" style="2" customWidth="1"/>
    <col min="4866" max="4866" width="8.88671875" style="2" customWidth="1"/>
    <col min="4867" max="4867" width="16.44140625" style="2" customWidth="1"/>
    <col min="4868" max="4868" width="14.5546875" style="2" bestFit="1" customWidth="1"/>
    <col min="4869" max="4869" width="19" style="2" customWidth="1"/>
    <col min="4870" max="4870" width="19.88671875" style="2" customWidth="1"/>
    <col min="4871" max="4871" width="15.44140625" style="2" customWidth="1"/>
    <col min="4872" max="4872" width="15.5546875" style="2" customWidth="1"/>
    <col min="4873" max="4874" width="0" style="2" hidden="1" customWidth="1"/>
    <col min="4875" max="4875" width="17.109375" style="2" customWidth="1"/>
    <col min="4876" max="4876" width="18.109375" style="2" customWidth="1"/>
    <col min="4877" max="5116" width="11.44140625" style="2"/>
    <col min="5117" max="5117" width="3.44140625" style="2" customWidth="1"/>
    <col min="5118" max="5119" width="12.5546875" style="2" customWidth="1"/>
    <col min="5120" max="5120" width="78.109375" style="2" customWidth="1"/>
    <col min="5121" max="5121" width="6.88671875" style="2" customWidth="1"/>
    <col min="5122" max="5122" width="8.88671875" style="2" customWidth="1"/>
    <col min="5123" max="5123" width="16.44140625" style="2" customWidth="1"/>
    <col min="5124" max="5124" width="14.5546875" style="2" bestFit="1" customWidth="1"/>
    <col min="5125" max="5125" width="19" style="2" customWidth="1"/>
    <col min="5126" max="5126" width="19.88671875" style="2" customWidth="1"/>
    <col min="5127" max="5127" width="15.44140625" style="2" customWidth="1"/>
    <col min="5128" max="5128" width="15.5546875" style="2" customWidth="1"/>
    <col min="5129" max="5130" width="0" style="2" hidden="1" customWidth="1"/>
    <col min="5131" max="5131" width="17.109375" style="2" customWidth="1"/>
    <col min="5132" max="5132" width="18.109375" style="2" customWidth="1"/>
    <col min="5133" max="5372" width="11.44140625" style="2"/>
    <col min="5373" max="5373" width="3.44140625" style="2" customWidth="1"/>
    <col min="5374" max="5375" width="12.5546875" style="2" customWidth="1"/>
    <col min="5376" max="5376" width="78.109375" style="2" customWidth="1"/>
    <col min="5377" max="5377" width="6.88671875" style="2" customWidth="1"/>
    <col min="5378" max="5378" width="8.88671875" style="2" customWidth="1"/>
    <col min="5379" max="5379" width="16.44140625" style="2" customWidth="1"/>
    <col min="5380" max="5380" width="14.5546875" style="2" bestFit="1" customWidth="1"/>
    <col min="5381" max="5381" width="19" style="2" customWidth="1"/>
    <col min="5382" max="5382" width="19.88671875" style="2" customWidth="1"/>
    <col min="5383" max="5383" width="15.44140625" style="2" customWidth="1"/>
    <col min="5384" max="5384" width="15.5546875" style="2" customWidth="1"/>
    <col min="5385" max="5386" width="0" style="2" hidden="1" customWidth="1"/>
    <col min="5387" max="5387" width="17.109375" style="2" customWidth="1"/>
    <col min="5388" max="5388" width="18.109375" style="2" customWidth="1"/>
    <col min="5389" max="5628" width="11.44140625" style="2"/>
    <col min="5629" max="5629" width="3.44140625" style="2" customWidth="1"/>
    <col min="5630" max="5631" width="12.5546875" style="2" customWidth="1"/>
    <col min="5632" max="5632" width="78.109375" style="2" customWidth="1"/>
    <col min="5633" max="5633" width="6.88671875" style="2" customWidth="1"/>
    <col min="5634" max="5634" width="8.88671875" style="2" customWidth="1"/>
    <col min="5635" max="5635" width="16.44140625" style="2" customWidth="1"/>
    <col min="5636" max="5636" width="14.5546875" style="2" bestFit="1" customWidth="1"/>
    <col min="5637" max="5637" width="19" style="2" customWidth="1"/>
    <col min="5638" max="5638" width="19.88671875" style="2" customWidth="1"/>
    <col min="5639" max="5639" width="15.44140625" style="2" customWidth="1"/>
    <col min="5640" max="5640" width="15.5546875" style="2" customWidth="1"/>
    <col min="5641" max="5642" width="0" style="2" hidden="1" customWidth="1"/>
    <col min="5643" max="5643" width="17.109375" style="2" customWidth="1"/>
    <col min="5644" max="5644" width="18.109375" style="2" customWidth="1"/>
    <col min="5645" max="5884" width="11.44140625" style="2"/>
    <col min="5885" max="5885" width="3.44140625" style="2" customWidth="1"/>
    <col min="5886" max="5887" width="12.5546875" style="2" customWidth="1"/>
    <col min="5888" max="5888" width="78.109375" style="2" customWidth="1"/>
    <col min="5889" max="5889" width="6.88671875" style="2" customWidth="1"/>
    <col min="5890" max="5890" width="8.88671875" style="2" customWidth="1"/>
    <col min="5891" max="5891" width="16.44140625" style="2" customWidth="1"/>
    <col min="5892" max="5892" width="14.5546875" style="2" bestFit="1" customWidth="1"/>
    <col min="5893" max="5893" width="19" style="2" customWidth="1"/>
    <col min="5894" max="5894" width="19.88671875" style="2" customWidth="1"/>
    <col min="5895" max="5895" width="15.44140625" style="2" customWidth="1"/>
    <col min="5896" max="5896" width="15.5546875" style="2" customWidth="1"/>
    <col min="5897" max="5898" width="0" style="2" hidden="1" customWidth="1"/>
    <col min="5899" max="5899" width="17.109375" style="2" customWidth="1"/>
    <col min="5900" max="5900" width="18.109375" style="2" customWidth="1"/>
    <col min="5901" max="6140" width="11.44140625" style="2"/>
    <col min="6141" max="6141" width="3.44140625" style="2" customWidth="1"/>
    <col min="6142" max="6143" width="12.5546875" style="2" customWidth="1"/>
    <col min="6144" max="6144" width="78.109375" style="2" customWidth="1"/>
    <col min="6145" max="6145" width="6.88671875" style="2" customWidth="1"/>
    <col min="6146" max="6146" width="8.88671875" style="2" customWidth="1"/>
    <col min="6147" max="6147" width="16.44140625" style="2" customWidth="1"/>
    <col min="6148" max="6148" width="14.5546875" style="2" bestFit="1" customWidth="1"/>
    <col min="6149" max="6149" width="19" style="2" customWidth="1"/>
    <col min="6150" max="6150" width="19.88671875" style="2" customWidth="1"/>
    <col min="6151" max="6151" width="15.44140625" style="2" customWidth="1"/>
    <col min="6152" max="6152" width="15.5546875" style="2" customWidth="1"/>
    <col min="6153" max="6154" width="0" style="2" hidden="1" customWidth="1"/>
    <col min="6155" max="6155" width="17.109375" style="2" customWidth="1"/>
    <col min="6156" max="6156" width="18.109375" style="2" customWidth="1"/>
    <col min="6157" max="6396" width="11.44140625" style="2"/>
    <col min="6397" max="6397" width="3.44140625" style="2" customWidth="1"/>
    <col min="6398" max="6399" width="12.5546875" style="2" customWidth="1"/>
    <col min="6400" max="6400" width="78.109375" style="2" customWidth="1"/>
    <col min="6401" max="6401" width="6.88671875" style="2" customWidth="1"/>
    <col min="6402" max="6402" width="8.88671875" style="2" customWidth="1"/>
    <col min="6403" max="6403" width="16.44140625" style="2" customWidth="1"/>
    <col min="6404" max="6404" width="14.5546875" style="2" bestFit="1" customWidth="1"/>
    <col min="6405" max="6405" width="19" style="2" customWidth="1"/>
    <col min="6406" max="6406" width="19.88671875" style="2" customWidth="1"/>
    <col min="6407" max="6407" width="15.44140625" style="2" customWidth="1"/>
    <col min="6408" max="6408" width="15.5546875" style="2" customWidth="1"/>
    <col min="6409" max="6410" width="0" style="2" hidden="1" customWidth="1"/>
    <col min="6411" max="6411" width="17.109375" style="2" customWidth="1"/>
    <col min="6412" max="6412" width="18.109375" style="2" customWidth="1"/>
    <col min="6413" max="6652" width="11.44140625" style="2"/>
    <col min="6653" max="6653" width="3.44140625" style="2" customWidth="1"/>
    <col min="6654" max="6655" width="12.5546875" style="2" customWidth="1"/>
    <col min="6656" max="6656" width="78.109375" style="2" customWidth="1"/>
    <col min="6657" max="6657" width="6.88671875" style="2" customWidth="1"/>
    <col min="6658" max="6658" width="8.88671875" style="2" customWidth="1"/>
    <col min="6659" max="6659" width="16.44140625" style="2" customWidth="1"/>
    <col min="6660" max="6660" width="14.5546875" style="2" bestFit="1" customWidth="1"/>
    <col min="6661" max="6661" width="19" style="2" customWidth="1"/>
    <col min="6662" max="6662" width="19.88671875" style="2" customWidth="1"/>
    <col min="6663" max="6663" width="15.44140625" style="2" customWidth="1"/>
    <col min="6664" max="6664" width="15.5546875" style="2" customWidth="1"/>
    <col min="6665" max="6666" width="0" style="2" hidden="1" customWidth="1"/>
    <col min="6667" max="6667" width="17.109375" style="2" customWidth="1"/>
    <col min="6668" max="6668" width="18.109375" style="2" customWidth="1"/>
    <col min="6669" max="6908" width="11.44140625" style="2"/>
    <col min="6909" max="6909" width="3.44140625" style="2" customWidth="1"/>
    <col min="6910" max="6911" width="12.5546875" style="2" customWidth="1"/>
    <col min="6912" max="6912" width="78.109375" style="2" customWidth="1"/>
    <col min="6913" max="6913" width="6.88671875" style="2" customWidth="1"/>
    <col min="6914" max="6914" width="8.88671875" style="2" customWidth="1"/>
    <col min="6915" max="6915" width="16.44140625" style="2" customWidth="1"/>
    <col min="6916" max="6916" width="14.5546875" style="2" bestFit="1" customWidth="1"/>
    <col min="6917" max="6917" width="19" style="2" customWidth="1"/>
    <col min="6918" max="6918" width="19.88671875" style="2" customWidth="1"/>
    <col min="6919" max="6919" width="15.44140625" style="2" customWidth="1"/>
    <col min="6920" max="6920" width="15.5546875" style="2" customWidth="1"/>
    <col min="6921" max="6922" width="0" style="2" hidden="1" customWidth="1"/>
    <col min="6923" max="6923" width="17.109375" style="2" customWidth="1"/>
    <col min="6924" max="6924" width="18.109375" style="2" customWidth="1"/>
    <col min="6925" max="7164" width="11.44140625" style="2"/>
    <col min="7165" max="7165" width="3.44140625" style="2" customWidth="1"/>
    <col min="7166" max="7167" width="12.5546875" style="2" customWidth="1"/>
    <col min="7168" max="7168" width="78.109375" style="2" customWidth="1"/>
    <col min="7169" max="7169" width="6.88671875" style="2" customWidth="1"/>
    <col min="7170" max="7170" width="8.88671875" style="2" customWidth="1"/>
    <col min="7171" max="7171" width="16.44140625" style="2" customWidth="1"/>
    <col min="7172" max="7172" width="14.5546875" style="2" bestFit="1" customWidth="1"/>
    <col min="7173" max="7173" width="19" style="2" customWidth="1"/>
    <col min="7174" max="7174" width="19.88671875" style="2" customWidth="1"/>
    <col min="7175" max="7175" width="15.44140625" style="2" customWidth="1"/>
    <col min="7176" max="7176" width="15.5546875" style="2" customWidth="1"/>
    <col min="7177" max="7178" width="0" style="2" hidden="1" customWidth="1"/>
    <col min="7179" max="7179" width="17.109375" style="2" customWidth="1"/>
    <col min="7180" max="7180" width="18.109375" style="2" customWidth="1"/>
    <col min="7181" max="7420" width="11.44140625" style="2"/>
    <col min="7421" max="7421" width="3.44140625" style="2" customWidth="1"/>
    <col min="7422" max="7423" width="12.5546875" style="2" customWidth="1"/>
    <col min="7424" max="7424" width="78.109375" style="2" customWidth="1"/>
    <col min="7425" max="7425" width="6.88671875" style="2" customWidth="1"/>
    <col min="7426" max="7426" width="8.88671875" style="2" customWidth="1"/>
    <col min="7427" max="7427" width="16.44140625" style="2" customWidth="1"/>
    <col min="7428" max="7428" width="14.5546875" style="2" bestFit="1" customWidth="1"/>
    <col min="7429" max="7429" width="19" style="2" customWidth="1"/>
    <col min="7430" max="7430" width="19.88671875" style="2" customWidth="1"/>
    <col min="7431" max="7431" width="15.44140625" style="2" customWidth="1"/>
    <col min="7432" max="7432" width="15.5546875" style="2" customWidth="1"/>
    <col min="7433" max="7434" width="0" style="2" hidden="1" customWidth="1"/>
    <col min="7435" max="7435" width="17.109375" style="2" customWidth="1"/>
    <col min="7436" max="7436" width="18.109375" style="2" customWidth="1"/>
    <col min="7437" max="7676" width="11.44140625" style="2"/>
    <col min="7677" max="7677" width="3.44140625" style="2" customWidth="1"/>
    <col min="7678" max="7679" width="12.5546875" style="2" customWidth="1"/>
    <col min="7680" max="7680" width="78.109375" style="2" customWidth="1"/>
    <col min="7681" max="7681" width="6.88671875" style="2" customWidth="1"/>
    <col min="7682" max="7682" width="8.88671875" style="2" customWidth="1"/>
    <col min="7683" max="7683" width="16.44140625" style="2" customWidth="1"/>
    <col min="7684" max="7684" width="14.5546875" style="2" bestFit="1" customWidth="1"/>
    <col min="7685" max="7685" width="19" style="2" customWidth="1"/>
    <col min="7686" max="7686" width="19.88671875" style="2" customWidth="1"/>
    <col min="7687" max="7687" width="15.44140625" style="2" customWidth="1"/>
    <col min="7688" max="7688" width="15.5546875" style="2" customWidth="1"/>
    <col min="7689" max="7690" width="0" style="2" hidden="1" customWidth="1"/>
    <col min="7691" max="7691" width="17.109375" style="2" customWidth="1"/>
    <col min="7692" max="7692" width="18.109375" style="2" customWidth="1"/>
    <col min="7693" max="7932" width="11.44140625" style="2"/>
    <col min="7933" max="7933" width="3.44140625" style="2" customWidth="1"/>
    <col min="7934" max="7935" width="12.5546875" style="2" customWidth="1"/>
    <col min="7936" max="7936" width="78.109375" style="2" customWidth="1"/>
    <col min="7937" max="7937" width="6.88671875" style="2" customWidth="1"/>
    <col min="7938" max="7938" width="8.88671875" style="2" customWidth="1"/>
    <col min="7939" max="7939" width="16.44140625" style="2" customWidth="1"/>
    <col min="7940" max="7940" width="14.5546875" style="2" bestFit="1" customWidth="1"/>
    <col min="7941" max="7941" width="19" style="2" customWidth="1"/>
    <col min="7942" max="7942" width="19.88671875" style="2" customWidth="1"/>
    <col min="7943" max="7943" width="15.44140625" style="2" customWidth="1"/>
    <col min="7944" max="7944" width="15.5546875" style="2" customWidth="1"/>
    <col min="7945" max="7946" width="0" style="2" hidden="1" customWidth="1"/>
    <col min="7947" max="7947" width="17.109375" style="2" customWidth="1"/>
    <col min="7948" max="7948" width="18.109375" style="2" customWidth="1"/>
    <col min="7949" max="8188" width="11.44140625" style="2"/>
    <col min="8189" max="8189" width="3.44140625" style="2" customWidth="1"/>
    <col min="8190" max="8191" width="12.5546875" style="2" customWidth="1"/>
    <col min="8192" max="8192" width="78.109375" style="2" customWidth="1"/>
    <col min="8193" max="8193" width="6.88671875" style="2" customWidth="1"/>
    <col min="8194" max="8194" width="8.88671875" style="2" customWidth="1"/>
    <col min="8195" max="8195" width="16.44140625" style="2" customWidth="1"/>
    <col min="8196" max="8196" width="14.5546875" style="2" bestFit="1" customWidth="1"/>
    <col min="8197" max="8197" width="19" style="2" customWidth="1"/>
    <col min="8198" max="8198" width="19.88671875" style="2" customWidth="1"/>
    <col min="8199" max="8199" width="15.44140625" style="2" customWidth="1"/>
    <col min="8200" max="8200" width="15.5546875" style="2" customWidth="1"/>
    <col min="8201" max="8202" width="0" style="2" hidden="1" customWidth="1"/>
    <col min="8203" max="8203" width="17.109375" style="2" customWidth="1"/>
    <col min="8204" max="8204" width="18.109375" style="2" customWidth="1"/>
    <col min="8205" max="8444" width="11.44140625" style="2"/>
    <col min="8445" max="8445" width="3.44140625" style="2" customWidth="1"/>
    <col min="8446" max="8447" width="12.5546875" style="2" customWidth="1"/>
    <col min="8448" max="8448" width="78.109375" style="2" customWidth="1"/>
    <col min="8449" max="8449" width="6.88671875" style="2" customWidth="1"/>
    <col min="8450" max="8450" width="8.88671875" style="2" customWidth="1"/>
    <col min="8451" max="8451" width="16.44140625" style="2" customWidth="1"/>
    <col min="8452" max="8452" width="14.5546875" style="2" bestFit="1" customWidth="1"/>
    <col min="8453" max="8453" width="19" style="2" customWidth="1"/>
    <col min="8454" max="8454" width="19.88671875" style="2" customWidth="1"/>
    <col min="8455" max="8455" width="15.44140625" style="2" customWidth="1"/>
    <col min="8456" max="8456" width="15.5546875" style="2" customWidth="1"/>
    <col min="8457" max="8458" width="0" style="2" hidden="1" customWidth="1"/>
    <col min="8459" max="8459" width="17.109375" style="2" customWidth="1"/>
    <col min="8460" max="8460" width="18.109375" style="2" customWidth="1"/>
    <col min="8461" max="8700" width="11.44140625" style="2"/>
    <col min="8701" max="8701" width="3.44140625" style="2" customWidth="1"/>
    <col min="8702" max="8703" width="12.5546875" style="2" customWidth="1"/>
    <col min="8704" max="8704" width="78.109375" style="2" customWidth="1"/>
    <col min="8705" max="8705" width="6.88671875" style="2" customWidth="1"/>
    <col min="8706" max="8706" width="8.88671875" style="2" customWidth="1"/>
    <col min="8707" max="8707" width="16.44140625" style="2" customWidth="1"/>
    <col min="8708" max="8708" width="14.5546875" style="2" bestFit="1" customWidth="1"/>
    <col min="8709" max="8709" width="19" style="2" customWidth="1"/>
    <col min="8710" max="8710" width="19.88671875" style="2" customWidth="1"/>
    <col min="8711" max="8711" width="15.44140625" style="2" customWidth="1"/>
    <col min="8712" max="8712" width="15.5546875" style="2" customWidth="1"/>
    <col min="8713" max="8714" width="0" style="2" hidden="1" customWidth="1"/>
    <col min="8715" max="8715" width="17.109375" style="2" customWidth="1"/>
    <col min="8716" max="8716" width="18.109375" style="2" customWidth="1"/>
    <col min="8717" max="8956" width="11.44140625" style="2"/>
    <col min="8957" max="8957" width="3.44140625" style="2" customWidth="1"/>
    <col min="8958" max="8959" width="12.5546875" style="2" customWidth="1"/>
    <col min="8960" max="8960" width="78.109375" style="2" customWidth="1"/>
    <col min="8961" max="8961" width="6.88671875" style="2" customWidth="1"/>
    <col min="8962" max="8962" width="8.88671875" style="2" customWidth="1"/>
    <col min="8963" max="8963" width="16.44140625" style="2" customWidth="1"/>
    <col min="8964" max="8964" width="14.5546875" style="2" bestFit="1" customWidth="1"/>
    <col min="8965" max="8965" width="19" style="2" customWidth="1"/>
    <col min="8966" max="8966" width="19.88671875" style="2" customWidth="1"/>
    <col min="8967" max="8967" width="15.44140625" style="2" customWidth="1"/>
    <col min="8968" max="8968" width="15.5546875" style="2" customWidth="1"/>
    <col min="8969" max="8970" width="0" style="2" hidden="1" customWidth="1"/>
    <col min="8971" max="8971" width="17.109375" style="2" customWidth="1"/>
    <col min="8972" max="8972" width="18.109375" style="2" customWidth="1"/>
    <col min="8973" max="9212" width="11.44140625" style="2"/>
    <col min="9213" max="9213" width="3.44140625" style="2" customWidth="1"/>
    <col min="9214" max="9215" width="12.5546875" style="2" customWidth="1"/>
    <col min="9216" max="9216" width="78.109375" style="2" customWidth="1"/>
    <col min="9217" max="9217" width="6.88671875" style="2" customWidth="1"/>
    <col min="9218" max="9218" width="8.88671875" style="2" customWidth="1"/>
    <col min="9219" max="9219" width="16.44140625" style="2" customWidth="1"/>
    <col min="9220" max="9220" width="14.5546875" style="2" bestFit="1" customWidth="1"/>
    <col min="9221" max="9221" width="19" style="2" customWidth="1"/>
    <col min="9222" max="9222" width="19.88671875" style="2" customWidth="1"/>
    <col min="9223" max="9223" width="15.44140625" style="2" customWidth="1"/>
    <col min="9224" max="9224" width="15.5546875" style="2" customWidth="1"/>
    <col min="9225" max="9226" width="0" style="2" hidden="1" customWidth="1"/>
    <col min="9227" max="9227" width="17.109375" style="2" customWidth="1"/>
    <col min="9228" max="9228" width="18.109375" style="2" customWidth="1"/>
    <col min="9229" max="9468" width="11.44140625" style="2"/>
    <col min="9469" max="9469" width="3.44140625" style="2" customWidth="1"/>
    <col min="9470" max="9471" width="12.5546875" style="2" customWidth="1"/>
    <col min="9472" max="9472" width="78.109375" style="2" customWidth="1"/>
    <col min="9473" max="9473" width="6.88671875" style="2" customWidth="1"/>
    <col min="9474" max="9474" width="8.88671875" style="2" customWidth="1"/>
    <col min="9475" max="9475" width="16.44140625" style="2" customWidth="1"/>
    <col min="9476" max="9476" width="14.5546875" style="2" bestFit="1" customWidth="1"/>
    <col min="9477" max="9477" width="19" style="2" customWidth="1"/>
    <col min="9478" max="9478" width="19.88671875" style="2" customWidth="1"/>
    <col min="9479" max="9479" width="15.44140625" style="2" customWidth="1"/>
    <col min="9480" max="9480" width="15.5546875" style="2" customWidth="1"/>
    <col min="9481" max="9482" width="0" style="2" hidden="1" customWidth="1"/>
    <col min="9483" max="9483" width="17.109375" style="2" customWidth="1"/>
    <col min="9484" max="9484" width="18.109375" style="2" customWidth="1"/>
    <col min="9485" max="9724" width="11.44140625" style="2"/>
    <col min="9725" max="9725" width="3.44140625" style="2" customWidth="1"/>
    <col min="9726" max="9727" width="12.5546875" style="2" customWidth="1"/>
    <col min="9728" max="9728" width="78.109375" style="2" customWidth="1"/>
    <col min="9729" max="9729" width="6.88671875" style="2" customWidth="1"/>
    <col min="9730" max="9730" width="8.88671875" style="2" customWidth="1"/>
    <col min="9731" max="9731" width="16.44140625" style="2" customWidth="1"/>
    <col min="9732" max="9732" width="14.5546875" style="2" bestFit="1" customWidth="1"/>
    <col min="9733" max="9733" width="19" style="2" customWidth="1"/>
    <col min="9734" max="9734" width="19.88671875" style="2" customWidth="1"/>
    <col min="9735" max="9735" width="15.44140625" style="2" customWidth="1"/>
    <col min="9736" max="9736" width="15.5546875" style="2" customWidth="1"/>
    <col min="9737" max="9738" width="0" style="2" hidden="1" customWidth="1"/>
    <col min="9739" max="9739" width="17.109375" style="2" customWidth="1"/>
    <col min="9740" max="9740" width="18.109375" style="2" customWidth="1"/>
    <col min="9741" max="9980" width="11.44140625" style="2"/>
    <col min="9981" max="9981" width="3.44140625" style="2" customWidth="1"/>
    <col min="9982" max="9983" width="12.5546875" style="2" customWidth="1"/>
    <col min="9984" max="9984" width="78.109375" style="2" customWidth="1"/>
    <col min="9985" max="9985" width="6.88671875" style="2" customWidth="1"/>
    <col min="9986" max="9986" width="8.88671875" style="2" customWidth="1"/>
    <col min="9987" max="9987" width="16.44140625" style="2" customWidth="1"/>
    <col min="9988" max="9988" width="14.5546875" style="2" bestFit="1" customWidth="1"/>
    <col min="9989" max="9989" width="19" style="2" customWidth="1"/>
    <col min="9990" max="9990" width="19.88671875" style="2" customWidth="1"/>
    <col min="9991" max="9991" width="15.44140625" style="2" customWidth="1"/>
    <col min="9992" max="9992" width="15.5546875" style="2" customWidth="1"/>
    <col min="9993" max="9994" width="0" style="2" hidden="1" customWidth="1"/>
    <col min="9995" max="9995" width="17.109375" style="2" customWidth="1"/>
    <col min="9996" max="9996" width="18.109375" style="2" customWidth="1"/>
    <col min="9997" max="10236" width="11.44140625" style="2"/>
    <col min="10237" max="10237" width="3.44140625" style="2" customWidth="1"/>
    <col min="10238" max="10239" width="12.5546875" style="2" customWidth="1"/>
    <col min="10240" max="10240" width="78.109375" style="2" customWidth="1"/>
    <col min="10241" max="10241" width="6.88671875" style="2" customWidth="1"/>
    <col min="10242" max="10242" width="8.88671875" style="2" customWidth="1"/>
    <col min="10243" max="10243" width="16.44140625" style="2" customWidth="1"/>
    <col min="10244" max="10244" width="14.5546875" style="2" bestFit="1" customWidth="1"/>
    <col min="10245" max="10245" width="19" style="2" customWidth="1"/>
    <col min="10246" max="10246" width="19.88671875" style="2" customWidth="1"/>
    <col min="10247" max="10247" width="15.44140625" style="2" customWidth="1"/>
    <col min="10248" max="10248" width="15.5546875" style="2" customWidth="1"/>
    <col min="10249" max="10250" width="0" style="2" hidden="1" customWidth="1"/>
    <col min="10251" max="10251" width="17.109375" style="2" customWidth="1"/>
    <col min="10252" max="10252" width="18.109375" style="2" customWidth="1"/>
    <col min="10253" max="10492" width="11.44140625" style="2"/>
    <col min="10493" max="10493" width="3.44140625" style="2" customWidth="1"/>
    <col min="10494" max="10495" width="12.5546875" style="2" customWidth="1"/>
    <col min="10496" max="10496" width="78.109375" style="2" customWidth="1"/>
    <col min="10497" max="10497" width="6.88671875" style="2" customWidth="1"/>
    <col min="10498" max="10498" width="8.88671875" style="2" customWidth="1"/>
    <col min="10499" max="10499" width="16.44140625" style="2" customWidth="1"/>
    <col min="10500" max="10500" width="14.5546875" style="2" bestFit="1" customWidth="1"/>
    <col min="10501" max="10501" width="19" style="2" customWidth="1"/>
    <col min="10502" max="10502" width="19.88671875" style="2" customWidth="1"/>
    <col min="10503" max="10503" width="15.44140625" style="2" customWidth="1"/>
    <col min="10504" max="10504" width="15.5546875" style="2" customWidth="1"/>
    <col min="10505" max="10506" width="0" style="2" hidden="1" customWidth="1"/>
    <col min="10507" max="10507" width="17.109375" style="2" customWidth="1"/>
    <col min="10508" max="10508" width="18.109375" style="2" customWidth="1"/>
    <col min="10509" max="10748" width="11.44140625" style="2"/>
    <col min="10749" max="10749" width="3.44140625" style="2" customWidth="1"/>
    <col min="10750" max="10751" width="12.5546875" style="2" customWidth="1"/>
    <col min="10752" max="10752" width="78.109375" style="2" customWidth="1"/>
    <col min="10753" max="10753" width="6.88671875" style="2" customWidth="1"/>
    <col min="10754" max="10754" width="8.88671875" style="2" customWidth="1"/>
    <col min="10755" max="10755" width="16.44140625" style="2" customWidth="1"/>
    <col min="10756" max="10756" width="14.5546875" style="2" bestFit="1" customWidth="1"/>
    <col min="10757" max="10757" width="19" style="2" customWidth="1"/>
    <col min="10758" max="10758" width="19.88671875" style="2" customWidth="1"/>
    <col min="10759" max="10759" width="15.44140625" style="2" customWidth="1"/>
    <col min="10760" max="10760" width="15.5546875" style="2" customWidth="1"/>
    <col min="10761" max="10762" width="0" style="2" hidden="1" customWidth="1"/>
    <col min="10763" max="10763" width="17.109375" style="2" customWidth="1"/>
    <col min="10764" max="10764" width="18.109375" style="2" customWidth="1"/>
    <col min="10765" max="11004" width="11.44140625" style="2"/>
    <col min="11005" max="11005" width="3.44140625" style="2" customWidth="1"/>
    <col min="11006" max="11007" width="12.5546875" style="2" customWidth="1"/>
    <col min="11008" max="11008" width="78.109375" style="2" customWidth="1"/>
    <col min="11009" max="11009" width="6.88671875" style="2" customWidth="1"/>
    <col min="11010" max="11010" width="8.88671875" style="2" customWidth="1"/>
    <col min="11011" max="11011" width="16.44140625" style="2" customWidth="1"/>
    <col min="11012" max="11012" width="14.5546875" style="2" bestFit="1" customWidth="1"/>
    <col min="11013" max="11013" width="19" style="2" customWidth="1"/>
    <col min="11014" max="11014" width="19.88671875" style="2" customWidth="1"/>
    <col min="11015" max="11015" width="15.44140625" style="2" customWidth="1"/>
    <col min="11016" max="11016" width="15.5546875" style="2" customWidth="1"/>
    <col min="11017" max="11018" width="0" style="2" hidden="1" customWidth="1"/>
    <col min="11019" max="11019" width="17.109375" style="2" customWidth="1"/>
    <col min="11020" max="11020" width="18.109375" style="2" customWidth="1"/>
    <col min="11021" max="11260" width="11.44140625" style="2"/>
    <col min="11261" max="11261" width="3.44140625" style="2" customWidth="1"/>
    <col min="11262" max="11263" width="12.5546875" style="2" customWidth="1"/>
    <col min="11264" max="11264" width="78.109375" style="2" customWidth="1"/>
    <col min="11265" max="11265" width="6.88671875" style="2" customWidth="1"/>
    <col min="11266" max="11266" width="8.88671875" style="2" customWidth="1"/>
    <col min="11267" max="11267" width="16.44140625" style="2" customWidth="1"/>
    <col min="11268" max="11268" width="14.5546875" style="2" bestFit="1" customWidth="1"/>
    <col min="11269" max="11269" width="19" style="2" customWidth="1"/>
    <col min="11270" max="11270" width="19.88671875" style="2" customWidth="1"/>
    <col min="11271" max="11271" width="15.44140625" style="2" customWidth="1"/>
    <col min="11272" max="11272" width="15.5546875" style="2" customWidth="1"/>
    <col min="11273" max="11274" width="0" style="2" hidden="1" customWidth="1"/>
    <col min="11275" max="11275" width="17.109375" style="2" customWidth="1"/>
    <col min="11276" max="11276" width="18.109375" style="2" customWidth="1"/>
    <col min="11277" max="11516" width="11.44140625" style="2"/>
    <col min="11517" max="11517" width="3.44140625" style="2" customWidth="1"/>
    <col min="11518" max="11519" width="12.5546875" style="2" customWidth="1"/>
    <col min="11520" max="11520" width="78.109375" style="2" customWidth="1"/>
    <col min="11521" max="11521" width="6.88671875" style="2" customWidth="1"/>
    <col min="11522" max="11522" width="8.88671875" style="2" customWidth="1"/>
    <col min="11523" max="11523" width="16.44140625" style="2" customWidth="1"/>
    <col min="11524" max="11524" width="14.5546875" style="2" bestFit="1" customWidth="1"/>
    <col min="11525" max="11525" width="19" style="2" customWidth="1"/>
    <col min="11526" max="11526" width="19.88671875" style="2" customWidth="1"/>
    <col min="11527" max="11527" width="15.44140625" style="2" customWidth="1"/>
    <col min="11528" max="11528" width="15.5546875" style="2" customWidth="1"/>
    <col min="11529" max="11530" width="0" style="2" hidden="1" customWidth="1"/>
    <col min="11531" max="11531" width="17.109375" style="2" customWidth="1"/>
    <col min="11532" max="11532" width="18.109375" style="2" customWidth="1"/>
    <col min="11533" max="11772" width="11.44140625" style="2"/>
    <col min="11773" max="11773" width="3.44140625" style="2" customWidth="1"/>
    <col min="11774" max="11775" width="12.5546875" style="2" customWidth="1"/>
    <col min="11776" max="11776" width="78.109375" style="2" customWidth="1"/>
    <col min="11777" max="11777" width="6.88671875" style="2" customWidth="1"/>
    <col min="11778" max="11778" width="8.88671875" style="2" customWidth="1"/>
    <col min="11779" max="11779" width="16.44140625" style="2" customWidth="1"/>
    <col min="11780" max="11780" width="14.5546875" style="2" bestFit="1" customWidth="1"/>
    <col min="11781" max="11781" width="19" style="2" customWidth="1"/>
    <col min="11782" max="11782" width="19.88671875" style="2" customWidth="1"/>
    <col min="11783" max="11783" width="15.44140625" style="2" customWidth="1"/>
    <col min="11784" max="11784" width="15.5546875" style="2" customWidth="1"/>
    <col min="11785" max="11786" width="0" style="2" hidden="1" customWidth="1"/>
    <col min="11787" max="11787" width="17.109375" style="2" customWidth="1"/>
    <col min="11788" max="11788" width="18.109375" style="2" customWidth="1"/>
    <col min="11789" max="12028" width="11.44140625" style="2"/>
    <col min="12029" max="12029" width="3.44140625" style="2" customWidth="1"/>
    <col min="12030" max="12031" width="12.5546875" style="2" customWidth="1"/>
    <col min="12032" max="12032" width="78.109375" style="2" customWidth="1"/>
    <col min="12033" max="12033" width="6.88671875" style="2" customWidth="1"/>
    <col min="12034" max="12034" width="8.88671875" style="2" customWidth="1"/>
    <col min="12035" max="12035" width="16.44140625" style="2" customWidth="1"/>
    <col min="12036" max="12036" width="14.5546875" style="2" bestFit="1" customWidth="1"/>
    <col min="12037" max="12037" width="19" style="2" customWidth="1"/>
    <col min="12038" max="12038" width="19.88671875" style="2" customWidth="1"/>
    <col min="12039" max="12039" width="15.44140625" style="2" customWidth="1"/>
    <col min="12040" max="12040" width="15.5546875" style="2" customWidth="1"/>
    <col min="12041" max="12042" width="0" style="2" hidden="1" customWidth="1"/>
    <col min="12043" max="12043" width="17.109375" style="2" customWidth="1"/>
    <col min="12044" max="12044" width="18.109375" style="2" customWidth="1"/>
    <col min="12045" max="12284" width="11.44140625" style="2"/>
    <col min="12285" max="12285" width="3.44140625" style="2" customWidth="1"/>
    <col min="12286" max="12287" width="12.5546875" style="2" customWidth="1"/>
    <col min="12288" max="12288" width="78.109375" style="2" customWidth="1"/>
    <col min="12289" max="12289" width="6.88671875" style="2" customWidth="1"/>
    <col min="12290" max="12290" width="8.88671875" style="2" customWidth="1"/>
    <col min="12291" max="12291" width="16.44140625" style="2" customWidth="1"/>
    <col min="12292" max="12292" width="14.5546875" style="2" bestFit="1" customWidth="1"/>
    <col min="12293" max="12293" width="19" style="2" customWidth="1"/>
    <col min="12294" max="12294" width="19.88671875" style="2" customWidth="1"/>
    <col min="12295" max="12295" width="15.44140625" style="2" customWidth="1"/>
    <col min="12296" max="12296" width="15.5546875" style="2" customWidth="1"/>
    <col min="12297" max="12298" width="0" style="2" hidden="1" customWidth="1"/>
    <col min="12299" max="12299" width="17.109375" style="2" customWidth="1"/>
    <col min="12300" max="12300" width="18.109375" style="2" customWidth="1"/>
    <col min="12301" max="12540" width="11.44140625" style="2"/>
    <col min="12541" max="12541" width="3.44140625" style="2" customWidth="1"/>
    <col min="12542" max="12543" width="12.5546875" style="2" customWidth="1"/>
    <col min="12544" max="12544" width="78.109375" style="2" customWidth="1"/>
    <col min="12545" max="12545" width="6.88671875" style="2" customWidth="1"/>
    <col min="12546" max="12546" width="8.88671875" style="2" customWidth="1"/>
    <col min="12547" max="12547" width="16.44140625" style="2" customWidth="1"/>
    <col min="12548" max="12548" width="14.5546875" style="2" bestFit="1" customWidth="1"/>
    <col min="12549" max="12549" width="19" style="2" customWidth="1"/>
    <col min="12550" max="12550" width="19.88671875" style="2" customWidth="1"/>
    <col min="12551" max="12551" width="15.44140625" style="2" customWidth="1"/>
    <col min="12552" max="12552" width="15.5546875" style="2" customWidth="1"/>
    <col min="12553" max="12554" width="0" style="2" hidden="1" customWidth="1"/>
    <col min="12555" max="12555" width="17.109375" style="2" customWidth="1"/>
    <col min="12556" max="12556" width="18.109375" style="2" customWidth="1"/>
    <col min="12557" max="12796" width="11.44140625" style="2"/>
    <col min="12797" max="12797" width="3.44140625" style="2" customWidth="1"/>
    <col min="12798" max="12799" width="12.5546875" style="2" customWidth="1"/>
    <col min="12800" max="12800" width="78.109375" style="2" customWidth="1"/>
    <col min="12801" max="12801" width="6.88671875" style="2" customWidth="1"/>
    <col min="12802" max="12802" width="8.88671875" style="2" customWidth="1"/>
    <col min="12803" max="12803" width="16.44140625" style="2" customWidth="1"/>
    <col min="12804" max="12804" width="14.5546875" style="2" bestFit="1" customWidth="1"/>
    <col min="12805" max="12805" width="19" style="2" customWidth="1"/>
    <col min="12806" max="12806" width="19.88671875" style="2" customWidth="1"/>
    <col min="12807" max="12807" width="15.44140625" style="2" customWidth="1"/>
    <col min="12808" max="12808" width="15.5546875" style="2" customWidth="1"/>
    <col min="12809" max="12810" width="0" style="2" hidden="1" customWidth="1"/>
    <col min="12811" max="12811" width="17.109375" style="2" customWidth="1"/>
    <col min="12812" max="12812" width="18.109375" style="2" customWidth="1"/>
    <col min="12813" max="13052" width="11.44140625" style="2"/>
    <col min="13053" max="13053" width="3.44140625" style="2" customWidth="1"/>
    <col min="13054" max="13055" width="12.5546875" style="2" customWidth="1"/>
    <col min="13056" max="13056" width="78.109375" style="2" customWidth="1"/>
    <col min="13057" max="13057" width="6.88671875" style="2" customWidth="1"/>
    <col min="13058" max="13058" width="8.88671875" style="2" customWidth="1"/>
    <col min="13059" max="13059" width="16.44140625" style="2" customWidth="1"/>
    <col min="13060" max="13060" width="14.5546875" style="2" bestFit="1" customWidth="1"/>
    <col min="13061" max="13061" width="19" style="2" customWidth="1"/>
    <col min="13062" max="13062" width="19.88671875" style="2" customWidth="1"/>
    <col min="13063" max="13063" width="15.44140625" style="2" customWidth="1"/>
    <col min="13064" max="13064" width="15.5546875" style="2" customWidth="1"/>
    <col min="13065" max="13066" width="0" style="2" hidden="1" customWidth="1"/>
    <col min="13067" max="13067" width="17.109375" style="2" customWidth="1"/>
    <col min="13068" max="13068" width="18.109375" style="2" customWidth="1"/>
    <col min="13069" max="13308" width="11.44140625" style="2"/>
    <col min="13309" max="13309" width="3.44140625" style="2" customWidth="1"/>
    <col min="13310" max="13311" width="12.5546875" style="2" customWidth="1"/>
    <col min="13312" max="13312" width="78.109375" style="2" customWidth="1"/>
    <col min="13313" max="13313" width="6.88671875" style="2" customWidth="1"/>
    <col min="13314" max="13314" width="8.88671875" style="2" customWidth="1"/>
    <col min="13315" max="13315" width="16.44140625" style="2" customWidth="1"/>
    <col min="13316" max="13316" width="14.5546875" style="2" bestFit="1" customWidth="1"/>
    <col min="13317" max="13317" width="19" style="2" customWidth="1"/>
    <col min="13318" max="13318" width="19.88671875" style="2" customWidth="1"/>
    <col min="13319" max="13319" width="15.44140625" style="2" customWidth="1"/>
    <col min="13320" max="13320" width="15.5546875" style="2" customWidth="1"/>
    <col min="13321" max="13322" width="0" style="2" hidden="1" customWidth="1"/>
    <col min="13323" max="13323" width="17.109375" style="2" customWidth="1"/>
    <col min="13324" max="13324" width="18.109375" style="2" customWidth="1"/>
    <col min="13325" max="13564" width="11.44140625" style="2"/>
    <col min="13565" max="13565" width="3.44140625" style="2" customWidth="1"/>
    <col min="13566" max="13567" width="12.5546875" style="2" customWidth="1"/>
    <col min="13568" max="13568" width="78.109375" style="2" customWidth="1"/>
    <col min="13569" max="13569" width="6.88671875" style="2" customWidth="1"/>
    <col min="13570" max="13570" width="8.88671875" style="2" customWidth="1"/>
    <col min="13571" max="13571" width="16.44140625" style="2" customWidth="1"/>
    <col min="13572" max="13572" width="14.5546875" style="2" bestFit="1" customWidth="1"/>
    <col min="13573" max="13573" width="19" style="2" customWidth="1"/>
    <col min="13574" max="13574" width="19.88671875" style="2" customWidth="1"/>
    <col min="13575" max="13575" width="15.44140625" style="2" customWidth="1"/>
    <col min="13576" max="13576" width="15.5546875" style="2" customWidth="1"/>
    <col min="13577" max="13578" width="0" style="2" hidden="1" customWidth="1"/>
    <col min="13579" max="13579" width="17.109375" style="2" customWidth="1"/>
    <col min="13580" max="13580" width="18.109375" style="2" customWidth="1"/>
    <col min="13581" max="13820" width="11.44140625" style="2"/>
    <col min="13821" max="13821" width="3.44140625" style="2" customWidth="1"/>
    <col min="13822" max="13823" width="12.5546875" style="2" customWidth="1"/>
    <col min="13824" max="13824" width="78.109375" style="2" customWidth="1"/>
    <col min="13825" max="13825" width="6.88671875" style="2" customWidth="1"/>
    <col min="13826" max="13826" width="8.88671875" style="2" customWidth="1"/>
    <col min="13827" max="13827" width="16.44140625" style="2" customWidth="1"/>
    <col min="13828" max="13828" width="14.5546875" style="2" bestFit="1" customWidth="1"/>
    <col min="13829" max="13829" width="19" style="2" customWidth="1"/>
    <col min="13830" max="13830" width="19.88671875" style="2" customWidth="1"/>
    <col min="13831" max="13831" width="15.44140625" style="2" customWidth="1"/>
    <col min="13832" max="13832" width="15.5546875" style="2" customWidth="1"/>
    <col min="13833" max="13834" width="0" style="2" hidden="1" customWidth="1"/>
    <col min="13835" max="13835" width="17.109375" style="2" customWidth="1"/>
    <col min="13836" max="13836" width="18.109375" style="2" customWidth="1"/>
    <col min="13837" max="14076" width="11.44140625" style="2"/>
    <col min="14077" max="14077" width="3.44140625" style="2" customWidth="1"/>
    <col min="14078" max="14079" width="12.5546875" style="2" customWidth="1"/>
    <col min="14080" max="14080" width="78.109375" style="2" customWidth="1"/>
    <col min="14081" max="14081" width="6.88671875" style="2" customWidth="1"/>
    <col min="14082" max="14082" width="8.88671875" style="2" customWidth="1"/>
    <col min="14083" max="14083" width="16.44140625" style="2" customWidth="1"/>
    <col min="14084" max="14084" width="14.5546875" style="2" bestFit="1" customWidth="1"/>
    <col min="14085" max="14085" width="19" style="2" customWidth="1"/>
    <col min="14086" max="14086" width="19.88671875" style="2" customWidth="1"/>
    <col min="14087" max="14087" width="15.44140625" style="2" customWidth="1"/>
    <col min="14088" max="14088" width="15.5546875" style="2" customWidth="1"/>
    <col min="14089" max="14090" width="0" style="2" hidden="1" customWidth="1"/>
    <col min="14091" max="14091" width="17.109375" style="2" customWidth="1"/>
    <col min="14092" max="14092" width="18.109375" style="2" customWidth="1"/>
    <col min="14093" max="14332" width="11.44140625" style="2"/>
    <col min="14333" max="14333" width="3.44140625" style="2" customWidth="1"/>
    <col min="14334" max="14335" width="12.5546875" style="2" customWidth="1"/>
    <col min="14336" max="14336" width="78.109375" style="2" customWidth="1"/>
    <col min="14337" max="14337" width="6.88671875" style="2" customWidth="1"/>
    <col min="14338" max="14338" width="8.88671875" style="2" customWidth="1"/>
    <col min="14339" max="14339" width="16.44140625" style="2" customWidth="1"/>
    <col min="14340" max="14340" width="14.5546875" style="2" bestFit="1" customWidth="1"/>
    <col min="14341" max="14341" width="19" style="2" customWidth="1"/>
    <col min="14342" max="14342" width="19.88671875" style="2" customWidth="1"/>
    <col min="14343" max="14343" width="15.44140625" style="2" customWidth="1"/>
    <col min="14344" max="14344" width="15.5546875" style="2" customWidth="1"/>
    <col min="14345" max="14346" width="0" style="2" hidden="1" customWidth="1"/>
    <col min="14347" max="14347" width="17.109375" style="2" customWidth="1"/>
    <col min="14348" max="14348" width="18.109375" style="2" customWidth="1"/>
    <col min="14349" max="14588" width="11.44140625" style="2"/>
    <col min="14589" max="14589" width="3.44140625" style="2" customWidth="1"/>
    <col min="14590" max="14591" width="12.5546875" style="2" customWidth="1"/>
    <col min="14592" max="14592" width="78.109375" style="2" customWidth="1"/>
    <col min="14593" max="14593" width="6.88671875" style="2" customWidth="1"/>
    <col min="14594" max="14594" width="8.88671875" style="2" customWidth="1"/>
    <col min="14595" max="14595" width="16.44140625" style="2" customWidth="1"/>
    <col min="14596" max="14596" width="14.5546875" style="2" bestFit="1" customWidth="1"/>
    <col min="14597" max="14597" width="19" style="2" customWidth="1"/>
    <col min="14598" max="14598" width="19.88671875" style="2" customWidth="1"/>
    <col min="14599" max="14599" width="15.44140625" style="2" customWidth="1"/>
    <col min="14600" max="14600" width="15.5546875" style="2" customWidth="1"/>
    <col min="14601" max="14602" width="0" style="2" hidden="1" customWidth="1"/>
    <col min="14603" max="14603" width="17.109375" style="2" customWidth="1"/>
    <col min="14604" max="14604" width="18.109375" style="2" customWidth="1"/>
    <col min="14605" max="14844" width="11.44140625" style="2"/>
    <col min="14845" max="14845" width="3.44140625" style="2" customWidth="1"/>
    <col min="14846" max="14847" width="12.5546875" style="2" customWidth="1"/>
    <col min="14848" max="14848" width="78.109375" style="2" customWidth="1"/>
    <col min="14849" max="14849" width="6.88671875" style="2" customWidth="1"/>
    <col min="14850" max="14850" width="8.88671875" style="2" customWidth="1"/>
    <col min="14851" max="14851" width="16.44140625" style="2" customWidth="1"/>
    <col min="14852" max="14852" width="14.5546875" style="2" bestFit="1" customWidth="1"/>
    <col min="14853" max="14853" width="19" style="2" customWidth="1"/>
    <col min="14854" max="14854" width="19.88671875" style="2" customWidth="1"/>
    <col min="14855" max="14855" width="15.44140625" style="2" customWidth="1"/>
    <col min="14856" max="14856" width="15.5546875" style="2" customWidth="1"/>
    <col min="14857" max="14858" width="0" style="2" hidden="1" customWidth="1"/>
    <col min="14859" max="14859" width="17.109375" style="2" customWidth="1"/>
    <col min="14860" max="14860" width="18.109375" style="2" customWidth="1"/>
    <col min="14861" max="15100" width="11.44140625" style="2"/>
    <col min="15101" max="15101" width="3.44140625" style="2" customWidth="1"/>
    <col min="15102" max="15103" width="12.5546875" style="2" customWidth="1"/>
    <col min="15104" max="15104" width="78.109375" style="2" customWidth="1"/>
    <col min="15105" max="15105" width="6.88671875" style="2" customWidth="1"/>
    <col min="15106" max="15106" width="8.88671875" style="2" customWidth="1"/>
    <col min="15107" max="15107" width="16.44140625" style="2" customWidth="1"/>
    <col min="15108" max="15108" width="14.5546875" style="2" bestFit="1" customWidth="1"/>
    <col min="15109" max="15109" width="19" style="2" customWidth="1"/>
    <col min="15110" max="15110" width="19.88671875" style="2" customWidth="1"/>
    <col min="15111" max="15111" width="15.44140625" style="2" customWidth="1"/>
    <col min="15112" max="15112" width="15.5546875" style="2" customWidth="1"/>
    <col min="15113" max="15114" width="0" style="2" hidden="1" customWidth="1"/>
    <col min="15115" max="15115" width="17.109375" style="2" customWidth="1"/>
    <col min="15116" max="15116" width="18.109375" style="2" customWidth="1"/>
    <col min="15117" max="15356" width="11.44140625" style="2"/>
    <col min="15357" max="15357" width="3.44140625" style="2" customWidth="1"/>
    <col min="15358" max="15359" width="12.5546875" style="2" customWidth="1"/>
    <col min="15360" max="15360" width="78.109375" style="2" customWidth="1"/>
    <col min="15361" max="15361" width="6.88671875" style="2" customWidth="1"/>
    <col min="15362" max="15362" width="8.88671875" style="2" customWidth="1"/>
    <col min="15363" max="15363" width="16.44140625" style="2" customWidth="1"/>
    <col min="15364" max="15364" width="14.5546875" style="2" bestFit="1" customWidth="1"/>
    <col min="15365" max="15365" width="19" style="2" customWidth="1"/>
    <col min="15366" max="15366" width="19.88671875" style="2" customWidth="1"/>
    <col min="15367" max="15367" width="15.44140625" style="2" customWidth="1"/>
    <col min="15368" max="15368" width="15.5546875" style="2" customWidth="1"/>
    <col min="15369" max="15370" width="0" style="2" hidden="1" customWidth="1"/>
    <col min="15371" max="15371" width="17.109375" style="2" customWidth="1"/>
    <col min="15372" max="15372" width="18.109375" style="2" customWidth="1"/>
    <col min="15373" max="15612" width="11.44140625" style="2"/>
    <col min="15613" max="15613" width="3.44140625" style="2" customWidth="1"/>
    <col min="15614" max="15615" width="12.5546875" style="2" customWidth="1"/>
    <col min="15616" max="15616" width="78.109375" style="2" customWidth="1"/>
    <col min="15617" max="15617" width="6.88671875" style="2" customWidth="1"/>
    <col min="15618" max="15618" width="8.88671875" style="2" customWidth="1"/>
    <col min="15619" max="15619" width="16.44140625" style="2" customWidth="1"/>
    <col min="15620" max="15620" width="14.5546875" style="2" bestFit="1" customWidth="1"/>
    <col min="15621" max="15621" width="19" style="2" customWidth="1"/>
    <col min="15622" max="15622" width="19.88671875" style="2" customWidth="1"/>
    <col min="15623" max="15623" width="15.44140625" style="2" customWidth="1"/>
    <col min="15624" max="15624" width="15.5546875" style="2" customWidth="1"/>
    <col min="15625" max="15626" width="0" style="2" hidden="1" customWidth="1"/>
    <col min="15627" max="15627" width="17.109375" style="2" customWidth="1"/>
    <col min="15628" max="15628" width="18.109375" style="2" customWidth="1"/>
    <col min="15629" max="15868" width="11.44140625" style="2"/>
    <col min="15869" max="15869" width="3.44140625" style="2" customWidth="1"/>
    <col min="15870" max="15871" width="12.5546875" style="2" customWidth="1"/>
    <col min="15872" max="15872" width="78.109375" style="2" customWidth="1"/>
    <col min="15873" max="15873" width="6.88671875" style="2" customWidth="1"/>
    <col min="15874" max="15874" width="8.88671875" style="2" customWidth="1"/>
    <col min="15875" max="15875" width="16.44140625" style="2" customWidth="1"/>
    <col min="15876" max="15876" width="14.5546875" style="2" bestFit="1" customWidth="1"/>
    <col min="15877" max="15877" width="19" style="2" customWidth="1"/>
    <col min="15878" max="15878" width="19.88671875" style="2" customWidth="1"/>
    <col min="15879" max="15879" width="15.44140625" style="2" customWidth="1"/>
    <col min="15880" max="15880" width="15.5546875" style="2" customWidth="1"/>
    <col min="15881" max="15882" width="0" style="2" hidden="1" customWidth="1"/>
    <col min="15883" max="15883" width="17.109375" style="2" customWidth="1"/>
    <col min="15884" max="15884" width="18.109375" style="2" customWidth="1"/>
    <col min="15885" max="16124" width="11.44140625" style="2"/>
    <col min="16125" max="16125" width="3.44140625" style="2" customWidth="1"/>
    <col min="16126" max="16127" width="12.5546875" style="2" customWidth="1"/>
    <col min="16128" max="16128" width="78.109375" style="2" customWidth="1"/>
    <col min="16129" max="16129" width="6.88671875" style="2" customWidth="1"/>
    <col min="16130" max="16130" width="8.88671875" style="2" customWidth="1"/>
    <col min="16131" max="16131" width="16.44140625" style="2" customWidth="1"/>
    <col min="16132" max="16132" width="14.5546875" style="2" bestFit="1" customWidth="1"/>
    <col min="16133" max="16133" width="19" style="2" customWidth="1"/>
    <col min="16134" max="16134" width="19.88671875" style="2" customWidth="1"/>
    <col min="16135" max="16135" width="15.44140625" style="2" customWidth="1"/>
    <col min="16136" max="16136" width="15.5546875" style="2" customWidth="1"/>
    <col min="16137" max="16138" width="0" style="2" hidden="1" customWidth="1"/>
    <col min="16139" max="16139" width="17.109375" style="2" customWidth="1"/>
    <col min="16140" max="16140" width="18.109375" style="2" customWidth="1"/>
    <col min="16141" max="16384" width="11.44140625" style="2"/>
  </cols>
  <sheetData>
    <row r="1" spans="4:22" ht="18" thickBot="1" x14ac:dyDescent="0.35">
      <c r="D1" s="4" t="s">
        <v>0</v>
      </c>
      <c r="E1" s="105" t="s">
        <v>1</v>
      </c>
      <c r="F1" s="106"/>
      <c r="G1" s="106"/>
      <c r="H1" s="107"/>
      <c r="I1" s="5"/>
      <c r="J1" s="5"/>
      <c r="K1" s="5"/>
      <c r="L1" s="5"/>
      <c r="M1" s="6" t="s">
        <v>2</v>
      </c>
      <c r="N1" s="7" t="s">
        <v>3</v>
      </c>
    </row>
    <row r="2" spans="4:22" ht="18.75" customHeight="1" thickBot="1" x14ac:dyDescent="0.3">
      <c r="D2" s="4" t="s">
        <v>4</v>
      </c>
      <c r="E2" s="108" t="s">
        <v>5</v>
      </c>
      <c r="F2" s="109"/>
      <c r="G2" s="109"/>
      <c r="H2" s="110"/>
      <c r="I2" s="5"/>
      <c r="J2" s="5"/>
      <c r="K2" s="5"/>
      <c r="L2" s="5"/>
    </row>
    <row r="3" spans="4:22" ht="18.75" customHeight="1" thickBot="1" x14ac:dyDescent="0.3">
      <c r="D3" s="4" t="s">
        <v>6</v>
      </c>
      <c r="E3" s="105" t="s">
        <v>7</v>
      </c>
      <c r="F3" s="106"/>
      <c r="G3" s="106"/>
      <c r="H3" s="107"/>
      <c r="I3" s="5"/>
      <c r="J3" s="5"/>
      <c r="K3" s="5"/>
      <c r="L3" s="5"/>
    </row>
    <row r="4" spans="4:22" ht="18.75" customHeight="1" thickBot="1" x14ac:dyDescent="0.3">
      <c r="D4" s="4" t="s">
        <v>8</v>
      </c>
      <c r="E4" s="111">
        <v>46057</v>
      </c>
      <c r="F4" s="112"/>
      <c r="G4" s="112"/>
      <c r="H4" s="113"/>
      <c r="I4" s="8"/>
      <c r="J4" s="8"/>
      <c r="K4" s="8"/>
      <c r="L4" s="8"/>
      <c r="M4" s="114"/>
      <c r="N4" s="115"/>
    </row>
    <row r="5" spans="4:22" ht="18.75" customHeight="1" x14ac:dyDescent="0.25">
      <c r="D5" s="4"/>
      <c r="E5" s="9"/>
      <c r="F5" s="10"/>
      <c r="G5" s="8"/>
      <c r="H5" s="8"/>
      <c r="I5" s="8"/>
      <c r="J5" s="8"/>
      <c r="K5" s="8"/>
      <c r="L5" s="8"/>
      <c r="M5" s="11"/>
      <c r="N5" s="12"/>
    </row>
    <row r="6" spans="4:22" ht="16.2" customHeight="1" x14ac:dyDescent="0.25">
      <c r="D6" s="4"/>
      <c r="E6" s="9"/>
      <c r="F6" s="10"/>
      <c r="G6" s="13">
        <v>202</v>
      </c>
      <c r="H6" s="13" t="s">
        <v>9</v>
      </c>
      <c r="I6" s="14">
        <f>SUM(I7:I10)</f>
        <v>0</v>
      </c>
      <c r="J6" s="8"/>
      <c r="K6" s="15"/>
      <c r="L6" s="15"/>
      <c r="M6" s="11"/>
      <c r="N6" s="12"/>
    </row>
    <row r="7" spans="4:22" ht="16.2" customHeight="1" x14ac:dyDescent="0.25">
      <c r="D7" s="4"/>
      <c r="E7" s="9"/>
      <c r="F7" s="10"/>
      <c r="G7" s="13"/>
      <c r="H7" s="13" t="s">
        <v>10</v>
      </c>
      <c r="I7" s="16"/>
      <c r="J7" s="8"/>
      <c r="K7" s="15"/>
      <c r="L7" s="15"/>
      <c r="M7" s="11"/>
      <c r="N7" s="12"/>
    </row>
    <row r="8" spans="4:22" ht="16.2" customHeight="1" x14ac:dyDescent="0.25">
      <c r="D8" s="4"/>
      <c r="E8" s="9"/>
      <c r="F8" s="10"/>
      <c r="G8" s="17">
        <v>1</v>
      </c>
      <c r="H8" s="18" t="s">
        <v>11</v>
      </c>
      <c r="I8" s="16"/>
      <c r="J8" s="8"/>
      <c r="K8" s="15"/>
      <c r="L8" s="15"/>
      <c r="M8" s="11"/>
      <c r="N8" s="12"/>
    </row>
    <row r="9" spans="4:22" ht="16.2" customHeight="1" x14ac:dyDescent="0.25">
      <c r="D9" s="4"/>
      <c r="E9" s="9"/>
      <c r="F9" s="10"/>
      <c r="G9" s="19"/>
      <c r="H9" s="18" t="s">
        <v>12</v>
      </c>
      <c r="I9" s="16"/>
      <c r="J9" s="8"/>
      <c r="K9" s="15"/>
      <c r="L9" s="15"/>
      <c r="M9" s="11"/>
      <c r="N9" s="12"/>
    </row>
    <row r="10" spans="4:22" ht="16.2" customHeight="1" x14ac:dyDescent="0.25">
      <c r="D10" s="4"/>
      <c r="E10" s="9"/>
      <c r="F10" s="10"/>
      <c r="G10" s="18"/>
      <c r="H10" s="18" t="s">
        <v>13</v>
      </c>
      <c r="I10" s="16"/>
      <c r="J10" s="8"/>
      <c r="K10" s="15"/>
      <c r="L10" s="15"/>
      <c r="M10" s="11"/>
      <c r="N10" s="12"/>
    </row>
    <row r="11" spans="4:22" ht="18.75" customHeight="1" x14ac:dyDescent="0.25">
      <c r="D11" s="4"/>
      <c r="E11" s="9"/>
      <c r="F11" s="10"/>
      <c r="G11" s="8"/>
      <c r="H11" s="8"/>
      <c r="I11" s="8"/>
      <c r="J11" s="8"/>
      <c r="K11" s="8"/>
      <c r="L11" s="8"/>
      <c r="M11" s="11"/>
      <c r="N11" s="12"/>
    </row>
    <row r="12" spans="4:22" ht="18.75" customHeight="1" thickBot="1" x14ac:dyDescent="0.35">
      <c r="D12" s="20"/>
      <c r="E12" s="21"/>
      <c r="F12" s="21"/>
      <c r="G12" s="22"/>
      <c r="H12" s="3"/>
      <c r="I12" s="3"/>
      <c r="J12" s="3"/>
      <c r="K12" s="3"/>
      <c r="L12" s="3"/>
    </row>
    <row r="13" spans="4:22" ht="18.75" customHeight="1" x14ac:dyDescent="0.3">
      <c r="D13" s="20"/>
      <c r="E13" s="21"/>
      <c r="F13" s="21"/>
      <c r="G13" s="85" t="s">
        <v>14</v>
      </c>
      <c r="H13" s="116">
        <v>900886407</v>
      </c>
      <c r="I13" s="116"/>
      <c r="J13" s="117"/>
      <c r="K13" s="85" t="s">
        <v>14</v>
      </c>
      <c r="L13" s="116" t="s">
        <v>467</v>
      </c>
      <c r="M13" s="116"/>
      <c r="N13" s="117"/>
      <c r="O13" s="85" t="s">
        <v>14</v>
      </c>
      <c r="P13" s="143" t="s">
        <v>472</v>
      </c>
      <c r="Q13" s="143"/>
      <c r="R13" s="144"/>
      <c r="S13" s="3"/>
      <c r="T13" s="3"/>
      <c r="U13" s="1"/>
      <c r="V13" s="1"/>
    </row>
    <row r="14" spans="4:22" ht="17.25" customHeight="1" x14ac:dyDescent="0.25">
      <c r="E14" s="21"/>
      <c r="F14" s="21"/>
      <c r="G14" s="86" t="s">
        <v>15</v>
      </c>
      <c r="H14" s="103" t="s">
        <v>462</v>
      </c>
      <c r="I14" s="103"/>
      <c r="J14" s="104"/>
      <c r="K14" s="86" t="s">
        <v>15</v>
      </c>
      <c r="L14" s="103" t="s">
        <v>468</v>
      </c>
      <c r="M14" s="103"/>
      <c r="N14" s="104"/>
      <c r="O14" s="86" t="s">
        <v>15</v>
      </c>
      <c r="P14" s="145" t="s">
        <v>473</v>
      </c>
      <c r="Q14" s="145"/>
      <c r="R14" s="146"/>
    </row>
    <row r="15" spans="4:22" ht="18.75" customHeight="1" x14ac:dyDescent="0.25">
      <c r="E15" s="21"/>
      <c r="F15" s="21"/>
      <c r="G15" s="86" t="s">
        <v>16</v>
      </c>
      <c r="H15" s="103" t="s">
        <v>463</v>
      </c>
      <c r="I15" s="103"/>
      <c r="J15" s="104"/>
      <c r="K15" s="86" t="s">
        <v>16</v>
      </c>
      <c r="L15" s="103" t="s">
        <v>469</v>
      </c>
      <c r="M15" s="103"/>
      <c r="N15" s="104"/>
      <c r="O15" s="86" t="s">
        <v>16</v>
      </c>
      <c r="P15" s="145" t="s">
        <v>474</v>
      </c>
      <c r="Q15" s="145"/>
      <c r="R15" s="146"/>
    </row>
    <row r="16" spans="4:22" ht="14.25" customHeight="1" x14ac:dyDescent="0.25">
      <c r="E16" s="21"/>
      <c r="F16" s="21"/>
      <c r="G16" s="86" t="s">
        <v>17</v>
      </c>
      <c r="H16" s="103" t="s">
        <v>464</v>
      </c>
      <c r="I16" s="103"/>
      <c r="J16" s="104"/>
      <c r="K16" s="86" t="s">
        <v>17</v>
      </c>
      <c r="L16" s="103" t="s">
        <v>470</v>
      </c>
      <c r="M16" s="103"/>
      <c r="N16" s="104"/>
      <c r="O16" s="86" t="s">
        <v>17</v>
      </c>
      <c r="P16" s="145" t="s">
        <v>475</v>
      </c>
      <c r="Q16" s="145"/>
      <c r="R16" s="146"/>
    </row>
    <row r="17" spans="1:20" ht="14.25" customHeight="1" thickBot="1" x14ac:dyDescent="0.3">
      <c r="E17" s="21"/>
      <c r="F17" s="21"/>
      <c r="G17" s="86" t="s">
        <v>18</v>
      </c>
      <c r="H17" s="128" t="s">
        <v>465</v>
      </c>
      <c r="I17" s="129"/>
      <c r="J17" s="130"/>
      <c r="K17" s="86" t="s">
        <v>18</v>
      </c>
      <c r="L17" s="128" t="s">
        <v>471</v>
      </c>
      <c r="M17" s="129"/>
      <c r="N17" s="130"/>
      <c r="O17" s="86" t="s">
        <v>18</v>
      </c>
      <c r="P17" s="147" t="s">
        <v>476</v>
      </c>
      <c r="Q17" s="148"/>
      <c r="R17" s="149"/>
    </row>
    <row r="18" spans="1:20" ht="44.25" customHeight="1" thickTop="1" thickBot="1" x14ac:dyDescent="0.3">
      <c r="B18" s="118" t="s">
        <v>19</v>
      </c>
      <c r="C18" s="120" t="s">
        <v>20</v>
      </c>
      <c r="D18" s="122" t="s">
        <v>21</v>
      </c>
      <c r="E18" s="124" t="s">
        <v>22</v>
      </c>
      <c r="F18" s="126" t="s">
        <v>23</v>
      </c>
      <c r="G18" s="24" t="s">
        <v>24</v>
      </c>
      <c r="H18" s="25" t="s">
        <v>25</v>
      </c>
      <c r="I18" s="25" t="s">
        <v>26</v>
      </c>
      <c r="J18" s="26" t="s">
        <v>27</v>
      </c>
      <c r="K18" s="24" t="s">
        <v>24</v>
      </c>
      <c r="L18" s="25" t="s">
        <v>25</v>
      </c>
      <c r="M18" s="25" t="s">
        <v>26</v>
      </c>
      <c r="N18" s="26" t="s">
        <v>27</v>
      </c>
      <c r="O18" s="24" t="s">
        <v>24</v>
      </c>
      <c r="P18" s="25" t="s">
        <v>25</v>
      </c>
      <c r="Q18" s="25" t="s">
        <v>26</v>
      </c>
      <c r="R18" s="26" t="s">
        <v>27</v>
      </c>
      <c r="S18" s="135" t="s">
        <v>28</v>
      </c>
      <c r="T18" s="136"/>
    </row>
    <row r="19" spans="1:20" ht="21" customHeight="1" thickBot="1" x14ac:dyDescent="0.3">
      <c r="B19" s="119"/>
      <c r="C19" s="121"/>
      <c r="D19" s="123"/>
      <c r="E19" s="125"/>
      <c r="F19" s="127"/>
      <c r="G19" s="27" t="s">
        <v>29</v>
      </c>
      <c r="H19" s="28" t="s">
        <v>29</v>
      </c>
      <c r="I19" s="28" t="s">
        <v>29</v>
      </c>
      <c r="J19" s="29"/>
      <c r="K19" s="27" t="s">
        <v>29</v>
      </c>
      <c r="L19" s="28" t="s">
        <v>29</v>
      </c>
      <c r="M19" s="28" t="s">
        <v>29</v>
      </c>
      <c r="N19" s="29"/>
      <c r="O19" s="27" t="s">
        <v>29</v>
      </c>
      <c r="P19" s="28" t="s">
        <v>29</v>
      </c>
      <c r="Q19" s="28" t="s">
        <v>29</v>
      </c>
      <c r="R19" s="29"/>
      <c r="S19" s="30" t="s">
        <v>30</v>
      </c>
      <c r="T19" s="31" t="s">
        <v>31</v>
      </c>
    </row>
    <row r="20" spans="1:20" x14ac:dyDescent="0.25">
      <c r="A20" s="32"/>
      <c r="B20" s="92" t="s">
        <v>32</v>
      </c>
      <c r="C20" s="93"/>
      <c r="D20" s="94" t="s">
        <v>33</v>
      </c>
      <c r="E20" s="95" t="s">
        <v>34</v>
      </c>
      <c r="F20" s="96">
        <v>1</v>
      </c>
      <c r="G20" s="97">
        <v>21000</v>
      </c>
      <c r="H20" s="98">
        <f>G20*1.8</f>
        <v>37800</v>
      </c>
      <c r="I20" s="98">
        <f>G20*1.35</f>
        <v>28350.000000000004</v>
      </c>
      <c r="J20" s="99"/>
      <c r="K20" s="97">
        <v>27708</v>
      </c>
      <c r="L20" s="98">
        <f>+K20*1.77</f>
        <v>49043.16</v>
      </c>
      <c r="M20" s="98">
        <f>+K20*1.35</f>
        <v>37405.800000000003</v>
      </c>
      <c r="N20" s="99"/>
      <c r="O20" s="97">
        <v>28407</v>
      </c>
      <c r="P20" s="98">
        <v>51132.6</v>
      </c>
      <c r="Q20" s="98">
        <v>38349.450000000004</v>
      </c>
      <c r="R20" s="99"/>
      <c r="S20" s="37">
        <f>SUBTOTAL(105,G20,K20,O20)</f>
        <v>21000</v>
      </c>
      <c r="T20" s="38">
        <f>SUBTOTAL(104,G20,K20,O20)</f>
        <v>28407</v>
      </c>
    </row>
    <row r="21" spans="1:20" x14ac:dyDescent="0.25">
      <c r="A21" s="32"/>
      <c r="B21" s="88" t="s">
        <v>35</v>
      </c>
      <c r="C21" s="33"/>
      <c r="D21" s="34" t="s">
        <v>36</v>
      </c>
      <c r="E21" s="35" t="s">
        <v>34</v>
      </c>
      <c r="F21" s="36">
        <v>1</v>
      </c>
      <c r="G21" s="39">
        <v>27000</v>
      </c>
      <c r="H21" s="98">
        <f t="shared" ref="H21:H84" si="0">G21*1.8</f>
        <v>48600</v>
      </c>
      <c r="I21" s="98">
        <f t="shared" ref="I21:I84" si="1">G21*1.35</f>
        <v>36450</v>
      </c>
      <c r="J21" s="41"/>
      <c r="K21" s="39">
        <v>37629</v>
      </c>
      <c r="L21" s="98">
        <f t="shared" ref="L21:L84" si="2">+K21*1.77</f>
        <v>66603.33</v>
      </c>
      <c r="M21" s="98">
        <f t="shared" ref="M21:M84" si="3">+K21*1.35</f>
        <v>50799.15</v>
      </c>
      <c r="N21" s="41"/>
      <c r="O21" s="39">
        <v>38974</v>
      </c>
      <c r="P21" s="40">
        <v>70153.2</v>
      </c>
      <c r="Q21" s="40">
        <v>52614.9</v>
      </c>
      <c r="R21" s="41"/>
      <c r="S21" s="37">
        <f t="shared" ref="S21:S84" si="4">SUBTOTAL(105,G21,K21,O21)</f>
        <v>27000</v>
      </c>
      <c r="T21" s="38">
        <f t="shared" ref="T21:T84" si="5">SUBTOTAL(104,G21,K21,O21)</f>
        <v>38974</v>
      </c>
    </row>
    <row r="22" spans="1:20" x14ac:dyDescent="0.25">
      <c r="A22" s="32"/>
      <c r="B22" s="88" t="s">
        <v>37</v>
      </c>
      <c r="C22" s="33"/>
      <c r="D22" s="34" t="s">
        <v>38</v>
      </c>
      <c r="E22" s="35" t="s">
        <v>39</v>
      </c>
      <c r="F22" s="36">
        <v>1</v>
      </c>
      <c r="G22" s="39">
        <v>2500</v>
      </c>
      <c r="H22" s="98">
        <f t="shared" si="0"/>
        <v>4500</v>
      </c>
      <c r="I22" s="98">
        <f t="shared" si="1"/>
        <v>3375</v>
      </c>
      <c r="J22" s="41"/>
      <c r="K22" s="39">
        <v>735</v>
      </c>
      <c r="L22" s="98">
        <f t="shared" si="2"/>
        <v>1300.95</v>
      </c>
      <c r="M22" s="98">
        <f t="shared" si="3"/>
        <v>992.25000000000011</v>
      </c>
      <c r="N22" s="41"/>
      <c r="O22" s="39">
        <v>755</v>
      </c>
      <c r="P22" s="40">
        <v>1359</v>
      </c>
      <c r="Q22" s="40">
        <v>1019.2500000000001</v>
      </c>
      <c r="R22" s="41"/>
      <c r="S22" s="37">
        <f t="shared" si="4"/>
        <v>735</v>
      </c>
      <c r="T22" s="38">
        <f t="shared" si="5"/>
        <v>2500</v>
      </c>
    </row>
    <row r="23" spans="1:20" x14ac:dyDescent="0.25">
      <c r="A23" s="32"/>
      <c r="B23" s="88" t="s">
        <v>40</v>
      </c>
      <c r="C23" s="33"/>
      <c r="D23" s="34" t="s">
        <v>41</v>
      </c>
      <c r="E23" s="35" t="s">
        <v>39</v>
      </c>
      <c r="F23" s="36">
        <v>1</v>
      </c>
      <c r="G23" s="39">
        <v>3400</v>
      </c>
      <c r="H23" s="98">
        <f t="shared" si="0"/>
        <v>6120</v>
      </c>
      <c r="I23" s="98">
        <f t="shared" si="1"/>
        <v>4590</v>
      </c>
      <c r="J23" s="41"/>
      <c r="K23" s="39">
        <v>1009</v>
      </c>
      <c r="L23" s="98">
        <f t="shared" si="2"/>
        <v>1785.93</v>
      </c>
      <c r="M23" s="98">
        <f t="shared" si="3"/>
        <v>1362.15</v>
      </c>
      <c r="N23" s="41"/>
      <c r="O23" s="39">
        <v>1036</v>
      </c>
      <c r="P23" s="40">
        <v>1864.8</v>
      </c>
      <c r="Q23" s="40">
        <v>1398.6000000000001</v>
      </c>
      <c r="R23" s="41"/>
      <c r="S23" s="37">
        <f t="shared" si="4"/>
        <v>1009</v>
      </c>
      <c r="T23" s="38">
        <f t="shared" si="5"/>
        <v>3400</v>
      </c>
    </row>
    <row r="24" spans="1:20" x14ac:dyDescent="0.25">
      <c r="A24" s="32"/>
      <c r="B24" s="88" t="s">
        <v>42</v>
      </c>
      <c r="C24" s="33"/>
      <c r="D24" s="34" t="s">
        <v>43</v>
      </c>
      <c r="E24" s="35" t="s">
        <v>44</v>
      </c>
      <c r="F24" s="36">
        <v>1</v>
      </c>
      <c r="G24" s="39">
        <v>260</v>
      </c>
      <c r="H24" s="98">
        <f t="shared" si="0"/>
        <v>468</v>
      </c>
      <c r="I24" s="98">
        <f t="shared" si="1"/>
        <v>351</v>
      </c>
      <c r="J24" s="41"/>
      <c r="K24" s="39">
        <v>212</v>
      </c>
      <c r="L24" s="98">
        <f t="shared" si="2"/>
        <v>375.24</v>
      </c>
      <c r="M24" s="98">
        <f t="shared" si="3"/>
        <v>286.20000000000005</v>
      </c>
      <c r="N24" s="41"/>
      <c r="O24" s="39">
        <v>192</v>
      </c>
      <c r="P24" s="40">
        <v>345.6</v>
      </c>
      <c r="Q24" s="40">
        <v>259.20000000000005</v>
      </c>
      <c r="R24" s="41"/>
      <c r="S24" s="37">
        <f t="shared" si="4"/>
        <v>192</v>
      </c>
      <c r="T24" s="38">
        <f t="shared" si="5"/>
        <v>260</v>
      </c>
    </row>
    <row r="25" spans="1:20" x14ac:dyDescent="0.25">
      <c r="A25" s="32"/>
      <c r="B25" s="88" t="s">
        <v>45</v>
      </c>
      <c r="C25" s="33"/>
      <c r="D25" s="34" t="s">
        <v>46</v>
      </c>
      <c r="E25" s="35" t="s">
        <v>44</v>
      </c>
      <c r="F25" s="36">
        <v>1</v>
      </c>
      <c r="G25" s="39">
        <v>380</v>
      </c>
      <c r="H25" s="98">
        <f t="shared" si="0"/>
        <v>684</v>
      </c>
      <c r="I25" s="98">
        <f t="shared" si="1"/>
        <v>513</v>
      </c>
      <c r="J25" s="41"/>
      <c r="K25" s="39">
        <v>222</v>
      </c>
      <c r="L25" s="98">
        <f t="shared" si="2"/>
        <v>392.94</v>
      </c>
      <c r="M25" s="98">
        <f t="shared" si="3"/>
        <v>299.70000000000005</v>
      </c>
      <c r="N25" s="41"/>
      <c r="O25" s="39">
        <v>247</v>
      </c>
      <c r="P25" s="40">
        <v>444.6</v>
      </c>
      <c r="Q25" s="40">
        <v>333.45000000000005</v>
      </c>
      <c r="R25" s="41"/>
      <c r="S25" s="37">
        <f t="shared" si="4"/>
        <v>222</v>
      </c>
      <c r="T25" s="38">
        <f t="shared" si="5"/>
        <v>380</v>
      </c>
    </row>
    <row r="26" spans="1:20" x14ac:dyDescent="0.25">
      <c r="A26" s="32"/>
      <c r="B26" s="88" t="s">
        <v>47</v>
      </c>
      <c r="C26" s="33"/>
      <c r="D26" s="34" t="s">
        <v>48</v>
      </c>
      <c r="E26" s="35" t="s">
        <v>49</v>
      </c>
      <c r="F26" s="36">
        <v>1</v>
      </c>
      <c r="G26" s="39">
        <v>42000</v>
      </c>
      <c r="H26" s="98">
        <f t="shared" si="0"/>
        <v>75600</v>
      </c>
      <c r="I26" s="98">
        <f t="shared" si="1"/>
        <v>56700.000000000007</v>
      </c>
      <c r="J26" s="41"/>
      <c r="K26" s="39">
        <v>86319</v>
      </c>
      <c r="L26" s="98">
        <f t="shared" si="2"/>
        <v>152784.63</v>
      </c>
      <c r="M26" s="98">
        <f t="shared" si="3"/>
        <v>116530.65000000001</v>
      </c>
      <c r="N26" s="41"/>
      <c r="O26" s="39">
        <v>96062</v>
      </c>
      <c r="P26" s="40">
        <v>172911.6</v>
      </c>
      <c r="Q26" s="40">
        <v>129683.70000000001</v>
      </c>
      <c r="R26" s="41"/>
      <c r="S26" s="37">
        <f t="shared" si="4"/>
        <v>42000</v>
      </c>
      <c r="T26" s="38">
        <f t="shared" si="5"/>
        <v>96062</v>
      </c>
    </row>
    <row r="27" spans="1:20" ht="45" x14ac:dyDescent="0.25">
      <c r="A27" s="32"/>
      <c r="B27" s="88" t="s">
        <v>50</v>
      </c>
      <c r="C27" s="33"/>
      <c r="D27" s="42" t="s">
        <v>51</v>
      </c>
      <c r="E27" s="35" t="s">
        <v>34</v>
      </c>
      <c r="F27" s="36">
        <v>1</v>
      </c>
      <c r="G27" s="39">
        <v>15000</v>
      </c>
      <c r="H27" s="98">
        <f t="shared" si="0"/>
        <v>27000</v>
      </c>
      <c r="I27" s="98">
        <f t="shared" si="1"/>
        <v>20250</v>
      </c>
      <c r="J27" s="41"/>
      <c r="K27" s="39">
        <v>27708</v>
      </c>
      <c r="L27" s="98">
        <f t="shared" si="2"/>
        <v>49043.16</v>
      </c>
      <c r="M27" s="98">
        <f t="shared" si="3"/>
        <v>37405.800000000003</v>
      </c>
      <c r="N27" s="41"/>
      <c r="O27" s="39">
        <v>28407</v>
      </c>
      <c r="P27" s="40">
        <v>51132.6</v>
      </c>
      <c r="Q27" s="40">
        <v>38349.450000000004</v>
      </c>
      <c r="R27" s="41"/>
      <c r="S27" s="37">
        <f t="shared" si="4"/>
        <v>15000</v>
      </c>
      <c r="T27" s="38">
        <f t="shared" si="5"/>
        <v>28407</v>
      </c>
    </row>
    <row r="28" spans="1:20" ht="45" x14ac:dyDescent="0.25">
      <c r="A28" s="32"/>
      <c r="B28" s="88" t="s">
        <v>52</v>
      </c>
      <c r="C28" s="33"/>
      <c r="D28" s="42" t="s">
        <v>53</v>
      </c>
      <c r="E28" s="35" t="s">
        <v>34</v>
      </c>
      <c r="F28" s="36">
        <v>1</v>
      </c>
      <c r="G28" s="39">
        <v>24000</v>
      </c>
      <c r="H28" s="98">
        <f t="shared" si="0"/>
        <v>43200</v>
      </c>
      <c r="I28" s="98">
        <f t="shared" si="1"/>
        <v>32400.000000000004</v>
      </c>
      <c r="J28" s="41"/>
      <c r="K28" s="39">
        <v>37629</v>
      </c>
      <c r="L28" s="98">
        <f t="shared" si="2"/>
        <v>66603.33</v>
      </c>
      <c r="M28" s="98">
        <f t="shared" si="3"/>
        <v>50799.15</v>
      </c>
      <c r="N28" s="41"/>
      <c r="O28" s="39">
        <v>38974</v>
      </c>
      <c r="P28" s="40">
        <v>70153.2</v>
      </c>
      <c r="Q28" s="40">
        <v>52614.9</v>
      </c>
      <c r="R28" s="41"/>
      <c r="S28" s="37">
        <f t="shared" si="4"/>
        <v>24000</v>
      </c>
      <c r="T28" s="38">
        <f t="shared" si="5"/>
        <v>38974</v>
      </c>
    </row>
    <row r="29" spans="1:20" x14ac:dyDescent="0.25">
      <c r="A29" s="32"/>
      <c r="B29" s="88" t="s">
        <v>54</v>
      </c>
      <c r="C29" s="33"/>
      <c r="D29" s="34" t="s">
        <v>55</v>
      </c>
      <c r="E29" s="35" t="s">
        <v>56</v>
      </c>
      <c r="F29" s="36">
        <v>1</v>
      </c>
      <c r="G29" s="39">
        <f>(22000+32000)/2</f>
        <v>27000</v>
      </c>
      <c r="H29" s="98">
        <f t="shared" si="0"/>
        <v>48600</v>
      </c>
      <c r="I29" s="98">
        <f t="shared" si="1"/>
        <v>36450</v>
      </c>
      <c r="J29" s="41"/>
      <c r="K29" s="39">
        <v>11454</v>
      </c>
      <c r="L29" s="98">
        <f t="shared" si="2"/>
        <v>20273.580000000002</v>
      </c>
      <c r="M29" s="98">
        <f t="shared" si="3"/>
        <v>15462.900000000001</v>
      </c>
      <c r="N29" s="41"/>
      <c r="O29" s="39">
        <v>12351</v>
      </c>
      <c r="P29" s="40">
        <v>22231.8</v>
      </c>
      <c r="Q29" s="40">
        <v>16673.850000000002</v>
      </c>
      <c r="R29" s="41"/>
      <c r="S29" s="37">
        <f t="shared" si="4"/>
        <v>11454</v>
      </c>
      <c r="T29" s="38">
        <f t="shared" si="5"/>
        <v>27000</v>
      </c>
    </row>
    <row r="30" spans="1:20" x14ac:dyDescent="0.25">
      <c r="A30" s="32"/>
      <c r="B30" s="88" t="s">
        <v>57</v>
      </c>
      <c r="C30" s="33"/>
      <c r="D30" s="34" t="s">
        <v>58</v>
      </c>
      <c r="E30" s="35" t="s">
        <v>59</v>
      </c>
      <c r="F30" s="36">
        <v>1</v>
      </c>
      <c r="G30" s="39">
        <v>26500</v>
      </c>
      <c r="H30" s="98">
        <f t="shared" si="0"/>
        <v>47700</v>
      </c>
      <c r="I30" s="98">
        <f t="shared" si="1"/>
        <v>35775</v>
      </c>
      <c r="J30" s="41"/>
      <c r="K30" s="39">
        <v>5115</v>
      </c>
      <c r="L30" s="98">
        <f t="shared" si="2"/>
        <v>9053.5499999999993</v>
      </c>
      <c r="M30" s="98">
        <f t="shared" si="3"/>
        <v>6905.25</v>
      </c>
      <c r="N30" s="41"/>
      <c r="O30" s="39">
        <v>3568</v>
      </c>
      <c r="P30" s="40">
        <v>6422.4000000000005</v>
      </c>
      <c r="Q30" s="40">
        <v>4816.8</v>
      </c>
      <c r="R30" s="41"/>
      <c r="S30" s="37">
        <f t="shared" si="4"/>
        <v>3568</v>
      </c>
      <c r="T30" s="38">
        <f t="shared" si="5"/>
        <v>26500</v>
      </c>
    </row>
    <row r="31" spans="1:20" x14ac:dyDescent="0.25">
      <c r="A31" s="32"/>
      <c r="B31" s="88" t="s">
        <v>60</v>
      </c>
      <c r="C31" s="33"/>
      <c r="D31" s="34" t="s">
        <v>61</v>
      </c>
      <c r="E31" s="35" t="s">
        <v>59</v>
      </c>
      <c r="F31" s="36">
        <v>1</v>
      </c>
      <c r="G31" s="39">
        <v>24000</v>
      </c>
      <c r="H31" s="98">
        <f t="shared" si="0"/>
        <v>43200</v>
      </c>
      <c r="I31" s="98">
        <f t="shared" si="1"/>
        <v>32400.000000000004</v>
      </c>
      <c r="J31" s="41"/>
      <c r="K31" s="39">
        <v>4636</v>
      </c>
      <c r="L31" s="98">
        <f t="shared" si="2"/>
        <v>8205.7199999999993</v>
      </c>
      <c r="M31" s="98">
        <f t="shared" si="3"/>
        <v>6258.6</v>
      </c>
      <c r="N31" s="41"/>
      <c r="O31" s="39">
        <v>4742</v>
      </c>
      <c r="P31" s="40">
        <v>8535.6</v>
      </c>
      <c r="Q31" s="40">
        <v>6401.7000000000007</v>
      </c>
      <c r="R31" s="41"/>
      <c r="S31" s="37">
        <f t="shared" si="4"/>
        <v>4636</v>
      </c>
      <c r="T31" s="38">
        <f t="shared" si="5"/>
        <v>24000</v>
      </c>
    </row>
    <row r="32" spans="1:20" x14ac:dyDescent="0.25">
      <c r="A32" s="32"/>
      <c r="B32" s="88" t="s">
        <v>62</v>
      </c>
      <c r="C32" s="33"/>
      <c r="D32" s="34" t="s">
        <v>63</v>
      </c>
      <c r="E32" s="35" t="s">
        <v>39</v>
      </c>
      <c r="F32" s="36">
        <v>1</v>
      </c>
      <c r="G32" s="39">
        <v>81500</v>
      </c>
      <c r="H32" s="98">
        <f t="shared" si="0"/>
        <v>146700</v>
      </c>
      <c r="I32" s="98">
        <f t="shared" si="1"/>
        <v>110025</v>
      </c>
      <c r="J32" s="41"/>
      <c r="K32" s="39">
        <v>56587</v>
      </c>
      <c r="L32" s="98">
        <f t="shared" si="2"/>
        <v>100158.99</v>
      </c>
      <c r="M32" s="98">
        <f t="shared" si="3"/>
        <v>76392.450000000012</v>
      </c>
      <c r="N32" s="41"/>
      <c r="O32" s="39">
        <v>64499</v>
      </c>
      <c r="P32" s="40">
        <v>116098.2</v>
      </c>
      <c r="Q32" s="40">
        <v>87073.650000000009</v>
      </c>
      <c r="R32" s="41"/>
      <c r="S32" s="37">
        <f t="shared" si="4"/>
        <v>56587</v>
      </c>
      <c r="T32" s="38">
        <f t="shared" si="5"/>
        <v>81500</v>
      </c>
    </row>
    <row r="33" spans="1:20" x14ac:dyDescent="0.25">
      <c r="A33" s="32"/>
      <c r="B33" s="88" t="s">
        <v>64</v>
      </c>
      <c r="C33" s="33"/>
      <c r="D33" s="34" t="s">
        <v>65</v>
      </c>
      <c r="E33" s="84" t="s">
        <v>39</v>
      </c>
      <c r="F33" s="36">
        <v>1</v>
      </c>
      <c r="G33" s="39">
        <v>92500</v>
      </c>
      <c r="H33" s="98">
        <f t="shared" si="0"/>
        <v>166500</v>
      </c>
      <c r="I33" s="98">
        <f t="shared" si="1"/>
        <v>124875.00000000001</v>
      </c>
      <c r="J33" s="41"/>
      <c r="K33" s="39">
        <v>81524</v>
      </c>
      <c r="L33" s="98">
        <f t="shared" si="2"/>
        <v>144297.48000000001</v>
      </c>
      <c r="M33" s="98">
        <f t="shared" si="3"/>
        <v>110057.40000000001</v>
      </c>
      <c r="N33" s="41"/>
      <c r="O33" s="39">
        <v>68616</v>
      </c>
      <c r="P33" s="40">
        <v>123508.8</v>
      </c>
      <c r="Q33" s="40">
        <v>92631.6</v>
      </c>
      <c r="R33" s="41"/>
      <c r="S33" s="37">
        <f t="shared" si="4"/>
        <v>68616</v>
      </c>
      <c r="T33" s="38">
        <f t="shared" si="5"/>
        <v>92500</v>
      </c>
    </row>
    <row r="34" spans="1:20" x14ac:dyDescent="0.25">
      <c r="A34" s="32"/>
      <c r="B34" s="88" t="s">
        <v>66</v>
      </c>
      <c r="C34" s="33"/>
      <c r="D34" s="34" t="s">
        <v>67</v>
      </c>
      <c r="E34" s="35" t="s">
        <v>59</v>
      </c>
      <c r="F34" s="36">
        <v>1</v>
      </c>
      <c r="G34" s="39">
        <v>23000</v>
      </c>
      <c r="H34" s="98">
        <f t="shared" si="0"/>
        <v>41400</v>
      </c>
      <c r="I34" s="98">
        <f t="shared" si="1"/>
        <v>31050.000000000004</v>
      </c>
      <c r="J34" s="41"/>
      <c r="K34" s="39">
        <v>10691</v>
      </c>
      <c r="L34" s="98">
        <f t="shared" si="2"/>
        <v>18923.07</v>
      </c>
      <c r="M34" s="98">
        <f t="shared" si="3"/>
        <v>14432.85</v>
      </c>
      <c r="N34" s="41"/>
      <c r="O34" s="39">
        <v>11527</v>
      </c>
      <c r="P34" s="40">
        <v>20748.600000000002</v>
      </c>
      <c r="Q34" s="40">
        <v>15561.45</v>
      </c>
      <c r="R34" s="41"/>
      <c r="S34" s="37">
        <f t="shared" si="4"/>
        <v>10691</v>
      </c>
      <c r="T34" s="38">
        <f t="shared" si="5"/>
        <v>23000</v>
      </c>
    </row>
    <row r="35" spans="1:20" x14ac:dyDescent="0.25">
      <c r="A35" s="32"/>
      <c r="B35" s="88" t="s">
        <v>68</v>
      </c>
      <c r="C35" s="33"/>
      <c r="D35" s="34" t="s">
        <v>69</v>
      </c>
      <c r="E35" s="35" t="s">
        <v>70</v>
      </c>
      <c r="F35" s="36">
        <v>1</v>
      </c>
      <c r="G35" s="39">
        <v>31500</v>
      </c>
      <c r="H35" s="98">
        <f t="shared" si="0"/>
        <v>56700</v>
      </c>
      <c r="I35" s="98">
        <f t="shared" si="1"/>
        <v>42525</v>
      </c>
      <c r="J35" s="41"/>
      <c r="K35" s="39">
        <v>14387</v>
      </c>
      <c r="L35" s="98">
        <f t="shared" si="2"/>
        <v>25464.99</v>
      </c>
      <c r="M35" s="98">
        <f t="shared" si="3"/>
        <v>19422.45</v>
      </c>
      <c r="N35" s="41"/>
      <c r="O35" s="39">
        <v>15095</v>
      </c>
      <c r="P35" s="40">
        <v>27171</v>
      </c>
      <c r="Q35" s="40">
        <v>20378.25</v>
      </c>
      <c r="R35" s="41"/>
      <c r="S35" s="37">
        <f t="shared" si="4"/>
        <v>14387</v>
      </c>
      <c r="T35" s="38">
        <f t="shared" si="5"/>
        <v>31500</v>
      </c>
    </row>
    <row r="36" spans="1:20" x14ac:dyDescent="0.25">
      <c r="A36" s="32"/>
      <c r="B36" s="88" t="s">
        <v>71</v>
      </c>
      <c r="C36" s="33"/>
      <c r="D36" s="34" t="s">
        <v>72</v>
      </c>
      <c r="E36" s="35" t="s">
        <v>70</v>
      </c>
      <c r="F36" s="36">
        <v>1</v>
      </c>
      <c r="G36" s="39">
        <v>18500</v>
      </c>
      <c r="H36" s="98">
        <f t="shared" si="0"/>
        <v>33300</v>
      </c>
      <c r="I36" s="98">
        <f t="shared" si="1"/>
        <v>24975</v>
      </c>
      <c r="J36" s="41"/>
      <c r="K36" s="39">
        <v>9545</v>
      </c>
      <c r="L36" s="98">
        <f t="shared" si="2"/>
        <v>16894.650000000001</v>
      </c>
      <c r="M36" s="98">
        <f t="shared" si="3"/>
        <v>12885.75</v>
      </c>
      <c r="N36" s="41"/>
      <c r="O36" s="39">
        <v>10292</v>
      </c>
      <c r="P36" s="40">
        <v>18525.600000000002</v>
      </c>
      <c r="Q36" s="40">
        <v>13894.2</v>
      </c>
      <c r="R36" s="41"/>
      <c r="S36" s="37">
        <f t="shared" si="4"/>
        <v>9545</v>
      </c>
      <c r="T36" s="38">
        <f t="shared" si="5"/>
        <v>18500</v>
      </c>
    </row>
    <row r="37" spans="1:20" x14ac:dyDescent="0.25">
      <c r="A37" s="32"/>
      <c r="B37" s="88" t="s">
        <v>73</v>
      </c>
      <c r="C37" s="33"/>
      <c r="D37" s="34" t="s">
        <v>74</v>
      </c>
      <c r="E37" s="35" t="s">
        <v>70</v>
      </c>
      <c r="F37" s="36">
        <v>1</v>
      </c>
      <c r="G37" s="39">
        <v>25000</v>
      </c>
      <c r="H37" s="98">
        <f t="shared" si="0"/>
        <v>45000</v>
      </c>
      <c r="I37" s="98">
        <f t="shared" si="1"/>
        <v>33750</v>
      </c>
      <c r="J37" s="41"/>
      <c r="K37" s="39">
        <v>10563</v>
      </c>
      <c r="L37" s="98">
        <f t="shared" si="2"/>
        <v>18696.509999999998</v>
      </c>
      <c r="M37" s="98">
        <f t="shared" si="3"/>
        <v>14260.050000000001</v>
      </c>
      <c r="N37" s="41"/>
      <c r="O37" s="39">
        <v>11390</v>
      </c>
      <c r="P37" s="40">
        <v>20502</v>
      </c>
      <c r="Q37" s="40">
        <v>15376.500000000002</v>
      </c>
      <c r="R37" s="41"/>
      <c r="S37" s="37">
        <f t="shared" si="4"/>
        <v>10563</v>
      </c>
      <c r="T37" s="38">
        <f t="shared" si="5"/>
        <v>25000</v>
      </c>
    </row>
    <row r="38" spans="1:20" x14ac:dyDescent="0.25">
      <c r="A38" s="32"/>
      <c r="B38" s="88" t="s">
        <v>75</v>
      </c>
      <c r="C38" s="33"/>
      <c r="D38" s="34" t="s">
        <v>76</v>
      </c>
      <c r="E38" s="35" t="s">
        <v>70</v>
      </c>
      <c r="F38" s="36">
        <v>1</v>
      </c>
      <c r="G38" s="39">
        <v>38000</v>
      </c>
      <c r="H38" s="98">
        <f t="shared" si="0"/>
        <v>68400</v>
      </c>
      <c r="I38" s="98">
        <f t="shared" si="1"/>
        <v>51300</v>
      </c>
      <c r="J38" s="41"/>
      <c r="K38" s="39">
        <v>18223</v>
      </c>
      <c r="L38" s="98">
        <f t="shared" si="2"/>
        <v>32254.71</v>
      </c>
      <c r="M38" s="98">
        <f t="shared" si="3"/>
        <v>24601.050000000003</v>
      </c>
      <c r="N38" s="41"/>
      <c r="O38" s="39">
        <v>19624</v>
      </c>
      <c r="P38" s="40">
        <v>35323.200000000004</v>
      </c>
      <c r="Q38" s="40">
        <v>26492.400000000001</v>
      </c>
      <c r="R38" s="41"/>
      <c r="S38" s="37">
        <f t="shared" si="4"/>
        <v>18223</v>
      </c>
      <c r="T38" s="38">
        <f t="shared" si="5"/>
        <v>38000</v>
      </c>
    </row>
    <row r="39" spans="1:20" x14ac:dyDescent="0.25">
      <c r="A39" s="32"/>
      <c r="B39" s="88" t="s">
        <v>77</v>
      </c>
      <c r="C39" s="33"/>
      <c r="D39" s="34" t="s">
        <v>78</v>
      </c>
      <c r="E39" s="35" t="s">
        <v>56</v>
      </c>
      <c r="F39" s="36">
        <v>1</v>
      </c>
      <c r="G39" s="39">
        <v>17000</v>
      </c>
      <c r="H39" s="98">
        <f t="shared" si="0"/>
        <v>30600</v>
      </c>
      <c r="I39" s="98">
        <f t="shared" si="1"/>
        <v>22950</v>
      </c>
      <c r="J39" s="41"/>
      <c r="K39" s="39">
        <v>11829</v>
      </c>
      <c r="L39" s="98">
        <f t="shared" si="2"/>
        <v>20937.330000000002</v>
      </c>
      <c r="M39" s="98">
        <f t="shared" si="3"/>
        <v>15969.150000000001</v>
      </c>
      <c r="N39" s="41"/>
      <c r="O39" s="39">
        <v>10704</v>
      </c>
      <c r="P39" s="40">
        <v>19267.2</v>
      </c>
      <c r="Q39" s="40">
        <v>14450.400000000001</v>
      </c>
      <c r="R39" s="41"/>
      <c r="S39" s="37">
        <f t="shared" si="4"/>
        <v>10704</v>
      </c>
      <c r="T39" s="38">
        <f t="shared" si="5"/>
        <v>17000</v>
      </c>
    </row>
    <row r="40" spans="1:20" x14ac:dyDescent="0.25">
      <c r="A40" s="32"/>
      <c r="B40" s="88" t="s">
        <v>79</v>
      </c>
      <c r="C40" s="33"/>
      <c r="D40" s="34" t="s">
        <v>80</v>
      </c>
      <c r="E40" s="35" t="s">
        <v>39</v>
      </c>
      <c r="F40" s="36">
        <v>1</v>
      </c>
      <c r="G40" s="39">
        <v>3500</v>
      </c>
      <c r="H40" s="98">
        <f t="shared" si="0"/>
        <v>6300</v>
      </c>
      <c r="I40" s="98">
        <f t="shared" si="1"/>
        <v>4725</v>
      </c>
      <c r="J40" s="41"/>
      <c r="K40" s="39">
        <v>5100</v>
      </c>
      <c r="L40" s="98">
        <f t="shared" si="2"/>
        <v>9027</v>
      </c>
      <c r="M40" s="98">
        <f t="shared" si="3"/>
        <v>6885</v>
      </c>
      <c r="N40" s="41"/>
      <c r="O40" s="39">
        <v>5626</v>
      </c>
      <c r="P40" s="40">
        <v>10126.800000000001</v>
      </c>
      <c r="Q40" s="40">
        <v>7595.1</v>
      </c>
      <c r="R40" s="41"/>
      <c r="S40" s="37">
        <f t="shared" si="4"/>
        <v>3500</v>
      </c>
      <c r="T40" s="38">
        <f t="shared" si="5"/>
        <v>5626</v>
      </c>
    </row>
    <row r="41" spans="1:20" x14ac:dyDescent="0.25">
      <c r="A41" s="32"/>
      <c r="B41" s="88" t="s">
        <v>81</v>
      </c>
      <c r="C41" s="33"/>
      <c r="D41" s="34" t="s">
        <v>82</v>
      </c>
      <c r="E41" s="35" t="s">
        <v>39</v>
      </c>
      <c r="F41" s="36">
        <v>1</v>
      </c>
      <c r="G41" s="39">
        <v>8750</v>
      </c>
      <c r="H41" s="98">
        <f t="shared" si="0"/>
        <v>15750</v>
      </c>
      <c r="I41" s="98">
        <f t="shared" si="1"/>
        <v>11812.5</v>
      </c>
      <c r="J41" s="41"/>
      <c r="K41" s="39">
        <v>4835</v>
      </c>
      <c r="L41" s="98">
        <f t="shared" si="2"/>
        <v>8557.9500000000007</v>
      </c>
      <c r="M41" s="98">
        <f t="shared" si="3"/>
        <v>6527.25</v>
      </c>
      <c r="N41" s="41"/>
      <c r="O41" s="39">
        <v>4391</v>
      </c>
      <c r="P41" s="40">
        <v>7903.8</v>
      </c>
      <c r="Q41" s="40">
        <v>5927.85</v>
      </c>
      <c r="R41" s="41"/>
      <c r="S41" s="37">
        <f t="shared" si="4"/>
        <v>4391</v>
      </c>
      <c r="T41" s="38">
        <f t="shared" si="5"/>
        <v>8750</v>
      </c>
    </row>
    <row r="42" spans="1:20" x14ac:dyDescent="0.25">
      <c r="A42" s="32"/>
      <c r="B42" s="88" t="s">
        <v>83</v>
      </c>
      <c r="C42" s="33"/>
      <c r="D42" s="34" t="s">
        <v>84</v>
      </c>
      <c r="E42" s="35" t="s">
        <v>85</v>
      </c>
      <c r="F42" s="36">
        <v>1</v>
      </c>
      <c r="G42" s="39">
        <v>350</v>
      </c>
      <c r="H42" s="98">
        <f t="shared" si="0"/>
        <v>630</v>
      </c>
      <c r="I42" s="98">
        <f t="shared" si="1"/>
        <v>472.50000000000006</v>
      </c>
      <c r="J42" s="41"/>
      <c r="K42" s="39">
        <v>1151</v>
      </c>
      <c r="L42" s="98">
        <f t="shared" si="2"/>
        <v>2037.27</v>
      </c>
      <c r="M42" s="98">
        <f t="shared" si="3"/>
        <v>1553.8500000000001</v>
      </c>
      <c r="N42" s="41"/>
      <c r="O42" s="39">
        <v>1166</v>
      </c>
      <c r="P42" s="40">
        <v>2098.8000000000002</v>
      </c>
      <c r="Q42" s="40">
        <v>1574.1000000000001</v>
      </c>
      <c r="R42" s="41"/>
      <c r="S42" s="37">
        <f t="shared" si="4"/>
        <v>350</v>
      </c>
      <c r="T42" s="38">
        <f t="shared" si="5"/>
        <v>1166</v>
      </c>
    </row>
    <row r="43" spans="1:20" x14ac:dyDescent="0.25">
      <c r="A43" s="32"/>
      <c r="B43" s="88" t="s">
        <v>86</v>
      </c>
      <c r="C43" s="33"/>
      <c r="D43" s="34" t="s">
        <v>87</v>
      </c>
      <c r="E43" s="35" t="s">
        <v>85</v>
      </c>
      <c r="F43" s="36">
        <v>1</v>
      </c>
      <c r="G43" s="39">
        <v>250</v>
      </c>
      <c r="H43" s="98">
        <f t="shared" si="0"/>
        <v>450</v>
      </c>
      <c r="I43" s="98">
        <f t="shared" si="1"/>
        <v>337.5</v>
      </c>
      <c r="J43" s="41"/>
      <c r="K43" s="39">
        <v>1215</v>
      </c>
      <c r="L43" s="98">
        <f t="shared" si="2"/>
        <v>2150.5500000000002</v>
      </c>
      <c r="M43" s="98">
        <f t="shared" si="3"/>
        <v>1640.25</v>
      </c>
      <c r="N43" s="41"/>
      <c r="O43" s="39">
        <v>1263</v>
      </c>
      <c r="P43" s="40">
        <v>2273.4</v>
      </c>
      <c r="Q43" s="40">
        <v>1705.0500000000002</v>
      </c>
      <c r="R43" s="41"/>
      <c r="S43" s="37">
        <f t="shared" si="4"/>
        <v>250</v>
      </c>
      <c r="T43" s="38">
        <f t="shared" si="5"/>
        <v>1263</v>
      </c>
    </row>
    <row r="44" spans="1:20" x14ac:dyDescent="0.25">
      <c r="A44" s="32"/>
      <c r="B44" s="88" t="s">
        <v>88</v>
      </c>
      <c r="C44" s="33"/>
      <c r="D44" s="34" t="s">
        <v>89</v>
      </c>
      <c r="E44" s="35" t="s">
        <v>59</v>
      </c>
      <c r="F44" s="36">
        <v>1</v>
      </c>
      <c r="G44" s="39">
        <v>12250</v>
      </c>
      <c r="H44" s="98">
        <f t="shared" si="0"/>
        <v>22050</v>
      </c>
      <c r="I44" s="98">
        <f t="shared" si="1"/>
        <v>16537.5</v>
      </c>
      <c r="J44" s="41"/>
      <c r="K44" s="39">
        <v>6010</v>
      </c>
      <c r="L44" s="98">
        <f t="shared" si="2"/>
        <v>10637.7</v>
      </c>
      <c r="M44" s="98">
        <f t="shared" si="3"/>
        <v>8113.5000000000009</v>
      </c>
      <c r="N44" s="41"/>
      <c r="O44" s="39">
        <v>6862</v>
      </c>
      <c r="P44" s="40">
        <v>12351.6</v>
      </c>
      <c r="Q44" s="40">
        <v>9263.7000000000007</v>
      </c>
      <c r="R44" s="41"/>
      <c r="S44" s="37">
        <f t="shared" si="4"/>
        <v>6010</v>
      </c>
      <c r="T44" s="38">
        <f t="shared" si="5"/>
        <v>12250</v>
      </c>
    </row>
    <row r="45" spans="1:20" x14ac:dyDescent="0.25">
      <c r="A45" s="32"/>
      <c r="B45" s="88" t="s">
        <v>90</v>
      </c>
      <c r="C45" s="33"/>
      <c r="D45" s="34" t="s">
        <v>91</v>
      </c>
      <c r="E45" s="35" t="s">
        <v>39</v>
      </c>
      <c r="F45" s="36">
        <v>1</v>
      </c>
      <c r="G45" s="39">
        <v>36500</v>
      </c>
      <c r="H45" s="98">
        <f t="shared" si="0"/>
        <v>65700</v>
      </c>
      <c r="I45" s="98">
        <f t="shared" si="1"/>
        <v>49275</v>
      </c>
      <c r="J45" s="41"/>
      <c r="K45" s="39">
        <v>48363</v>
      </c>
      <c r="L45" s="98">
        <f t="shared" si="2"/>
        <v>85602.51</v>
      </c>
      <c r="M45" s="98">
        <f t="shared" si="3"/>
        <v>65290.05</v>
      </c>
      <c r="N45" s="41"/>
      <c r="O45" s="39">
        <v>52148</v>
      </c>
      <c r="P45" s="40">
        <v>93866.400000000009</v>
      </c>
      <c r="Q45" s="40">
        <v>70399.8</v>
      </c>
      <c r="R45" s="41"/>
      <c r="S45" s="37">
        <f t="shared" si="4"/>
        <v>36500</v>
      </c>
      <c r="T45" s="38">
        <f t="shared" si="5"/>
        <v>52148</v>
      </c>
    </row>
    <row r="46" spans="1:20" x14ac:dyDescent="0.25">
      <c r="A46" s="32"/>
      <c r="B46" s="88" t="s">
        <v>92</v>
      </c>
      <c r="C46" s="33"/>
      <c r="D46" s="34" t="s">
        <v>93</v>
      </c>
      <c r="E46" s="35" t="s">
        <v>94</v>
      </c>
      <c r="F46" s="36">
        <v>1</v>
      </c>
      <c r="G46" s="39">
        <v>17000</v>
      </c>
      <c r="H46" s="98">
        <f t="shared" si="0"/>
        <v>30600</v>
      </c>
      <c r="I46" s="98">
        <f t="shared" si="1"/>
        <v>22950</v>
      </c>
      <c r="J46" s="41"/>
      <c r="K46" s="39">
        <v>5836</v>
      </c>
      <c r="L46" s="98">
        <f t="shared" si="2"/>
        <v>10329.719999999999</v>
      </c>
      <c r="M46" s="98">
        <f t="shared" si="3"/>
        <v>7878.6</v>
      </c>
      <c r="N46" s="41"/>
      <c r="O46" s="39">
        <v>5215</v>
      </c>
      <c r="P46" s="40">
        <v>9387</v>
      </c>
      <c r="Q46" s="40">
        <v>7040.2500000000009</v>
      </c>
      <c r="R46" s="41"/>
      <c r="S46" s="37">
        <f t="shared" si="4"/>
        <v>5215</v>
      </c>
      <c r="T46" s="38">
        <f t="shared" si="5"/>
        <v>17000</v>
      </c>
    </row>
    <row r="47" spans="1:20" x14ac:dyDescent="0.25">
      <c r="A47" s="32"/>
      <c r="B47" s="88" t="s">
        <v>95</v>
      </c>
      <c r="C47" s="33"/>
      <c r="D47" s="34" t="s">
        <v>96</v>
      </c>
      <c r="E47" s="35" t="s">
        <v>59</v>
      </c>
      <c r="F47" s="36">
        <v>1</v>
      </c>
      <c r="G47" s="39">
        <v>1350</v>
      </c>
      <c r="H47" s="98">
        <f t="shared" si="0"/>
        <v>2430</v>
      </c>
      <c r="I47" s="98">
        <f t="shared" si="1"/>
        <v>1822.5000000000002</v>
      </c>
      <c r="J47" s="41"/>
      <c r="K47" s="39">
        <v>4116</v>
      </c>
      <c r="L47" s="98">
        <f t="shared" si="2"/>
        <v>7285.32</v>
      </c>
      <c r="M47" s="98">
        <f t="shared" si="3"/>
        <v>5556.6</v>
      </c>
      <c r="N47" s="41"/>
      <c r="O47" s="39">
        <v>4117</v>
      </c>
      <c r="P47" s="40">
        <v>7410.6</v>
      </c>
      <c r="Q47" s="40">
        <v>5557.9500000000007</v>
      </c>
      <c r="R47" s="41"/>
      <c r="S47" s="37">
        <f t="shared" si="4"/>
        <v>1350</v>
      </c>
      <c r="T47" s="38">
        <f t="shared" si="5"/>
        <v>4117</v>
      </c>
    </row>
    <row r="48" spans="1:20" x14ac:dyDescent="0.25">
      <c r="A48" s="32"/>
      <c r="B48" s="88" t="s">
        <v>97</v>
      </c>
      <c r="C48" s="33"/>
      <c r="D48" s="34" t="s">
        <v>98</v>
      </c>
      <c r="E48" s="35" t="s">
        <v>39</v>
      </c>
      <c r="F48" s="36">
        <v>1</v>
      </c>
      <c r="G48" s="39">
        <v>22250</v>
      </c>
      <c r="H48" s="98">
        <f t="shared" si="0"/>
        <v>40050</v>
      </c>
      <c r="I48" s="98">
        <f t="shared" si="1"/>
        <v>30037.500000000004</v>
      </c>
      <c r="J48" s="41"/>
      <c r="K48" s="39">
        <v>15346</v>
      </c>
      <c r="L48" s="98">
        <f t="shared" si="2"/>
        <v>27162.420000000002</v>
      </c>
      <c r="M48" s="98">
        <f t="shared" si="3"/>
        <v>20717.100000000002</v>
      </c>
      <c r="N48" s="41"/>
      <c r="O48" s="39">
        <v>15095</v>
      </c>
      <c r="P48" s="40">
        <v>27171</v>
      </c>
      <c r="Q48" s="40">
        <v>20378.25</v>
      </c>
      <c r="R48" s="41"/>
      <c r="S48" s="37">
        <f t="shared" si="4"/>
        <v>15095</v>
      </c>
      <c r="T48" s="38">
        <f t="shared" si="5"/>
        <v>22250</v>
      </c>
    </row>
    <row r="49" spans="1:20" x14ac:dyDescent="0.25">
      <c r="A49" s="32"/>
      <c r="B49" s="88" t="s">
        <v>99</v>
      </c>
      <c r="C49" s="33"/>
      <c r="D49" s="34" t="s">
        <v>100</v>
      </c>
      <c r="E49" s="35" t="s">
        <v>59</v>
      </c>
      <c r="F49" s="36">
        <v>1</v>
      </c>
      <c r="G49" s="39">
        <v>60000</v>
      </c>
      <c r="H49" s="98">
        <f t="shared" si="0"/>
        <v>108000</v>
      </c>
      <c r="I49" s="98">
        <f t="shared" si="1"/>
        <v>81000</v>
      </c>
      <c r="J49" s="41"/>
      <c r="K49" s="39">
        <v>20338</v>
      </c>
      <c r="L49" s="98">
        <f t="shared" si="2"/>
        <v>35998.26</v>
      </c>
      <c r="M49" s="98">
        <f t="shared" si="3"/>
        <v>27456.300000000003</v>
      </c>
      <c r="N49" s="41"/>
      <c r="O49" s="39">
        <v>19212</v>
      </c>
      <c r="P49" s="40">
        <v>34581.599999999999</v>
      </c>
      <c r="Q49" s="40">
        <v>25936.2</v>
      </c>
      <c r="R49" s="41"/>
      <c r="S49" s="37">
        <f t="shared" si="4"/>
        <v>19212</v>
      </c>
      <c r="T49" s="38">
        <f t="shared" si="5"/>
        <v>60000</v>
      </c>
    </row>
    <row r="50" spans="1:20" x14ac:dyDescent="0.25">
      <c r="A50" s="32"/>
      <c r="B50" s="88" t="s">
        <v>101</v>
      </c>
      <c r="C50" s="33"/>
      <c r="D50" s="34" t="s">
        <v>102</v>
      </c>
      <c r="E50" s="35" t="s">
        <v>59</v>
      </c>
      <c r="F50" s="36">
        <v>1</v>
      </c>
      <c r="G50" s="39">
        <v>18500</v>
      </c>
      <c r="H50" s="98">
        <f t="shared" si="0"/>
        <v>33300</v>
      </c>
      <c r="I50" s="98">
        <f t="shared" si="1"/>
        <v>24975</v>
      </c>
      <c r="J50" s="41"/>
      <c r="K50" s="39">
        <v>18810</v>
      </c>
      <c r="L50" s="98">
        <f t="shared" si="2"/>
        <v>33293.699999999997</v>
      </c>
      <c r="M50" s="98">
        <f t="shared" si="3"/>
        <v>25393.5</v>
      </c>
      <c r="N50" s="41"/>
      <c r="O50" s="39">
        <v>19912</v>
      </c>
      <c r="P50" s="40">
        <v>35841.599999999999</v>
      </c>
      <c r="Q50" s="40">
        <v>26881.200000000001</v>
      </c>
      <c r="R50" s="41"/>
      <c r="S50" s="37">
        <f t="shared" si="4"/>
        <v>18500</v>
      </c>
      <c r="T50" s="38">
        <f t="shared" si="5"/>
        <v>19912</v>
      </c>
    </row>
    <row r="51" spans="1:20" x14ac:dyDescent="0.25">
      <c r="A51" s="32"/>
      <c r="B51" s="88" t="s">
        <v>103</v>
      </c>
      <c r="C51" s="33"/>
      <c r="D51" s="34" t="s">
        <v>104</v>
      </c>
      <c r="E51" s="35" t="s">
        <v>59</v>
      </c>
      <c r="F51" s="36">
        <v>1</v>
      </c>
      <c r="G51" s="39">
        <v>51500</v>
      </c>
      <c r="H51" s="98">
        <f t="shared" si="0"/>
        <v>92700</v>
      </c>
      <c r="I51" s="98">
        <f t="shared" si="1"/>
        <v>69525</v>
      </c>
      <c r="J51" s="41"/>
      <c r="K51" s="39">
        <v>15346</v>
      </c>
      <c r="L51" s="98">
        <f t="shared" si="2"/>
        <v>27162.420000000002</v>
      </c>
      <c r="M51" s="98">
        <f t="shared" si="3"/>
        <v>20717.100000000002</v>
      </c>
      <c r="N51" s="41"/>
      <c r="O51" s="39">
        <v>16879</v>
      </c>
      <c r="P51" s="40">
        <v>30382.2</v>
      </c>
      <c r="Q51" s="40">
        <v>22786.65</v>
      </c>
      <c r="R51" s="41"/>
      <c r="S51" s="37">
        <f t="shared" si="4"/>
        <v>15346</v>
      </c>
      <c r="T51" s="38">
        <f t="shared" si="5"/>
        <v>51500</v>
      </c>
    </row>
    <row r="52" spans="1:20" x14ac:dyDescent="0.25">
      <c r="A52" s="32"/>
      <c r="B52" s="88" t="s">
        <v>105</v>
      </c>
      <c r="C52" s="33"/>
      <c r="D52" s="34" t="s">
        <v>106</v>
      </c>
      <c r="E52" s="35" t="s">
        <v>39</v>
      </c>
      <c r="F52" s="36">
        <v>1</v>
      </c>
      <c r="G52" s="39">
        <v>22250</v>
      </c>
      <c r="H52" s="98">
        <f t="shared" si="0"/>
        <v>40050</v>
      </c>
      <c r="I52" s="98">
        <f t="shared" si="1"/>
        <v>30037.500000000004</v>
      </c>
      <c r="J52" s="41"/>
      <c r="K52" s="39">
        <v>13990</v>
      </c>
      <c r="L52" s="98">
        <f t="shared" si="2"/>
        <v>24762.3</v>
      </c>
      <c r="M52" s="98">
        <f t="shared" si="3"/>
        <v>18886.5</v>
      </c>
      <c r="N52" s="41"/>
      <c r="O52" s="39">
        <v>15095</v>
      </c>
      <c r="P52" s="40">
        <v>27171</v>
      </c>
      <c r="Q52" s="40">
        <v>20378.25</v>
      </c>
      <c r="R52" s="41"/>
      <c r="S52" s="37">
        <f t="shared" si="4"/>
        <v>13990</v>
      </c>
      <c r="T52" s="38">
        <f t="shared" si="5"/>
        <v>22250</v>
      </c>
    </row>
    <row r="53" spans="1:20" x14ac:dyDescent="0.25">
      <c r="A53" s="32"/>
      <c r="B53" s="88" t="s">
        <v>107</v>
      </c>
      <c r="C53" s="33"/>
      <c r="D53" s="34" t="s">
        <v>108</v>
      </c>
      <c r="E53" s="35" t="s">
        <v>59</v>
      </c>
      <c r="F53" s="36">
        <v>1</v>
      </c>
      <c r="G53" s="39">
        <v>8250</v>
      </c>
      <c r="H53" s="98">
        <f t="shared" si="0"/>
        <v>14850</v>
      </c>
      <c r="I53" s="98">
        <f t="shared" si="1"/>
        <v>11137.5</v>
      </c>
      <c r="J53" s="41"/>
      <c r="K53" s="39">
        <v>7357</v>
      </c>
      <c r="L53" s="98">
        <f t="shared" si="2"/>
        <v>13021.89</v>
      </c>
      <c r="M53" s="98">
        <f t="shared" si="3"/>
        <v>9931.9500000000007</v>
      </c>
      <c r="N53" s="41"/>
      <c r="O53" s="39">
        <v>7959</v>
      </c>
      <c r="P53" s="40">
        <v>14326.2</v>
      </c>
      <c r="Q53" s="40">
        <v>10744.650000000001</v>
      </c>
      <c r="R53" s="41"/>
      <c r="S53" s="37">
        <f t="shared" si="4"/>
        <v>7357</v>
      </c>
      <c r="T53" s="38">
        <f t="shared" si="5"/>
        <v>8250</v>
      </c>
    </row>
    <row r="54" spans="1:20" x14ac:dyDescent="0.25">
      <c r="A54" s="32"/>
      <c r="B54" s="88" t="s">
        <v>109</v>
      </c>
      <c r="C54" s="33"/>
      <c r="D54" s="34" t="s">
        <v>110</v>
      </c>
      <c r="E54" s="35" t="s">
        <v>59</v>
      </c>
      <c r="F54" s="36">
        <v>1</v>
      </c>
      <c r="G54" s="39">
        <v>18500</v>
      </c>
      <c r="H54" s="98">
        <f t="shared" si="0"/>
        <v>33300</v>
      </c>
      <c r="I54" s="98">
        <f t="shared" si="1"/>
        <v>24975</v>
      </c>
      <c r="J54" s="41"/>
      <c r="K54" s="39">
        <v>9400</v>
      </c>
      <c r="L54" s="98">
        <f t="shared" si="2"/>
        <v>16638</v>
      </c>
      <c r="M54" s="98">
        <f t="shared" si="3"/>
        <v>12690</v>
      </c>
      <c r="N54" s="41"/>
      <c r="O54" s="39">
        <v>10430</v>
      </c>
      <c r="P54" s="40">
        <v>18774</v>
      </c>
      <c r="Q54" s="40">
        <v>14080.500000000002</v>
      </c>
      <c r="R54" s="41"/>
      <c r="S54" s="37">
        <f t="shared" si="4"/>
        <v>9400</v>
      </c>
      <c r="T54" s="38">
        <f t="shared" si="5"/>
        <v>18500</v>
      </c>
    </row>
    <row r="55" spans="1:20" x14ac:dyDescent="0.25">
      <c r="A55" s="32"/>
      <c r="B55" s="88" t="s">
        <v>111</v>
      </c>
      <c r="C55" s="33"/>
      <c r="D55" s="34" t="s">
        <v>112</v>
      </c>
      <c r="E55" s="35" t="s">
        <v>39</v>
      </c>
      <c r="F55" s="36">
        <v>1</v>
      </c>
      <c r="G55" s="39">
        <v>9250</v>
      </c>
      <c r="H55" s="98">
        <f t="shared" si="0"/>
        <v>16650</v>
      </c>
      <c r="I55" s="98">
        <f t="shared" si="1"/>
        <v>12487.5</v>
      </c>
      <c r="J55" s="41"/>
      <c r="K55" s="39">
        <v>14540</v>
      </c>
      <c r="L55" s="98">
        <f t="shared" si="2"/>
        <v>25735.8</v>
      </c>
      <c r="M55" s="98">
        <f t="shared" si="3"/>
        <v>19629</v>
      </c>
      <c r="N55" s="41"/>
      <c r="O55" s="39">
        <v>15919</v>
      </c>
      <c r="P55" s="40">
        <v>28654.2</v>
      </c>
      <c r="Q55" s="40">
        <v>21490.65</v>
      </c>
      <c r="R55" s="41"/>
      <c r="S55" s="37">
        <f t="shared" si="4"/>
        <v>9250</v>
      </c>
      <c r="T55" s="38">
        <f t="shared" si="5"/>
        <v>15919</v>
      </c>
    </row>
    <row r="56" spans="1:20" x14ac:dyDescent="0.25">
      <c r="A56" s="32"/>
      <c r="B56" s="88" t="s">
        <v>113</v>
      </c>
      <c r="C56" s="33"/>
      <c r="D56" s="34" t="s">
        <v>114</v>
      </c>
      <c r="E56" s="35" t="s">
        <v>59</v>
      </c>
      <c r="F56" s="36">
        <v>1</v>
      </c>
      <c r="G56" s="39">
        <v>13500</v>
      </c>
      <c r="H56" s="98">
        <f t="shared" si="0"/>
        <v>24300</v>
      </c>
      <c r="I56" s="98">
        <f t="shared" si="1"/>
        <v>18225</v>
      </c>
      <c r="J56" s="41"/>
      <c r="K56" s="39">
        <v>6364</v>
      </c>
      <c r="L56" s="98">
        <f t="shared" si="2"/>
        <v>11264.28</v>
      </c>
      <c r="M56" s="98">
        <f t="shared" si="3"/>
        <v>8591.4000000000015</v>
      </c>
      <c r="N56" s="41"/>
      <c r="O56" s="39">
        <v>6862</v>
      </c>
      <c r="P56" s="40">
        <v>12351.6</v>
      </c>
      <c r="Q56" s="40">
        <v>9263.7000000000007</v>
      </c>
      <c r="R56" s="41"/>
      <c r="S56" s="37">
        <f t="shared" si="4"/>
        <v>6364</v>
      </c>
      <c r="T56" s="38">
        <f t="shared" si="5"/>
        <v>13500</v>
      </c>
    </row>
    <row r="57" spans="1:20" x14ac:dyDescent="0.25">
      <c r="A57" s="32"/>
      <c r="B57" s="88" t="s">
        <v>115</v>
      </c>
      <c r="C57" s="33"/>
      <c r="D57" s="34" t="s">
        <v>116</v>
      </c>
      <c r="E57" s="35" t="s">
        <v>39</v>
      </c>
      <c r="F57" s="36">
        <v>1</v>
      </c>
      <c r="G57" s="39">
        <v>21000</v>
      </c>
      <c r="H57" s="98">
        <f t="shared" si="0"/>
        <v>37800</v>
      </c>
      <c r="I57" s="98">
        <f t="shared" si="1"/>
        <v>28350.000000000004</v>
      </c>
      <c r="J57" s="41"/>
      <c r="K57" s="39">
        <v>11670</v>
      </c>
      <c r="L57" s="98">
        <f t="shared" si="2"/>
        <v>20655.900000000001</v>
      </c>
      <c r="M57" s="98">
        <f t="shared" si="3"/>
        <v>15754.500000000002</v>
      </c>
      <c r="N57" s="41"/>
      <c r="O57" s="39">
        <v>12763</v>
      </c>
      <c r="P57" s="40">
        <v>22973.4</v>
      </c>
      <c r="Q57" s="40">
        <v>17230.050000000003</v>
      </c>
      <c r="R57" s="41"/>
      <c r="S57" s="37">
        <f t="shared" si="4"/>
        <v>11670</v>
      </c>
      <c r="T57" s="38">
        <f t="shared" si="5"/>
        <v>21000</v>
      </c>
    </row>
    <row r="58" spans="1:20" x14ac:dyDescent="0.25">
      <c r="A58" s="32"/>
      <c r="B58" s="88" t="s">
        <v>117</v>
      </c>
      <c r="C58" s="33"/>
      <c r="D58" s="34" t="s">
        <v>118</v>
      </c>
      <c r="E58" s="35" t="s">
        <v>39</v>
      </c>
      <c r="F58" s="36">
        <v>1</v>
      </c>
      <c r="G58" s="39">
        <v>30000</v>
      </c>
      <c r="H58" s="98">
        <f t="shared" si="0"/>
        <v>54000</v>
      </c>
      <c r="I58" s="98">
        <f t="shared" si="1"/>
        <v>40500</v>
      </c>
      <c r="J58" s="41"/>
      <c r="K58" s="39">
        <v>22530</v>
      </c>
      <c r="L58" s="98">
        <f t="shared" si="2"/>
        <v>39878.1</v>
      </c>
      <c r="M58" s="98">
        <f t="shared" si="3"/>
        <v>30415.500000000004</v>
      </c>
      <c r="N58" s="41"/>
      <c r="O58" s="39">
        <v>21683</v>
      </c>
      <c r="P58" s="40">
        <v>39029.4</v>
      </c>
      <c r="Q58" s="40">
        <v>29272.050000000003</v>
      </c>
      <c r="R58" s="41"/>
      <c r="S58" s="37">
        <f t="shared" si="4"/>
        <v>21683</v>
      </c>
      <c r="T58" s="38">
        <f t="shared" si="5"/>
        <v>30000</v>
      </c>
    </row>
    <row r="59" spans="1:20" x14ac:dyDescent="0.25">
      <c r="A59" s="32"/>
      <c r="B59" s="88" t="s">
        <v>119</v>
      </c>
      <c r="C59" s="33"/>
      <c r="D59" s="34" t="s">
        <v>120</v>
      </c>
      <c r="E59" s="35" t="s">
        <v>59</v>
      </c>
      <c r="F59" s="36">
        <v>1</v>
      </c>
      <c r="G59" s="39">
        <v>18500</v>
      </c>
      <c r="H59" s="98">
        <f t="shared" si="0"/>
        <v>33300</v>
      </c>
      <c r="I59" s="98">
        <f t="shared" si="1"/>
        <v>24975</v>
      </c>
      <c r="J59" s="41"/>
      <c r="K59" s="39">
        <v>11265</v>
      </c>
      <c r="L59" s="98">
        <f t="shared" si="2"/>
        <v>19939.05</v>
      </c>
      <c r="M59" s="98">
        <f t="shared" si="3"/>
        <v>15207.750000000002</v>
      </c>
      <c r="N59" s="41"/>
      <c r="O59" s="39">
        <v>10430</v>
      </c>
      <c r="P59" s="40">
        <v>18774</v>
      </c>
      <c r="Q59" s="40">
        <v>14080.500000000002</v>
      </c>
      <c r="R59" s="41"/>
      <c r="S59" s="37">
        <f t="shared" si="4"/>
        <v>10430</v>
      </c>
      <c r="T59" s="38">
        <f t="shared" si="5"/>
        <v>18500</v>
      </c>
    </row>
    <row r="60" spans="1:20" x14ac:dyDescent="0.25">
      <c r="A60" s="32"/>
      <c r="B60" s="88" t="s">
        <v>121</v>
      </c>
      <c r="C60" s="33"/>
      <c r="D60" s="34" t="s">
        <v>122</v>
      </c>
      <c r="E60" s="35" t="s">
        <v>39</v>
      </c>
      <c r="F60" s="36">
        <v>1</v>
      </c>
      <c r="G60" s="39">
        <v>21000</v>
      </c>
      <c r="H60" s="98">
        <f t="shared" si="0"/>
        <v>37800</v>
      </c>
      <c r="I60" s="98">
        <f t="shared" si="1"/>
        <v>28350.000000000004</v>
      </c>
      <c r="J60" s="41"/>
      <c r="K60" s="39">
        <v>21350</v>
      </c>
      <c r="L60" s="98">
        <f t="shared" si="2"/>
        <v>37789.5</v>
      </c>
      <c r="M60" s="98">
        <f t="shared" si="3"/>
        <v>28822.500000000004</v>
      </c>
      <c r="N60" s="41"/>
      <c r="O60" s="39">
        <v>20900</v>
      </c>
      <c r="P60" s="40">
        <v>37620</v>
      </c>
      <c r="Q60" s="40">
        <v>28215.000000000004</v>
      </c>
      <c r="R60" s="41"/>
      <c r="S60" s="37">
        <f t="shared" si="4"/>
        <v>20900</v>
      </c>
      <c r="T60" s="38">
        <f t="shared" si="5"/>
        <v>21350</v>
      </c>
    </row>
    <row r="61" spans="1:20" x14ac:dyDescent="0.25">
      <c r="A61" s="32"/>
      <c r="B61" s="88" t="s">
        <v>123</v>
      </c>
      <c r="C61" s="33"/>
      <c r="D61" s="34" t="s">
        <v>124</v>
      </c>
      <c r="E61" s="35" t="s">
        <v>39</v>
      </c>
      <c r="F61" s="36">
        <v>1</v>
      </c>
      <c r="G61" s="39">
        <v>16500</v>
      </c>
      <c r="H61" s="98">
        <f t="shared" si="0"/>
        <v>29700</v>
      </c>
      <c r="I61" s="98">
        <f t="shared" si="1"/>
        <v>22275</v>
      </c>
      <c r="J61" s="41"/>
      <c r="K61" s="39">
        <v>8400</v>
      </c>
      <c r="L61" s="98">
        <f t="shared" si="2"/>
        <v>14868</v>
      </c>
      <c r="M61" s="98">
        <f t="shared" si="3"/>
        <v>11340</v>
      </c>
      <c r="N61" s="41"/>
      <c r="O61" s="39">
        <v>9194</v>
      </c>
      <c r="P61" s="40">
        <v>16549.2</v>
      </c>
      <c r="Q61" s="40">
        <v>12411.900000000001</v>
      </c>
      <c r="R61" s="41"/>
      <c r="S61" s="37">
        <f t="shared" si="4"/>
        <v>8400</v>
      </c>
      <c r="T61" s="38">
        <f t="shared" si="5"/>
        <v>16500</v>
      </c>
    </row>
    <row r="62" spans="1:20" x14ac:dyDescent="0.25">
      <c r="A62" s="32"/>
      <c r="B62" s="88" t="s">
        <v>125</v>
      </c>
      <c r="C62" s="33"/>
      <c r="D62" s="34" t="s">
        <v>126</v>
      </c>
      <c r="E62" s="35" t="s">
        <v>59</v>
      </c>
      <c r="F62" s="36">
        <v>1</v>
      </c>
      <c r="G62" s="39">
        <v>12000</v>
      </c>
      <c r="H62" s="98">
        <f t="shared" si="0"/>
        <v>21600</v>
      </c>
      <c r="I62" s="98">
        <f t="shared" si="1"/>
        <v>16200.000000000002</v>
      </c>
      <c r="J62" s="41"/>
      <c r="K62" s="39">
        <v>13268</v>
      </c>
      <c r="L62" s="98">
        <f t="shared" si="2"/>
        <v>23484.36</v>
      </c>
      <c r="M62" s="98">
        <f t="shared" si="3"/>
        <v>17911.800000000003</v>
      </c>
      <c r="N62" s="41"/>
      <c r="O62" s="39">
        <v>14547</v>
      </c>
      <c r="P62" s="40">
        <v>26184.600000000002</v>
      </c>
      <c r="Q62" s="40">
        <v>19638.45</v>
      </c>
      <c r="R62" s="41"/>
      <c r="S62" s="37">
        <f t="shared" si="4"/>
        <v>12000</v>
      </c>
      <c r="T62" s="38">
        <f t="shared" si="5"/>
        <v>14547</v>
      </c>
    </row>
    <row r="63" spans="1:20" x14ac:dyDescent="0.25">
      <c r="A63" s="32"/>
      <c r="B63" s="88" t="s">
        <v>127</v>
      </c>
      <c r="C63" s="33"/>
      <c r="D63" s="34" t="s">
        <v>128</v>
      </c>
      <c r="E63" s="35" t="s">
        <v>39</v>
      </c>
      <c r="F63" s="36">
        <v>1</v>
      </c>
      <c r="G63" s="39">
        <v>29500</v>
      </c>
      <c r="H63" s="98">
        <f t="shared" si="0"/>
        <v>53100</v>
      </c>
      <c r="I63" s="98">
        <f t="shared" si="1"/>
        <v>39825</v>
      </c>
      <c r="J63" s="41"/>
      <c r="K63" s="39">
        <v>22300</v>
      </c>
      <c r="L63" s="98">
        <f t="shared" si="2"/>
        <v>39471</v>
      </c>
      <c r="M63" s="98">
        <f t="shared" si="3"/>
        <v>30105.000000000004</v>
      </c>
      <c r="N63" s="41"/>
      <c r="O63" s="39">
        <v>24564</v>
      </c>
      <c r="P63" s="40">
        <v>44215.200000000004</v>
      </c>
      <c r="Q63" s="40">
        <v>33161.4</v>
      </c>
      <c r="R63" s="41"/>
      <c r="S63" s="37">
        <f t="shared" si="4"/>
        <v>22300</v>
      </c>
      <c r="T63" s="38">
        <f t="shared" si="5"/>
        <v>29500</v>
      </c>
    </row>
    <row r="64" spans="1:20" x14ac:dyDescent="0.25">
      <c r="A64" s="32"/>
      <c r="B64" s="88" t="s">
        <v>129</v>
      </c>
      <c r="C64" s="33"/>
      <c r="D64" s="34" t="s">
        <v>130</v>
      </c>
      <c r="E64" s="35" t="s">
        <v>39</v>
      </c>
      <c r="F64" s="36">
        <v>1</v>
      </c>
      <c r="G64" s="39">
        <v>45000</v>
      </c>
      <c r="H64" s="98">
        <f t="shared" si="0"/>
        <v>81000</v>
      </c>
      <c r="I64" s="98">
        <f t="shared" si="1"/>
        <v>60750.000000000007</v>
      </c>
      <c r="J64" s="41"/>
      <c r="K64" s="39">
        <v>25250</v>
      </c>
      <c r="L64" s="98">
        <f t="shared" si="2"/>
        <v>44692.5</v>
      </c>
      <c r="M64" s="98">
        <f t="shared" si="3"/>
        <v>34087.5</v>
      </c>
      <c r="N64" s="41"/>
      <c r="O64" s="39">
        <v>27749</v>
      </c>
      <c r="P64" s="40">
        <v>49948.200000000004</v>
      </c>
      <c r="Q64" s="40">
        <v>37461.15</v>
      </c>
      <c r="R64" s="41"/>
      <c r="S64" s="37">
        <f t="shared" si="4"/>
        <v>25250</v>
      </c>
      <c r="T64" s="38">
        <f t="shared" si="5"/>
        <v>45000</v>
      </c>
    </row>
    <row r="65" spans="1:20" x14ac:dyDescent="0.25">
      <c r="A65" s="32"/>
      <c r="B65" s="88" t="s">
        <v>131</v>
      </c>
      <c r="C65" s="33"/>
      <c r="D65" s="34" t="s">
        <v>132</v>
      </c>
      <c r="E65" s="35" t="s">
        <v>39</v>
      </c>
      <c r="F65" s="36">
        <v>1</v>
      </c>
      <c r="G65" s="39">
        <v>29500</v>
      </c>
      <c r="H65" s="98">
        <f t="shared" si="0"/>
        <v>53100</v>
      </c>
      <c r="I65" s="98">
        <f t="shared" si="1"/>
        <v>39825</v>
      </c>
      <c r="J65" s="41"/>
      <c r="K65" s="39">
        <v>35300</v>
      </c>
      <c r="L65" s="98">
        <f t="shared" si="2"/>
        <v>62481</v>
      </c>
      <c r="M65" s="98">
        <f t="shared" si="3"/>
        <v>47655</v>
      </c>
      <c r="N65" s="41"/>
      <c r="O65" s="39">
        <v>38425</v>
      </c>
      <c r="P65" s="40">
        <v>69165</v>
      </c>
      <c r="Q65" s="40">
        <v>51873.75</v>
      </c>
      <c r="R65" s="41"/>
      <c r="S65" s="37">
        <f t="shared" si="4"/>
        <v>29500</v>
      </c>
      <c r="T65" s="38">
        <f t="shared" si="5"/>
        <v>38425</v>
      </c>
    </row>
    <row r="66" spans="1:20" ht="15.6" x14ac:dyDescent="0.25">
      <c r="A66" s="32"/>
      <c r="B66" s="88" t="s">
        <v>133</v>
      </c>
      <c r="C66" s="33"/>
      <c r="D66" s="34" t="s">
        <v>134</v>
      </c>
      <c r="E66" s="35" t="s">
        <v>59</v>
      </c>
      <c r="F66" s="36">
        <v>1</v>
      </c>
      <c r="G66" s="39">
        <v>36500</v>
      </c>
      <c r="H66" s="98">
        <f t="shared" si="0"/>
        <v>65700</v>
      </c>
      <c r="I66" s="98">
        <f t="shared" si="1"/>
        <v>49275</v>
      </c>
      <c r="J66" s="41"/>
      <c r="K66" s="39">
        <v>22230</v>
      </c>
      <c r="L66" s="98">
        <f t="shared" si="2"/>
        <v>39347.1</v>
      </c>
      <c r="M66" s="98">
        <f t="shared" si="3"/>
        <v>30010.500000000004</v>
      </c>
      <c r="N66" s="41"/>
      <c r="O66" s="39">
        <v>23055</v>
      </c>
      <c r="P66" s="40">
        <v>41499</v>
      </c>
      <c r="Q66" s="40">
        <v>31124.250000000004</v>
      </c>
      <c r="R66" s="41"/>
      <c r="S66" s="37">
        <f t="shared" si="4"/>
        <v>22230</v>
      </c>
      <c r="T66" s="38">
        <f t="shared" si="5"/>
        <v>36500</v>
      </c>
    </row>
    <row r="67" spans="1:20" x14ac:dyDescent="0.25">
      <c r="A67" s="32"/>
      <c r="B67" s="88" t="s">
        <v>135</v>
      </c>
      <c r="C67" s="33"/>
      <c r="D67" s="34" t="s">
        <v>136</v>
      </c>
      <c r="E67" s="35" t="s">
        <v>39</v>
      </c>
      <c r="F67" s="36">
        <v>1</v>
      </c>
      <c r="G67" s="39">
        <v>28000</v>
      </c>
      <c r="H67" s="98">
        <f t="shared" si="0"/>
        <v>50400</v>
      </c>
      <c r="I67" s="98">
        <f t="shared" si="1"/>
        <v>37800</v>
      </c>
      <c r="J67" s="41"/>
      <c r="K67" s="39">
        <v>37740</v>
      </c>
      <c r="L67" s="98">
        <f t="shared" si="2"/>
        <v>66799.8</v>
      </c>
      <c r="M67" s="98">
        <f t="shared" si="3"/>
        <v>50949</v>
      </c>
      <c r="N67" s="41"/>
      <c r="O67" s="39">
        <v>34308</v>
      </c>
      <c r="P67" s="40">
        <v>61754.400000000001</v>
      </c>
      <c r="Q67" s="40">
        <v>46315.8</v>
      </c>
      <c r="R67" s="41"/>
      <c r="S67" s="37">
        <f t="shared" si="4"/>
        <v>28000</v>
      </c>
      <c r="T67" s="38">
        <f t="shared" si="5"/>
        <v>37740</v>
      </c>
    </row>
    <row r="68" spans="1:20" x14ac:dyDescent="0.25">
      <c r="A68" s="32"/>
      <c r="B68" s="88" t="s">
        <v>137</v>
      </c>
      <c r="C68" s="33"/>
      <c r="D68" s="34" t="s">
        <v>138</v>
      </c>
      <c r="E68" s="35" t="s">
        <v>39</v>
      </c>
      <c r="F68" s="36">
        <v>1</v>
      </c>
      <c r="G68" s="39">
        <v>24000</v>
      </c>
      <c r="H68" s="98">
        <f t="shared" si="0"/>
        <v>43200</v>
      </c>
      <c r="I68" s="98">
        <f t="shared" si="1"/>
        <v>32400.000000000004</v>
      </c>
      <c r="J68" s="41"/>
      <c r="K68" s="39">
        <v>27930</v>
      </c>
      <c r="L68" s="98">
        <f t="shared" si="2"/>
        <v>49436.1</v>
      </c>
      <c r="M68" s="98">
        <f t="shared" si="3"/>
        <v>37705.5</v>
      </c>
      <c r="N68" s="41"/>
      <c r="O68" s="39">
        <v>30191</v>
      </c>
      <c r="P68" s="40">
        <v>54343.8</v>
      </c>
      <c r="Q68" s="40">
        <v>40757.850000000006</v>
      </c>
      <c r="R68" s="41"/>
      <c r="S68" s="37">
        <f t="shared" si="4"/>
        <v>24000</v>
      </c>
      <c r="T68" s="38">
        <f t="shared" si="5"/>
        <v>30191</v>
      </c>
    </row>
    <row r="69" spans="1:20" x14ac:dyDescent="0.25">
      <c r="A69" s="32"/>
      <c r="B69" s="88" t="s">
        <v>139</v>
      </c>
      <c r="C69" s="33"/>
      <c r="D69" s="34" t="s">
        <v>140</v>
      </c>
      <c r="E69" s="35" t="s">
        <v>39</v>
      </c>
      <c r="F69" s="36">
        <v>1</v>
      </c>
      <c r="G69" s="39">
        <v>28000</v>
      </c>
      <c r="H69" s="98">
        <f t="shared" si="0"/>
        <v>50400</v>
      </c>
      <c r="I69" s="98">
        <f t="shared" si="1"/>
        <v>37800</v>
      </c>
      <c r="J69" s="41"/>
      <c r="K69" s="39">
        <v>30230</v>
      </c>
      <c r="L69" s="98">
        <f t="shared" si="2"/>
        <v>53507.1</v>
      </c>
      <c r="M69" s="98">
        <f t="shared" si="3"/>
        <v>40810.5</v>
      </c>
      <c r="N69" s="41"/>
      <c r="O69" s="39">
        <v>34308</v>
      </c>
      <c r="P69" s="40">
        <v>61754.400000000001</v>
      </c>
      <c r="Q69" s="40">
        <v>46315.8</v>
      </c>
      <c r="R69" s="41"/>
      <c r="S69" s="37">
        <f t="shared" si="4"/>
        <v>28000</v>
      </c>
      <c r="T69" s="38">
        <f t="shared" si="5"/>
        <v>34308</v>
      </c>
    </row>
    <row r="70" spans="1:20" x14ac:dyDescent="0.25">
      <c r="A70" s="32"/>
      <c r="B70" s="88" t="s">
        <v>141</v>
      </c>
      <c r="C70" s="33"/>
      <c r="D70" s="34" t="s">
        <v>142</v>
      </c>
      <c r="E70" s="35" t="s">
        <v>39</v>
      </c>
      <c r="F70" s="36">
        <v>1</v>
      </c>
      <c r="G70" s="39">
        <v>36500</v>
      </c>
      <c r="H70" s="98">
        <f t="shared" si="0"/>
        <v>65700</v>
      </c>
      <c r="I70" s="98">
        <f t="shared" si="1"/>
        <v>49275</v>
      </c>
      <c r="J70" s="41"/>
      <c r="K70" s="39">
        <v>44590</v>
      </c>
      <c r="L70" s="98">
        <f t="shared" si="2"/>
        <v>78924.3</v>
      </c>
      <c r="M70" s="98">
        <f t="shared" si="3"/>
        <v>60196.500000000007</v>
      </c>
      <c r="N70" s="41"/>
      <c r="O70" s="39">
        <v>42542</v>
      </c>
      <c r="P70" s="40">
        <v>76575.600000000006</v>
      </c>
      <c r="Q70" s="40">
        <v>57431.700000000004</v>
      </c>
      <c r="R70" s="41"/>
      <c r="S70" s="37">
        <f t="shared" si="4"/>
        <v>36500</v>
      </c>
      <c r="T70" s="38">
        <f t="shared" si="5"/>
        <v>44590</v>
      </c>
    </row>
    <row r="71" spans="1:20" x14ac:dyDescent="0.25">
      <c r="A71" s="32"/>
      <c r="B71" s="88" t="s">
        <v>143</v>
      </c>
      <c r="C71" s="33"/>
      <c r="D71" s="34" t="s">
        <v>144</v>
      </c>
      <c r="E71" s="35" t="s">
        <v>39</v>
      </c>
      <c r="F71" s="36">
        <v>1</v>
      </c>
      <c r="G71" s="39">
        <v>49000</v>
      </c>
      <c r="H71" s="98">
        <f t="shared" si="0"/>
        <v>88200</v>
      </c>
      <c r="I71" s="98">
        <f t="shared" si="1"/>
        <v>66150</v>
      </c>
      <c r="J71" s="41"/>
      <c r="K71" s="39">
        <v>61748</v>
      </c>
      <c r="L71" s="98">
        <f t="shared" si="2"/>
        <v>109293.96</v>
      </c>
      <c r="M71" s="98">
        <f t="shared" si="3"/>
        <v>83359.8</v>
      </c>
      <c r="N71" s="41"/>
      <c r="O71" s="39">
        <v>51462</v>
      </c>
      <c r="P71" s="40">
        <v>92631.6</v>
      </c>
      <c r="Q71" s="40">
        <v>69473.700000000012</v>
      </c>
      <c r="R71" s="41"/>
      <c r="S71" s="37">
        <f t="shared" si="4"/>
        <v>49000</v>
      </c>
      <c r="T71" s="38">
        <f t="shared" si="5"/>
        <v>61748</v>
      </c>
    </row>
    <row r="72" spans="1:20" x14ac:dyDescent="0.25">
      <c r="A72" s="32"/>
      <c r="B72" s="88" t="s">
        <v>145</v>
      </c>
      <c r="C72" s="33"/>
      <c r="D72" s="34" t="s">
        <v>146</v>
      </c>
      <c r="E72" s="35" t="s">
        <v>59</v>
      </c>
      <c r="F72" s="36">
        <v>1</v>
      </c>
      <c r="G72" s="39">
        <v>127500</v>
      </c>
      <c r="H72" s="98">
        <f t="shared" si="0"/>
        <v>229500</v>
      </c>
      <c r="I72" s="98">
        <f t="shared" si="1"/>
        <v>172125</v>
      </c>
      <c r="J72" s="41"/>
      <c r="K72" s="39">
        <v>30870</v>
      </c>
      <c r="L72" s="98">
        <f t="shared" si="2"/>
        <v>54639.9</v>
      </c>
      <c r="M72" s="98">
        <f t="shared" si="3"/>
        <v>41674.5</v>
      </c>
      <c r="N72" s="41"/>
      <c r="O72" s="39">
        <v>30191</v>
      </c>
      <c r="P72" s="40">
        <v>54343.8</v>
      </c>
      <c r="Q72" s="40">
        <v>40757.850000000006</v>
      </c>
      <c r="R72" s="41"/>
      <c r="S72" s="37">
        <f t="shared" si="4"/>
        <v>30191</v>
      </c>
      <c r="T72" s="38">
        <f t="shared" si="5"/>
        <v>127500</v>
      </c>
    </row>
    <row r="73" spans="1:20" x14ac:dyDescent="0.25">
      <c r="A73" s="32"/>
      <c r="B73" s="88" t="s">
        <v>147</v>
      </c>
      <c r="C73" s="33"/>
      <c r="D73" s="34" t="s">
        <v>148</v>
      </c>
      <c r="E73" s="35" t="s">
        <v>59</v>
      </c>
      <c r="F73" s="36">
        <v>1</v>
      </c>
      <c r="G73" s="39">
        <v>51500</v>
      </c>
      <c r="H73" s="98">
        <f t="shared" si="0"/>
        <v>92700</v>
      </c>
      <c r="I73" s="98">
        <f t="shared" si="1"/>
        <v>69525</v>
      </c>
      <c r="J73" s="41"/>
      <c r="K73" s="39">
        <v>30870</v>
      </c>
      <c r="L73" s="98">
        <f t="shared" si="2"/>
        <v>54639.9</v>
      </c>
      <c r="M73" s="98">
        <f t="shared" si="3"/>
        <v>41674.5</v>
      </c>
      <c r="N73" s="41"/>
      <c r="O73" s="39">
        <v>32249</v>
      </c>
      <c r="P73" s="40">
        <v>58048.200000000004</v>
      </c>
      <c r="Q73" s="40">
        <v>43536.15</v>
      </c>
      <c r="R73" s="41"/>
      <c r="S73" s="37">
        <f t="shared" si="4"/>
        <v>30870</v>
      </c>
      <c r="T73" s="38">
        <f t="shared" si="5"/>
        <v>51500</v>
      </c>
    </row>
    <row r="74" spans="1:20" x14ac:dyDescent="0.25">
      <c r="A74" s="32"/>
      <c r="B74" s="88" t="s">
        <v>149</v>
      </c>
      <c r="C74" s="33"/>
      <c r="D74" s="34" t="s">
        <v>150</v>
      </c>
      <c r="E74" s="35" t="s">
        <v>59</v>
      </c>
      <c r="F74" s="36">
        <v>1</v>
      </c>
      <c r="G74" s="39">
        <v>85000</v>
      </c>
      <c r="H74" s="98">
        <f t="shared" si="0"/>
        <v>153000</v>
      </c>
      <c r="I74" s="98">
        <f t="shared" si="1"/>
        <v>114750.00000000001</v>
      </c>
      <c r="J74" s="41"/>
      <c r="K74" s="39">
        <v>39982</v>
      </c>
      <c r="L74" s="98">
        <f t="shared" si="2"/>
        <v>70768.14</v>
      </c>
      <c r="M74" s="98">
        <f t="shared" si="3"/>
        <v>53975.700000000004</v>
      </c>
      <c r="N74" s="41"/>
      <c r="O74" s="39">
        <v>41169</v>
      </c>
      <c r="P74" s="40">
        <v>74104.2</v>
      </c>
      <c r="Q74" s="40">
        <v>55578.15</v>
      </c>
      <c r="R74" s="41"/>
      <c r="S74" s="37">
        <f t="shared" si="4"/>
        <v>39982</v>
      </c>
      <c r="T74" s="38">
        <f t="shared" si="5"/>
        <v>85000</v>
      </c>
    </row>
    <row r="75" spans="1:20" x14ac:dyDescent="0.25">
      <c r="A75" s="32"/>
      <c r="B75" s="88" t="s">
        <v>151</v>
      </c>
      <c r="C75" s="33"/>
      <c r="D75" s="34" t="s">
        <v>152</v>
      </c>
      <c r="E75" s="35" t="s">
        <v>59</v>
      </c>
      <c r="F75" s="36">
        <v>1</v>
      </c>
      <c r="G75" s="39">
        <v>12000</v>
      </c>
      <c r="H75" s="98">
        <f t="shared" si="0"/>
        <v>21600</v>
      </c>
      <c r="I75" s="98">
        <f t="shared" si="1"/>
        <v>16200.000000000002</v>
      </c>
      <c r="J75" s="41"/>
      <c r="K75" s="39">
        <v>11718</v>
      </c>
      <c r="L75" s="98">
        <f t="shared" si="2"/>
        <v>20740.86</v>
      </c>
      <c r="M75" s="98">
        <f t="shared" si="3"/>
        <v>15819.300000000001</v>
      </c>
      <c r="N75" s="41"/>
      <c r="O75" s="39">
        <v>10979</v>
      </c>
      <c r="P75" s="40">
        <v>19762.2</v>
      </c>
      <c r="Q75" s="40">
        <v>14821.650000000001</v>
      </c>
      <c r="R75" s="41"/>
      <c r="S75" s="37">
        <f t="shared" si="4"/>
        <v>10979</v>
      </c>
      <c r="T75" s="38">
        <f t="shared" si="5"/>
        <v>12000</v>
      </c>
    </row>
    <row r="76" spans="1:20" x14ac:dyDescent="0.25">
      <c r="A76" s="32"/>
      <c r="B76" s="88" t="s">
        <v>153</v>
      </c>
      <c r="C76" s="33"/>
      <c r="D76" s="34" t="s">
        <v>154</v>
      </c>
      <c r="E76" s="35" t="s">
        <v>56</v>
      </c>
      <c r="F76" s="36">
        <v>1</v>
      </c>
      <c r="G76" s="39">
        <v>16500</v>
      </c>
      <c r="H76" s="98">
        <f t="shared" si="0"/>
        <v>29700</v>
      </c>
      <c r="I76" s="98">
        <f t="shared" si="1"/>
        <v>22275</v>
      </c>
      <c r="J76" s="41"/>
      <c r="K76" s="39">
        <v>9988</v>
      </c>
      <c r="L76" s="98">
        <f t="shared" si="2"/>
        <v>17678.759999999998</v>
      </c>
      <c r="M76" s="98">
        <f t="shared" si="3"/>
        <v>13483.800000000001</v>
      </c>
      <c r="N76" s="41"/>
      <c r="O76" s="39">
        <v>10292</v>
      </c>
      <c r="P76" s="40">
        <v>18525.600000000002</v>
      </c>
      <c r="Q76" s="40">
        <v>13894.2</v>
      </c>
      <c r="R76" s="41"/>
      <c r="S76" s="37">
        <f t="shared" si="4"/>
        <v>9988</v>
      </c>
      <c r="T76" s="38">
        <f t="shared" si="5"/>
        <v>16500</v>
      </c>
    </row>
    <row r="77" spans="1:20" x14ac:dyDescent="0.25">
      <c r="A77" s="32"/>
      <c r="B77" s="88" t="s">
        <v>155</v>
      </c>
      <c r="C77" s="33"/>
      <c r="D77" s="34" t="s">
        <v>156</v>
      </c>
      <c r="E77" s="35" t="s">
        <v>56</v>
      </c>
      <c r="F77" s="36">
        <v>1</v>
      </c>
      <c r="G77" s="39">
        <v>25000</v>
      </c>
      <c r="H77" s="98">
        <f t="shared" si="0"/>
        <v>45000</v>
      </c>
      <c r="I77" s="98">
        <f t="shared" si="1"/>
        <v>33750</v>
      </c>
      <c r="J77" s="41"/>
      <c r="K77" s="39">
        <v>14117</v>
      </c>
      <c r="L77" s="98">
        <f t="shared" si="2"/>
        <v>24987.09</v>
      </c>
      <c r="M77" s="98">
        <f t="shared" si="3"/>
        <v>19057.95</v>
      </c>
      <c r="N77" s="41"/>
      <c r="O77" s="39">
        <v>16193</v>
      </c>
      <c r="P77" s="40">
        <v>29147.4</v>
      </c>
      <c r="Q77" s="40">
        <v>21860.550000000003</v>
      </c>
      <c r="R77" s="41"/>
      <c r="S77" s="37">
        <f t="shared" si="4"/>
        <v>14117</v>
      </c>
      <c r="T77" s="38">
        <f t="shared" si="5"/>
        <v>25000</v>
      </c>
    </row>
    <row r="78" spans="1:20" x14ac:dyDescent="0.25">
      <c r="A78" s="32"/>
      <c r="B78" s="88" t="s">
        <v>157</v>
      </c>
      <c r="C78" s="33"/>
      <c r="D78" s="34" t="s">
        <v>158</v>
      </c>
      <c r="E78" s="35" t="s">
        <v>56</v>
      </c>
      <c r="F78" s="36">
        <v>1</v>
      </c>
      <c r="G78" s="39">
        <v>44500</v>
      </c>
      <c r="H78" s="98">
        <f t="shared" si="0"/>
        <v>80100</v>
      </c>
      <c r="I78" s="98">
        <f t="shared" si="1"/>
        <v>60075.000000000007</v>
      </c>
      <c r="J78" s="41"/>
      <c r="K78" s="39">
        <v>51805</v>
      </c>
      <c r="L78" s="98">
        <f t="shared" si="2"/>
        <v>91694.85</v>
      </c>
      <c r="M78" s="98">
        <f t="shared" si="3"/>
        <v>69936.75</v>
      </c>
      <c r="N78" s="41"/>
      <c r="O78" s="39">
        <v>51873</v>
      </c>
      <c r="P78" s="40">
        <v>93371.400000000009</v>
      </c>
      <c r="Q78" s="40">
        <v>70028.55</v>
      </c>
      <c r="R78" s="41"/>
      <c r="S78" s="37">
        <f t="shared" si="4"/>
        <v>44500</v>
      </c>
      <c r="T78" s="38">
        <f t="shared" si="5"/>
        <v>51873</v>
      </c>
    </row>
    <row r="79" spans="1:20" x14ac:dyDescent="0.25">
      <c r="A79" s="32"/>
      <c r="B79" s="88" t="s">
        <v>159</v>
      </c>
      <c r="C79" s="33"/>
      <c r="D79" s="34" t="s">
        <v>160</v>
      </c>
      <c r="E79" s="35" t="s">
        <v>59</v>
      </c>
      <c r="F79" s="36">
        <v>1</v>
      </c>
      <c r="G79" s="39">
        <v>28000</v>
      </c>
      <c r="H79" s="98">
        <f t="shared" si="0"/>
        <v>50400</v>
      </c>
      <c r="I79" s="98">
        <f t="shared" si="1"/>
        <v>37800</v>
      </c>
      <c r="J79" s="41"/>
      <c r="K79" s="39">
        <v>29990</v>
      </c>
      <c r="L79" s="98">
        <f t="shared" si="2"/>
        <v>53082.3</v>
      </c>
      <c r="M79" s="98">
        <f t="shared" si="3"/>
        <v>40486.5</v>
      </c>
      <c r="N79" s="41"/>
      <c r="O79" s="39">
        <v>24702</v>
      </c>
      <c r="P79" s="40">
        <v>44463.6</v>
      </c>
      <c r="Q79" s="40">
        <v>33347.700000000004</v>
      </c>
      <c r="R79" s="41"/>
      <c r="S79" s="37">
        <f t="shared" si="4"/>
        <v>24702</v>
      </c>
      <c r="T79" s="38">
        <f t="shared" si="5"/>
        <v>29990</v>
      </c>
    </row>
    <row r="80" spans="1:20" x14ac:dyDescent="0.25">
      <c r="A80" s="32"/>
      <c r="B80" s="88" t="s">
        <v>161</v>
      </c>
      <c r="C80" s="33"/>
      <c r="D80" s="34" t="s">
        <v>162</v>
      </c>
      <c r="E80" s="35" t="s">
        <v>163</v>
      </c>
      <c r="F80" s="36">
        <v>1</v>
      </c>
      <c r="G80" s="39">
        <v>365000</v>
      </c>
      <c r="H80" s="98">
        <f t="shared" si="0"/>
        <v>657000</v>
      </c>
      <c r="I80" s="98">
        <f t="shared" si="1"/>
        <v>492750.00000000006</v>
      </c>
      <c r="J80" s="41"/>
      <c r="K80" s="39">
        <v>980</v>
      </c>
      <c r="L80" s="98">
        <f t="shared" si="2"/>
        <v>1734.6</v>
      </c>
      <c r="M80" s="98">
        <f t="shared" si="3"/>
        <v>1323</v>
      </c>
      <c r="N80" s="41"/>
      <c r="O80" s="39">
        <v>1098</v>
      </c>
      <c r="P80" s="40">
        <v>1976.4</v>
      </c>
      <c r="Q80" s="40">
        <v>1482.3000000000002</v>
      </c>
      <c r="R80" s="41"/>
      <c r="S80" s="37">
        <f t="shared" si="4"/>
        <v>980</v>
      </c>
      <c r="T80" s="38">
        <f t="shared" si="5"/>
        <v>365000</v>
      </c>
    </row>
    <row r="81" spans="1:20" x14ac:dyDescent="0.25">
      <c r="A81" s="32"/>
      <c r="B81" s="88" t="s">
        <v>164</v>
      </c>
      <c r="C81" s="33"/>
      <c r="D81" s="34" t="s">
        <v>165</v>
      </c>
      <c r="E81" s="35" t="s">
        <v>163</v>
      </c>
      <c r="F81" s="36">
        <v>1</v>
      </c>
      <c r="G81" s="39">
        <v>20000</v>
      </c>
      <c r="H81" s="98">
        <f t="shared" si="0"/>
        <v>36000</v>
      </c>
      <c r="I81" s="98">
        <f t="shared" si="1"/>
        <v>27000</v>
      </c>
      <c r="J81" s="41"/>
      <c r="K81" s="39">
        <v>2100</v>
      </c>
      <c r="L81" s="98">
        <f t="shared" si="2"/>
        <v>3717</v>
      </c>
      <c r="M81" s="98">
        <f t="shared" si="3"/>
        <v>2835</v>
      </c>
      <c r="N81" s="41"/>
      <c r="O81" s="39">
        <v>2196</v>
      </c>
      <c r="P81" s="40">
        <v>3952.8</v>
      </c>
      <c r="Q81" s="40">
        <v>2964.6000000000004</v>
      </c>
      <c r="R81" s="41"/>
      <c r="S81" s="37">
        <f t="shared" si="4"/>
        <v>2100</v>
      </c>
      <c r="T81" s="38">
        <f t="shared" si="5"/>
        <v>20000</v>
      </c>
    </row>
    <row r="82" spans="1:20" x14ac:dyDescent="0.25">
      <c r="A82" s="32"/>
      <c r="B82" s="88" t="s">
        <v>166</v>
      </c>
      <c r="C82" s="33"/>
      <c r="D82" s="34" t="s">
        <v>167</v>
      </c>
      <c r="E82" s="35" t="s">
        <v>163</v>
      </c>
      <c r="F82" s="36"/>
      <c r="G82" s="39">
        <v>20000</v>
      </c>
      <c r="H82" s="98">
        <f t="shared" si="0"/>
        <v>36000</v>
      </c>
      <c r="I82" s="98">
        <f t="shared" si="1"/>
        <v>27000</v>
      </c>
      <c r="J82" s="41"/>
      <c r="K82" s="39">
        <v>2100</v>
      </c>
      <c r="L82" s="98">
        <f t="shared" si="2"/>
        <v>3717</v>
      </c>
      <c r="M82" s="98">
        <f t="shared" si="3"/>
        <v>2835</v>
      </c>
      <c r="N82" s="41"/>
      <c r="O82" s="39">
        <v>2470</v>
      </c>
      <c r="P82" s="40">
        <v>4446</v>
      </c>
      <c r="Q82" s="40">
        <v>3334.5</v>
      </c>
      <c r="R82" s="41"/>
      <c r="S82" s="37">
        <f t="shared" si="4"/>
        <v>2100</v>
      </c>
      <c r="T82" s="38">
        <f t="shared" si="5"/>
        <v>20000</v>
      </c>
    </row>
    <row r="83" spans="1:20" x14ac:dyDescent="0.25">
      <c r="A83" s="32"/>
      <c r="B83" s="88" t="s">
        <v>168</v>
      </c>
      <c r="C83" s="33"/>
      <c r="D83" s="34" t="s">
        <v>169</v>
      </c>
      <c r="E83" s="35" t="s">
        <v>59</v>
      </c>
      <c r="F83" s="36">
        <v>1</v>
      </c>
      <c r="G83" s="39">
        <v>38000</v>
      </c>
      <c r="H83" s="98">
        <f t="shared" si="0"/>
        <v>68400</v>
      </c>
      <c r="I83" s="98">
        <f t="shared" si="1"/>
        <v>51300</v>
      </c>
      <c r="J83" s="41"/>
      <c r="K83" s="39">
        <v>40331</v>
      </c>
      <c r="L83" s="98">
        <f t="shared" si="2"/>
        <v>71385.87</v>
      </c>
      <c r="M83" s="98">
        <f t="shared" si="3"/>
        <v>54446.850000000006</v>
      </c>
      <c r="N83" s="41"/>
      <c r="O83" s="39">
        <v>52148</v>
      </c>
      <c r="P83" s="40">
        <v>93866.400000000009</v>
      </c>
      <c r="Q83" s="40">
        <v>70399.8</v>
      </c>
      <c r="R83" s="41"/>
      <c r="S83" s="37">
        <f t="shared" si="4"/>
        <v>38000</v>
      </c>
      <c r="T83" s="38">
        <f t="shared" si="5"/>
        <v>52148</v>
      </c>
    </row>
    <row r="84" spans="1:20" x14ac:dyDescent="0.25">
      <c r="A84" s="32"/>
      <c r="B84" s="88" t="s">
        <v>170</v>
      </c>
      <c r="C84" s="33"/>
      <c r="D84" s="34" t="s">
        <v>171</v>
      </c>
      <c r="E84" s="35" t="s">
        <v>59</v>
      </c>
      <c r="F84" s="36">
        <v>1</v>
      </c>
      <c r="G84" s="39">
        <v>60000</v>
      </c>
      <c r="H84" s="98">
        <f t="shared" si="0"/>
        <v>108000</v>
      </c>
      <c r="I84" s="98">
        <f t="shared" si="1"/>
        <v>81000</v>
      </c>
      <c r="J84" s="41"/>
      <c r="K84" s="39">
        <v>47253</v>
      </c>
      <c r="L84" s="98">
        <f t="shared" si="2"/>
        <v>83637.81</v>
      </c>
      <c r="M84" s="98">
        <f t="shared" si="3"/>
        <v>63791.55</v>
      </c>
      <c r="N84" s="41"/>
      <c r="O84" s="39">
        <v>59009</v>
      </c>
      <c r="P84" s="40">
        <v>106216.2</v>
      </c>
      <c r="Q84" s="40">
        <v>79662.150000000009</v>
      </c>
      <c r="R84" s="41"/>
      <c r="S84" s="37">
        <f t="shared" si="4"/>
        <v>47253</v>
      </c>
      <c r="T84" s="38">
        <f t="shared" si="5"/>
        <v>60000</v>
      </c>
    </row>
    <row r="85" spans="1:20" x14ac:dyDescent="0.25">
      <c r="A85" s="32"/>
      <c r="B85" s="88" t="s">
        <v>172</v>
      </c>
      <c r="C85" s="33"/>
      <c r="D85" s="34" t="s">
        <v>173</v>
      </c>
      <c r="E85" s="35" t="s">
        <v>59</v>
      </c>
      <c r="F85" s="36">
        <v>1</v>
      </c>
      <c r="G85" s="39">
        <v>25000</v>
      </c>
      <c r="H85" s="98">
        <f t="shared" ref="H85:H148" si="6">G85*1.8</f>
        <v>45000</v>
      </c>
      <c r="I85" s="98">
        <f t="shared" ref="I85:I148" si="7">G85*1.35</f>
        <v>33750</v>
      </c>
      <c r="J85" s="41"/>
      <c r="K85" s="39">
        <v>26410</v>
      </c>
      <c r="L85" s="98">
        <f t="shared" ref="L85:L148" si="8">+K85*1.77</f>
        <v>46745.7</v>
      </c>
      <c r="M85" s="98">
        <f t="shared" ref="M85:M148" si="9">+K85*1.35</f>
        <v>35653.5</v>
      </c>
      <c r="N85" s="41"/>
      <c r="O85" s="39">
        <v>27446</v>
      </c>
      <c r="P85" s="40">
        <v>49402.8</v>
      </c>
      <c r="Q85" s="40">
        <v>37052.100000000006</v>
      </c>
      <c r="R85" s="41"/>
      <c r="S85" s="37">
        <f t="shared" ref="S85:S148" si="10">SUBTOTAL(105,G85,K85,O85)</f>
        <v>25000</v>
      </c>
      <c r="T85" s="38">
        <f t="shared" ref="T85:T148" si="11">SUBTOTAL(104,G85,K85,O85)</f>
        <v>27446</v>
      </c>
    </row>
    <row r="86" spans="1:20" x14ac:dyDescent="0.25">
      <c r="A86" s="32"/>
      <c r="B86" s="88" t="s">
        <v>174</v>
      </c>
      <c r="C86" s="33"/>
      <c r="D86" s="34" t="s">
        <v>175</v>
      </c>
      <c r="E86" s="35" t="s">
        <v>34</v>
      </c>
      <c r="F86" s="36">
        <v>1</v>
      </c>
      <c r="G86" s="39">
        <v>38000</v>
      </c>
      <c r="H86" s="98">
        <f t="shared" si="6"/>
        <v>68400</v>
      </c>
      <c r="I86" s="98">
        <f t="shared" si="7"/>
        <v>51300</v>
      </c>
      <c r="J86" s="41"/>
      <c r="K86" s="39">
        <v>35236</v>
      </c>
      <c r="L86" s="98">
        <f t="shared" si="8"/>
        <v>62367.72</v>
      </c>
      <c r="M86" s="98">
        <f t="shared" si="9"/>
        <v>47568.600000000006</v>
      </c>
      <c r="N86" s="41"/>
      <c r="O86" s="39">
        <v>39165</v>
      </c>
      <c r="P86" s="40">
        <v>70497</v>
      </c>
      <c r="Q86" s="40">
        <v>52872.75</v>
      </c>
      <c r="R86" s="41"/>
      <c r="S86" s="37">
        <f t="shared" si="10"/>
        <v>35236</v>
      </c>
      <c r="T86" s="38">
        <f t="shared" si="11"/>
        <v>39165</v>
      </c>
    </row>
    <row r="87" spans="1:20" x14ac:dyDescent="0.25">
      <c r="A87" s="32"/>
      <c r="B87" s="88" t="s">
        <v>176</v>
      </c>
      <c r="C87" s="33"/>
      <c r="D87" s="34" t="s">
        <v>177</v>
      </c>
      <c r="E87" s="35" t="s">
        <v>34</v>
      </c>
      <c r="F87" s="36">
        <v>1</v>
      </c>
      <c r="G87" s="39">
        <v>47500</v>
      </c>
      <c r="H87" s="98">
        <f t="shared" si="6"/>
        <v>85500</v>
      </c>
      <c r="I87" s="98">
        <f t="shared" si="7"/>
        <v>64125.000000000007</v>
      </c>
      <c r="J87" s="41"/>
      <c r="K87" s="39">
        <v>37876</v>
      </c>
      <c r="L87" s="98">
        <f t="shared" si="8"/>
        <v>67040.52</v>
      </c>
      <c r="M87" s="98">
        <f t="shared" si="9"/>
        <v>51132.600000000006</v>
      </c>
      <c r="N87" s="41"/>
      <c r="O87" s="39">
        <v>41169</v>
      </c>
      <c r="P87" s="40">
        <v>74104.2</v>
      </c>
      <c r="Q87" s="40">
        <v>55578.15</v>
      </c>
      <c r="R87" s="41"/>
      <c r="S87" s="37">
        <f t="shared" si="10"/>
        <v>37876</v>
      </c>
      <c r="T87" s="38">
        <f t="shared" si="11"/>
        <v>47500</v>
      </c>
    </row>
    <row r="88" spans="1:20" x14ac:dyDescent="0.25">
      <c r="A88" s="32"/>
      <c r="B88" s="88" t="s">
        <v>178</v>
      </c>
      <c r="C88" s="33"/>
      <c r="D88" s="34" t="s">
        <v>179</v>
      </c>
      <c r="E88" s="35" t="s">
        <v>34</v>
      </c>
      <c r="F88" s="36">
        <v>1</v>
      </c>
      <c r="G88" s="39">
        <v>18500</v>
      </c>
      <c r="H88" s="98">
        <f t="shared" si="6"/>
        <v>33300</v>
      </c>
      <c r="I88" s="98">
        <f t="shared" si="7"/>
        <v>24975</v>
      </c>
      <c r="J88" s="41"/>
      <c r="K88" s="39">
        <v>33129</v>
      </c>
      <c r="L88" s="98">
        <f t="shared" si="8"/>
        <v>58638.33</v>
      </c>
      <c r="M88" s="98">
        <f t="shared" si="9"/>
        <v>44724.15</v>
      </c>
      <c r="N88" s="41"/>
      <c r="O88" s="39">
        <v>32936</v>
      </c>
      <c r="P88" s="40">
        <v>59284.800000000003</v>
      </c>
      <c r="Q88" s="40">
        <v>44463.600000000006</v>
      </c>
      <c r="R88" s="41"/>
      <c r="S88" s="37">
        <f t="shared" si="10"/>
        <v>18500</v>
      </c>
      <c r="T88" s="38">
        <f t="shared" si="11"/>
        <v>33129</v>
      </c>
    </row>
    <row r="89" spans="1:20" x14ac:dyDescent="0.25">
      <c r="A89" s="32"/>
      <c r="B89" s="88" t="s">
        <v>180</v>
      </c>
      <c r="C89" s="33"/>
      <c r="D89" s="34" t="s">
        <v>181</v>
      </c>
      <c r="E89" s="35" t="s">
        <v>34</v>
      </c>
      <c r="F89" s="36">
        <v>1</v>
      </c>
      <c r="G89" s="39">
        <v>26500</v>
      </c>
      <c r="H89" s="98">
        <f t="shared" si="6"/>
        <v>47700</v>
      </c>
      <c r="I89" s="98">
        <f t="shared" si="7"/>
        <v>35775</v>
      </c>
      <c r="J89" s="41"/>
      <c r="K89" s="39">
        <v>33129</v>
      </c>
      <c r="L89" s="98">
        <f t="shared" si="8"/>
        <v>58638.33</v>
      </c>
      <c r="M89" s="98">
        <f t="shared" si="9"/>
        <v>44724.15</v>
      </c>
      <c r="N89" s="41"/>
      <c r="O89" s="39">
        <v>34308</v>
      </c>
      <c r="P89" s="40">
        <v>61754.400000000001</v>
      </c>
      <c r="Q89" s="40">
        <v>46315.8</v>
      </c>
      <c r="R89" s="41"/>
      <c r="S89" s="37">
        <f t="shared" si="10"/>
        <v>26500</v>
      </c>
      <c r="T89" s="38">
        <f t="shared" si="11"/>
        <v>34308</v>
      </c>
    </row>
    <row r="90" spans="1:20" x14ac:dyDescent="0.25">
      <c r="A90" s="32"/>
      <c r="B90" s="88" t="s">
        <v>182</v>
      </c>
      <c r="C90" s="33"/>
      <c r="D90" s="34" t="s">
        <v>183</v>
      </c>
      <c r="E90" s="35" t="s">
        <v>34</v>
      </c>
      <c r="F90" s="36">
        <v>1</v>
      </c>
      <c r="G90" s="39">
        <v>26500</v>
      </c>
      <c r="H90" s="98">
        <f t="shared" si="6"/>
        <v>47700</v>
      </c>
      <c r="I90" s="98">
        <f t="shared" si="7"/>
        <v>35775</v>
      </c>
      <c r="J90" s="41"/>
      <c r="K90" s="39">
        <v>33129</v>
      </c>
      <c r="L90" s="98">
        <f t="shared" si="8"/>
        <v>58638.33</v>
      </c>
      <c r="M90" s="98">
        <f t="shared" si="9"/>
        <v>44724.15</v>
      </c>
      <c r="N90" s="41"/>
      <c r="O90" s="39">
        <v>34308</v>
      </c>
      <c r="P90" s="40">
        <v>61754.400000000001</v>
      </c>
      <c r="Q90" s="40">
        <v>46315.8</v>
      </c>
      <c r="R90" s="41"/>
      <c r="S90" s="37">
        <f t="shared" si="10"/>
        <v>26500</v>
      </c>
      <c r="T90" s="38">
        <f t="shared" si="11"/>
        <v>34308</v>
      </c>
    </row>
    <row r="91" spans="1:20" x14ac:dyDescent="0.25">
      <c r="A91" s="32"/>
      <c r="B91" s="88" t="s">
        <v>184</v>
      </c>
      <c r="C91" s="33"/>
      <c r="D91" s="34" t="s">
        <v>185</v>
      </c>
      <c r="E91" s="35" t="s">
        <v>34</v>
      </c>
      <c r="F91" s="36">
        <v>1</v>
      </c>
      <c r="G91" s="39">
        <v>24000</v>
      </c>
      <c r="H91" s="98">
        <f t="shared" si="6"/>
        <v>43200</v>
      </c>
      <c r="I91" s="98">
        <f t="shared" si="7"/>
        <v>32400.000000000004</v>
      </c>
      <c r="J91" s="41"/>
      <c r="K91" s="39">
        <v>33129</v>
      </c>
      <c r="L91" s="98">
        <f t="shared" si="8"/>
        <v>58638.33</v>
      </c>
      <c r="M91" s="98">
        <f t="shared" si="9"/>
        <v>44724.15</v>
      </c>
      <c r="N91" s="41"/>
      <c r="O91" s="39">
        <v>41169</v>
      </c>
      <c r="P91" s="40">
        <v>74104.2</v>
      </c>
      <c r="Q91" s="40">
        <v>55578.15</v>
      </c>
      <c r="R91" s="41"/>
      <c r="S91" s="37">
        <f t="shared" si="10"/>
        <v>24000</v>
      </c>
      <c r="T91" s="38">
        <f t="shared" si="11"/>
        <v>41169</v>
      </c>
    </row>
    <row r="92" spans="1:20" x14ac:dyDescent="0.25">
      <c r="A92" s="32"/>
      <c r="B92" s="88" t="s">
        <v>186</v>
      </c>
      <c r="C92" s="33"/>
      <c r="D92" s="34" t="s">
        <v>187</v>
      </c>
      <c r="E92" s="35" t="s">
        <v>39</v>
      </c>
      <c r="F92" s="36">
        <v>1</v>
      </c>
      <c r="G92" s="39">
        <v>45000</v>
      </c>
      <c r="H92" s="98">
        <f t="shared" si="6"/>
        <v>81000</v>
      </c>
      <c r="I92" s="98">
        <f t="shared" si="7"/>
        <v>60750.000000000007</v>
      </c>
      <c r="J92" s="41"/>
      <c r="K92" s="39">
        <v>55142</v>
      </c>
      <c r="L92" s="98">
        <f t="shared" si="8"/>
        <v>97601.34</v>
      </c>
      <c r="M92" s="98">
        <f t="shared" si="9"/>
        <v>74441.700000000012</v>
      </c>
      <c r="N92" s="41"/>
      <c r="O92" s="39">
        <v>60382</v>
      </c>
      <c r="P92" s="40">
        <v>108687.6</v>
      </c>
      <c r="Q92" s="40">
        <v>81515.700000000012</v>
      </c>
      <c r="R92" s="41"/>
      <c r="S92" s="37">
        <f t="shared" si="10"/>
        <v>45000</v>
      </c>
      <c r="T92" s="38">
        <f t="shared" si="11"/>
        <v>60382</v>
      </c>
    </row>
    <row r="93" spans="1:20" x14ac:dyDescent="0.25">
      <c r="A93" s="32"/>
      <c r="B93" s="88" t="s">
        <v>188</v>
      </c>
      <c r="C93" s="33"/>
      <c r="D93" s="34" t="s">
        <v>189</v>
      </c>
      <c r="E93" s="35" t="s">
        <v>190</v>
      </c>
      <c r="F93" s="36">
        <v>1</v>
      </c>
      <c r="G93" s="39">
        <v>21500</v>
      </c>
      <c r="H93" s="98">
        <f t="shared" si="6"/>
        <v>38700</v>
      </c>
      <c r="I93" s="98">
        <f t="shared" si="7"/>
        <v>29025.000000000004</v>
      </c>
      <c r="J93" s="41"/>
      <c r="K93" s="39">
        <v>4235</v>
      </c>
      <c r="L93" s="98">
        <f t="shared" si="8"/>
        <v>7495.95</v>
      </c>
      <c r="M93" s="98">
        <f t="shared" si="9"/>
        <v>5717.25</v>
      </c>
      <c r="N93" s="41"/>
      <c r="O93" s="39">
        <v>3294</v>
      </c>
      <c r="P93" s="40">
        <v>5929.2</v>
      </c>
      <c r="Q93" s="40">
        <v>4446.9000000000005</v>
      </c>
      <c r="R93" s="41"/>
      <c r="S93" s="37">
        <f t="shared" si="10"/>
        <v>3294</v>
      </c>
      <c r="T93" s="38">
        <f t="shared" si="11"/>
        <v>21500</v>
      </c>
    </row>
    <row r="94" spans="1:20" x14ac:dyDescent="0.25">
      <c r="A94" s="32"/>
      <c r="B94" s="88" t="s">
        <v>191</v>
      </c>
      <c r="C94" s="33"/>
      <c r="D94" s="34" t="s">
        <v>192</v>
      </c>
      <c r="E94" s="35" t="s">
        <v>39</v>
      </c>
      <c r="F94" s="36">
        <v>1</v>
      </c>
      <c r="G94" s="39">
        <v>38000</v>
      </c>
      <c r="H94" s="98">
        <f t="shared" si="6"/>
        <v>68400</v>
      </c>
      <c r="I94" s="98">
        <f t="shared" si="7"/>
        <v>51300</v>
      </c>
      <c r="J94" s="41"/>
      <c r="K94" s="39">
        <v>35500</v>
      </c>
      <c r="L94" s="98">
        <f t="shared" si="8"/>
        <v>62835</v>
      </c>
      <c r="M94" s="98">
        <f t="shared" si="9"/>
        <v>47925</v>
      </c>
      <c r="N94" s="41"/>
      <c r="O94" s="39">
        <v>38425</v>
      </c>
      <c r="P94" s="40">
        <v>69165</v>
      </c>
      <c r="Q94" s="40">
        <v>51873.75</v>
      </c>
      <c r="R94" s="41"/>
      <c r="S94" s="37">
        <f t="shared" si="10"/>
        <v>35500</v>
      </c>
      <c r="T94" s="38">
        <f t="shared" si="11"/>
        <v>38425</v>
      </c>
    </row>
    <row r="95" spans="1:20" x14ac:dyDescent="0.25">
      <c r="A95" s="32"/>
      <c r="B95" s="88" t="s">
        <v>193</v>
      </c>
      <c r="C95" s="33"/>
      <c r="D95" s="34" t="s">
        <v>194</v>
      </c>
      <c r="E95" s="35" t="s">
        <v>39</v>
      </c>
      <c r="F95" s="36">
        <v>1</v>
      </c>
      <c r="G95" s="39">
        <v>40000</v>
      </c>
      <c r="H95" s="98">
        <f t="shared" si="6"/>
        <v>72000</v>
      </c>
      <c r="I95" s="98">
        <f t="shared" si="7"/>
        <v>54000</v>
      </c>
      <c r="J95" s="41"/>
      <c r="K95" s="39">
        <v>36500</v>
      </c>
      <c r="L95" s="98">
        <f t="shared" si="8"/>
        <v>64605</v>
      </c>
      <c r="M95" s="98">
        <f t="shared" si="9"/>
        <v>49275</v>
      </c>
      <c r="N95" s="41"/>
      <c r="O95" s="39">
        <v>38836</v>
      </c>
      <c r="P95" s="40">
        <v>69904.800000000003</v>
      </c>
      <c r="Q95" s="40">
        <v>52428.600000000006</v>
      </c>
      <c r="R95" s="41"/>
      <c r="S95" s="37">
        <f t="shared" si="10"/>
        <v>36500</v>
      </c>
      <c r="T95" s="38">
        <f t="shared" si="11"/>
        <v>40000</v>
      </c>
    </row>
    <row r="96" spans="1:20" x14ac:dyDescent="0.25">
      <c r="A96" s="32"/>
      <c r="B96" s="88" t="s">
        <v>195</v>
      </c>
      <c r="C96" s="33"/>
      <c r="D96" s="34" t="s">
        <v>196</v>
      </c>
      <c r="E96" s="35" t="s">
        <v>39</v>
      </c>
      <c r="F96" s="36">
        <v>1</v>
      </c>
      <c r="G96" s="39">
        <v>45000</v>
      </c>
      <c r="H96" s="98">
        <f t="shared" si="6"/>
        <v>81000</v>
      </c>
      <c r="I96" s="98">
        <f t="shared" si="7"/>
        <v>60750.000000000007</v>
      </c>
      <c r="J96" s="41"/>
      <c r="K96" s="39">
        <v>37500</v>
      </c>
      <c r="L96" s="98">
        <f t="shared" si="8"/>
        <v>66375</v>
      </c>
      <c r="M96" s="98">
        <f t="shared" si="9"/>
        <v>50625</v>
      </c>
      <c r="N96" s="41"/>
      <c r="O96" s="39">
        <v>41169</v>
      </c>
      <c r="P96" s="40">
        <v>74104.2</v>
      </c>
      <c r="Q96" s="40">
        <v>55578.15</v>
      </c>
      <c r="R96" s="41"/>
      <c r="S96" s="37">
        <f t="shared" si="10"/>
        <v>37500</v>
      </c>
      <c r="T96" s="38">
        <f t="shared" si="11"/>
        <v>45000</v>
      </c>
    </row>
    <row r="97" spans="1:20" x14ac:dyDescent="0.25">
      <c r="A97" s="32"/>
      <c r="B97" s="88" t="s">
        <v>197</v>
      </c>
      <c r="C97" s="33"/>
      <c r="D97" s="34" t="s">
        <v>198</v>
      </c>
      <c r="E97" s="35" t="s">
        <v>39</v>
      </c>
      <c r="F97" s="36">
        <v>1</v>
      </c>
      <c r="G97" s="39">
        <v>50000</v>
      </c>
      <c r="H97" s="98">
        <f t="shared" si="6"/>
        <v>90000</v>
      </c>
      <c r="I97" s="98">
        <f t="shared" si="7"/>
        <v>67500</v>
      </c>
      <c r="J97" s="41"/>
      <c r="K97" s="39">
        <v>38900</v>
      </c>
      <c r="L97" s="98">
        <f t="shared" si="8"/>
        <v>68853</v>
      </c>
      <c r="M97" s="98">
        <f t="shared" si="9"/>
        <v>52515</v>
      </c>
      <c r="N97" s="41"/>
      <c r="O97" s="39">
        <v>42542</v>
      </c>
      <c r="P97" s="40">
        <v>76575.600000000006</v>
      </c>
      <c r="Q97" s="40">
        <v>57431.700000000004</v>
      </c>
      <c r="R97" s="41"/>
      <c r="S97" s="37">
        <f t="shared" si="10"/>
        <v>38900</v>
      </c>
      <c r="T97" s="38">
        <f t="shared" si="11"/>
        <v>50000</v>
      </c>
    </row>
    <row r="98" spans="1:20" x14ac:dyDescent="0.25">
      <c r="A98" s="32"/>
      <c r="B98" s="88" t="s">
        <v>199</v>
      </c>
      <c r="C98" s="33"/>
      <c r="D98" s="34" t="s">
        <v>200</v>
      </c>
      <c r="E98" s="35" t="s">
        <v>39</v>
      </c>
      <c r="F98" s="36">
        <v>1</v>
      </c>
      <c r="G98" s="39">
        <v>40000</v>
      </c>
      <c r="H98" s="98">
        <f t="shared" si="6"/>
        <v>72000</v>
      </c>
      <c r="I98" s="98">
        <f t="shared" si="7"/>
        <v>54000</v>
      </c>
      <c r="J98" s="41"/>
      <c r="K98" s="39">
        <v>54500</v>
      </c>
      <c r="L98" s="98">
        <f t="shared" si="8"/>
        <v>96465</v>
      </c>
      <c r="M98" s="98">
        <f t="shared" si="9"/>
        <v>73575</v>
      </c>
      <c r="N98" s="41"/>
      <c r="O98" s="39">
        <v>56265</v>
      </c>
      <c r="P98" s="40">
        <v>101277</v>
      </c>
      <c r="Q98" s="40">
        <v>75957.75</v>
      </c>
      <c r="R98" s="41"/>
      <c r="S98" s="37">
        <f t="shared" si="10"/>
        <v>40000</v>
      </c>
      <c r="T98" s="38">
        <f t="shared" si="11"/>
        <v>56265</v>
      </c>
    </row>
    <row r="99" spans="1:20" x14ac:dyDescent="0.25">
      <c r="A99" s="32"/>
      <c r="B99" s="88" t="s">
        <v>201</v>
      </c>
      <c r="C99" s="33"/>
      <c r="D99" s="34" t="s">
        <v>202</v>
      </c>
      <c r="E99" s="35" t="s">
        <v>39</v>
      </c>
      <c r="F99" s="36">
        <v>1</v>
      </c>
      <c r="G99" s="39">
        <v>45000</v>
      </c>
      <c r="H99" s="98">
        <f t="shared" si="6"/>
        <v>81000</v>
      </c>
      <c r="I99" s="98">
        <f t="shared" si="7"/>
        <v>60750.000000000007</v>
      </c>
      <c r="J99" s="41"/>
      <c r="K99" s="39">
        <v>55500</v>
      </c>
      <c r="L99" s="98">
        <f t="shared" si="8"/>
        <v>98235</v>
      </c>
      <c r="M99" s="98">
        <f t="shared" si="9"/>
        <v>74925</v>
      </c>
      <c r="N99" s="41"/>
      <c r="O99" s="39">
        <v>58049</v>
      </c>
      <c r="P99" s="40">
        <v>104488.2</v>
      </c>
      <c r="Q99" s="40">
        <v>78366.150000000009</v>
      </c>
      <c r="R99" s="41"/>
      <c r="S99" s="37">
        <f t="shared" si="10"/>
        <v>45000</v>
      </c>
      <c r="T99" s="38">
        <f t="shared" si="11"/>
        <v>58049</v>
      </c>
    </row>
    <row r="100" spans="1:20" x14ac:dyDescent="0.25">
      <c r="A100" s="32"/>
      <c r="B100" s="88" t="s">
        <v>203</v>
      </c>
      <c r="C100" s="33"/>
      <c r="D100" s="34" t="s">
        <v>204</v>
      </c>
      <c r="E100" s="35" t="s">
        <v>39</v>
      </c>
      <c r="F100" s="36">
        <v>1</v>
      </c>
      <c r="G100" s="39">
        <v>65000</v>
      </c>
      <c r="H100" s="98">
        <f t="shared" si="6"/>
        <v>117000</v>
      </c>
      <c r="I100" s="98">
        <f t="shared" si="7"/>
        <v>87750</v>
      </c>
      <c r="J100" s="41"/>
      <c r="K100" s="39">
        <v>52291</v>
      </c>
      <c r="L100" s="98">
        <f t="shared" si="8"/>
        <v>92555.07</v>
      </c>
      <c r="M100" s="98">
        <f t="shared" si="9"/>
        <v>70592.850000000006</v>
      </c>
      <c r="N100" s="41"/>
      <c r="O100" s="39">
        <v>60382</v>
      </c>
      <c r="P100" s="40">
        <v>108687.6</v>
      </c>
      <c r="Q100" s="40">
        <v>81515.700000000012</v>
      </c>
      <c r="R100" s="41"/>
      <c r="S100" s="37">
        <f t="shared" si="10"/>
        <v>52291</v>
      </c>
      <c r="T100" s="38">
        <f t="shared" si="11"/>
        <v>65000</v>
      </c>
    </row>
    <row r="101" spans="1:20" x14ac:dyDescent="0.25">
      <c r="A101" s="32"/>
      <c r="B101" s="88" t="s">
        <v>205</v>
      </c>
      <c r="C101" s="33"/>
      <c r="D101" s="34" t="s">
        <v>206</v>
      </c>
      <c r="E101" s="35" t="s">
        <v>39</v>
      </c>
      <c r="F101" s="36">
        <v>1</v>
      </c>
      <c r="G101" s="39">
        <v>35000</v>
      </c>
      <c r="H101" s="98">
        <f t="shared" si="6"/>
        <v>63000</v>
      </c>
      <c r="I101" s="98">
        <f t="shared" si="7"/>
        <v>47250</v>
      </c>
      <c r="J101" s="41"/>
      <c r="K101" s="39">
        <v>55500</v>
      </c>
      <c r="L101" s="98">
        <f t="shared" si="8"/>
        <v>98235</v>
      </c>
      <c r="M101" s="98">
        <f t="shared" si="9"/>
        <v>74925</v>
      </c>
      <c r="N101" s="41"/>
      <c r="O101" s="39">
        <v>56951</v>
      </c>
      <c r="P101" s="40">
        <v>102511.8</v>
      </c>
      <c r="Q101" s="40">
        <v>76883.850000000006</v>
      </c>
      <c r="R101" s="41"/>
      <c r="S101" s="37">
        <f t="shared" si="10"/>
        <v>35000</v>
      </c>
      <c r="T101" s="38">
        <f t="shared" si="11"/>
        <v>56951</v>
      </c>
    </row>
    <row r="102" spans="1:20" x14ac:dyDescent="0.25">
      <c r="A102" s="32"/>
      <c r="B102" s="88" t="s">
        <v>207</v>
      </c>
      <c r="C102" s="33"/>
      <c r="D102" s="34" t="s">
        <v>208</v>
      </c>
      <c r="E102" s="35" t="s">
        <v>39</v>
      </c>
      <c r="F102" s="36">
        <v>1</v>
      </c>
      <c r="G102" s="39">
        <v>38000</v>
      </c>
      <c r="H102" s="98">
        <f t="shared" si="6"/>
        <v>68400</v>
      </c>
      <c r="I102" s="98">
        <f t="shared" si="7"/>
        <v>51300</v>
      </c>
      <c r="J102" s="41"/>
      <c r="K102" s="39">
        <v>55500</v>
      </c>
      <c r="L102" s="98">
        <f t="shared" si="8"/>
        <v>98235</v>
      </c>
      <c r="M102" s="98">
        <f t="shared" si="9"/>
        <v>74925</v>
      </c>
      <c r="N102" s="41"/>
      <c r="O102" s="39">
        <v>59696</v>
      </c>
      <c r="P102" s="40">
        <v>107452.8</v>
      </c>
      <c r="Q102" s="40">
        <v>80589.600000000006</v>
      </c>
      <c r="R102" s="41"/>
      <c r="S102" s="37">
        <f t="shared" si="10"/>
        <v>38000</v>
      </c>
      <c r="T102" s="38">
        <f t="shared" si="11"/>
        <v>59696</v>
      </c>
    </row>
    <row r="103" spans="1:20" x14ac:dyDescent="0.25">
      <c r="A103" s="32"/>
      <c r="B103" s="88" t="s">
        <v>209</v>
      </c>
      <c r="C103" s="33"/>
      <c r="D103" s="34" t="s">
        <v>210</v>
      </c>
      <c r="E103" s="35" t="s">
        <v>39</v>
      </c>
      <c r="F103" s="36">
        <v>1</v>
      </c>
      <c r="G103" s="39">
        <v>40000</v>
      </c>
      <c r="H103" s="98">
        <f t="shared" si="6"/>
        <v>72000</v>
      </c>
      <c r="I103" s="98">
        <f t="shared" si="7"/>
        <v>54000</v>
      </c>
      <c r="J103" s="41"/>
      <c r="K103" s="39">
        <v>56500</v>
      </c>
      <c r="L103" s="98">
        <f t="shared" si="8"/>
        <v>100005</v>
      </c>
      <c r="M103" s="98">
        <f t="shared" si="9"/>
        <v>76275</v>
      </c>
      <c r="N103" s="41"/>
      <c r="O103" s="39">
        <v>60382</v>
      </c>
      <c r="P103" s="40">
        <v>108687.6</v>
      </c>
      <c r="Q103" s="40">
        <v>81515.700000000012</v>
      </c>
      <c r="R103" s="41"/>
      <c r="S103" s="37">
        <f t="shared" si="10"/>
        <v>40000</v>
      </c>
      <c r="T103" s="38">
        <f t="shared" si="11"/>
        <v>60382</v>
      </c>
    </row>
    <row r="104" spans="1:20" x14ac:dyDescent="0.25">
      <c r="A104" s="32"/>
      <c r="B104" s="88" t="s">
        <v>211</v>
      </c>
      <c r="C104" s="33"/>
      <c r="D104" s="34" t="s">
        <v>212</v>
      </c>
      <c r="E104" s="35" t="s">
        <v>39</v>
      </c>
      <c r="F104" s="36">
        <v>1</v>
      </c>
      <c r="G104" s="39">
        <v>42000</v>
      </c>
      <c r="H104" s="98">
        <f t="shared" si="6"/>
        <v>75600</v>
      </c>
      <c r="I104" s="98">
        <f t="shared" si="7"/>
        <v>56700.000000000007</v>
      </c>
      <c r="J104" s="41"/>
      <c r="K104" s="39">
        <v>56500</v>
      </c>
      <c r="L104" s="98">
        <f t="shared" si="8"/>
        <v>100005</v>
      </c>
      <c r="M104" s="98">
        <f t="shared" si="9"/>
        <v>76275</v>
      </c>
      <c r="N104" s="41"/>
      <c r="O104" s="39">
        <v>61754</v>
      </c>
      <c r="P104" s="40">
        <v>111157.2</v>
      </c>
      <c r="Q104" s="40">
        <v>83367.900000000009</v>
      </c>
      <c r="R104" s="41"/>
      <c r="S104" s="37">
        <f t="shared" si="10"/>
        <v>42000</v>
      </c>
      <c r="T104" s="38">
        <f t="shared" si="11"/>
        <v>61754</v>
      </c>
    </row>
    <row r="105" spans="1:20" x14ac:dyDescent="0.25">
      <c r="A105" s="32"/>
      <c r="B105" s="88" t="s">
        <v>213</v>
      </c>
      <c r="C105" s="33"/>
      <c r="D105" s="34" t="s">
        <v>214</v>
      </c>
      <c r="E105" s="35" t="s">
        <v>94</v>
      </c>
      <c r="F105" s="36">
        <v>1</v>
      </c>
      <c r="G105" s="39">
        <v>120</v>
      </c>
      <c r="H105" s="98">
        <f t="shared" si="6"/>
        <v>216</v>
      </c>
      <c r="I105" s="98">
        <f t="shared" si="7"/>
        <v>162</v>
      </c>
      <c r="J105" s="41"/>
      <c r="K105" s="39">
        <v>230</v>
      </c>
      <c r="L105" s="98">
        <f t="shared" si="8"/>
        <v>407.1</v>
      </c>
      <c r="M105" s="98">
        <f t="shared" si="9"/>
        <v>310.5</v>
      </c>
      <c r="N105" s="41"/>
      <c r="O105" s="39">
        <v>206</v>
      </c>
      <c r="P105" s="40">
        <v>370.8</v>
      </c>
      <c r="Q105" s="40">
        <v>278.10000000000002</v>
      </c>
      <c r="R105" s="41"/>
      <c r="S105" s="37">
        <f t="shared" si="10"/>
        <v>120</v>
      </c>
      <c r="T105" s="38">
        <f t="shared" si="11"/>
        <v>230</v>
      </c>
    </row>
    <row r="106" spans="1:20" x14ac:dyDescent="0.25">
      <c r="A106" s="32"/>
      <c r="B106" s="88" t="s">
        <v>215</v>
      </c>
      <c r="C106" s="33"/>
      <c r="D106" s="34" t="s">
        <v>216</v>
      </c>
      <c r="E106" s="35" t="s">
        <v>59</v>
      </c>
      <c r="F106" s="36">
        <v>1</v>
      </c>
      <c r="G106" s="39">
        <v>17000</v>
      </c>
      <c r="H106" s="98">
        <f t="shared" si="6"/>
        <v>30600</v>
      </c>
      <c r="I106" s="98">
        <f t="shared" si="7"/>
        <v>22950</v>
      </c>
      <c r="J106" s="41"/>
      <c r="K106" s="39">
        <v>18760</v>
      </c>
      <c r="L106" s="98">
        <f t="shared" si="8"/>
        <v>33205.199999999997</v>
      </c>
      <c r="M106" s="98">
        <f t="shared" si="9"/>
        <v>25326</v>
      </c>
      <c r="N106" s="41"/>
      <c r="O106" s="39">
        <v>20585</v>
      </c>
      <c r="P106" s="40">
        <v>37053</v>
      </c>
      <c r="Q106" s="40">
        <v>27789.750000000004</v>
      </c>
      <c r="R106" s="41"/>
      <c r="S106" s="37">
        <f t="shared" si="10"/>
        <v>17000</v>
      </c>
      <c r="T106" s="38">
        <f t="shared" si="11"/>
        <v>20585</v>
      </c>
    </row>
    <row r="107" spans="1:20" x14ac:dyDescent="0.25">
      <c r="A107" s="32"/>
      <c r="B107" s="88" t="s">
        <v>217</v>
      </c>
      <c r="C107" s="33"/>
      <c r="D107" s="34" t="s">
        <v>218</v>
      </c>
      <c r="E107" s="35" t="s">
        <v>190</v>
      </c>
      <c r="F107" s="36">
        <v>1</v>
      </c>
      <c r="G107" s="39">
        <v>35000</v>
      </c>
      <c r="H107" s="98">
        <f t="shared" si="6"/>
        <v>63000</v>
      </c>
      <c r="I107" s="98">
        <f t="shared" si="7"/>
        <v>47250</v>
      </c>
      <c r="J107" s="41"/>
      <c r="K107" s="39">
        <v>9927</v>
      </c>
      <c r="L107" s="98">
        <f t="shared" si="8"/>
        <v>17570.79</v>
      </c>
      <c r="M107" s="98">
        <f t="shared" si="9"/>
        <v>13401.45</v>
      </c>
      <c r="N107" s="41"/>
      <c r="O107" s="39">
        <v>3431</v>
      </c>
      <c r="P107" s="40">
        <v>6175.8</v>
      </c>
      <c r="Q107" s="40">
        <v>4631.8500000000004</v>
      </c>
      <c r="R107" s="41"/>
      <c r="S107" s="37">
        <f t="shared" si="10"/>
        <v>3431</v>
      </c>
      <c r="T107" s="38">
        <f t="shared" si="11"/>
        <v>35000</v>
      </c>
    </row>
    <row r="108" spans="1:20" x14ac:dyDescent="0.25">
      <c r="A108" s="32"/>
      <c r="B108" s="88" t="s">
        <v>219</v>
      </c>
      <c r="C108" s="33"/>
      <c r="D108" s="34" t="s">
        <v>220</v>
      </c>
      <c r="E108" s="35" t="s">
        <v>39</v>
      </c>
      <c r="F108" s="36">
        <v>1</v>
      </c>
      <c r="G108" s="39">
        <v>16500</v>
      </c>
      <c r="H108" s="98">
        <f t="shared" si="6"/>
        <v>29700</v>
      </c>
      <c r="I108" s="98">
        <f t="shared" si="7"/>
        <v>22275</v>
      </c>
      <c r="J108" s="41"/>
      <c r="K108" s="39">
        <v>9988</v>
      </c>
      <c r="L108" s="98">
        <f t="shared" si="8"/>
        <v>17678.759999999998</v>
      </c>
      <c r="M108" s="98">
        <f t="shared" si="9"/>
        <v>13483.800000000001</v>
      </c>
      <c r="N108" s="41"/>
      <c r="O108" s="39">
        <v>9606</v>
      </c>
      <c r="P108" s="40">
        <v>17290.8</v>
      </c>
      <c r="Q108" s="40">
        <v>12968.1</v>
      </c>
      <c r="R108" s="41"/>
      <c r="S108" s="37">
        <f t="shared" si="10"/>
        <v>9606</v>
      </c>
      <c r="T108" s="38">
        <f t="shared" si="11"/>
        <v>16500</v>
      </c>
    </row>
    <row r="109" spans="1:20" x14ac:dyDescent="0.25">
      <c r="A109" s="32"/>
      <c r="B109" s="88" t="s">
        <v>221</v>
      </c>
      <c r="C109" s="33"/>
      <c r="D109" s="34" t="s">
        <v>222</v>
      </c>
      <c r="E109" s="35" t="s">
        <v>59</v>
      </c>
      <c r="F109" s="36">
        <v>1</v>
      </c>
      <c r="G109" s="39">
        <v>20000</v>
      </c>
      <c r="H109" s="98">
        <f t="shared" si="6"/>
        <v>36000</v>
      </c>
      <c r="I109" s="98">
        <f t="shared" si="7"/>
        <v>27000</v>
      </c>
      <c r="J109" s="41"/>
      <c r="K109" s="39">
        <v>45982</v>
      </c>
      <c r="L109" s="98">
        <f t="shared" si="8"/>
        <v>81388.14</v>
      </c>
      <c r="M109" s="98">
        <f t="shared" si="9"/>
        <v>62075.700000000004</v>
      </c>
      <c r="N109" s="41"/>
      <c r="O109" s="39">
        <v>50501</v>
      </c>
      <c r="P109" s="40">
        <v>90901.8</v>
      </c>
      <c r="Q109" s="40">
        <v>68176.350000000006</v>
      </c>
      <c r="R109" s="41"/>
      <c r="S109" s="37">
        <f t="shared" si="10"/>
        <v>20000</v>
      </c>
      <c r="T109" s="38">
        <f t="shared" si="11"/>
        <v>50501</v>
      </c>
    </row>
    <row r="110" spans="1:20" x14ac:dyDescent="0.25">
      <c r="A110" s="32"/>
      <c r="B110" s="88" t="s">
        <v>223</v>
      </c>
      <c r="C110" s="33"/>
      <c r="D110" s="34" t="s">
        <v>224</v>
      </c>
      <c r="E110" s="35" t="s">
        <v>39</v>
      </c>
      <c r="F110" s="36">
        <v>1</v>
      </c>
      <c r="G110" s="39">
        <v>65000</v>
      </c>
      <c r="H110" s="98">
        <f t="shared" si="6"/>
        <v>117000</v>
      </c>
      <c r="I110" s="98">
        <f t="shared" si="7"/>
        <v>87750</v>
      </c>
      <c r="J110" s="41"/>
      <c r="K110" s="39">
        <v>55601</v>
      </c>
      <c r="L110" s="98">
        <f t="shared" si="8"/>
        <v>98413.77</v>
      </c>
      <c r="M110" s="98">
        <f t="shared" si="9"/>
        <v>75061.350000000006</v>
      </c>
      <c r="N110" s="41"/>
      <c r="O110" s="39">
        <v>60382</v>
      </c>
      <c r="P110" s="40">
        <v>108687.6</v>
      </c>
      <c r="Q110" s="40">
        <v>81515.700000000012</v>
      </c>
      <c r="R110" s="41"/>
      <c r="S110" s="37">
        <f t="shared" si="10"/>
        <v>55601</v>
      </c>
      <c r="T110" s="38">
        <f t="shared" si="11"/>
        <v>65000</v>
      </c>
    </row>
    <row r="111" spans="1:20" x14ac:dyDescent="0.25">
      <c r="A111" s="32"/>
      <c r="B111" s="88" t="s">
        <v>225</v>
      </c>
      <c r="C111" s="33"/>
      <c r="D111" s="34" t="s">
        <v>226</v>
      </c>
      <c r="E111" s="35" t="s">
        <v>39</v>
      </c>
      <c r="F111" s="36">
        <v>1</v>
      </c>
      <c r="G111" s="39">
        <v>50000</v>
      </c>
      <c r="H111" s="98">
        <f t="shared" si="6"/>
        <v>90000</v>
      </c>
      <c r="I111" s="98">
        <f t="shared" si="7"/>
        <v>67500</v>
      </c>
      <c r="J111" s="41"/>
      <c r="K111" s="39">
        <v>73840</v>
      </c>
      <c r="L111" s="98">
        <f t="shared" si="8"/>
        <v>130696.8</v>
      </c>
      <c r="M111" s="98">
        <f t="shared" si="9"/>
        <v>99684</v>
      </c>
      <c r="N111" s="41"/>
      <c r="O111" s="39">
        <v>83574</v>
      </c>
      <c r="P111" s="40">
        <v>150433.20000000001</v>
      </c>
      <c r="Q111" s="40">
        <v>112824.90000000001</v>
      </c>
      <c r="R111" s="41"/>
      <c r="S111" s="37">
        <f t="shared" si="10"/>
        <v>50000</v>
      </c>
      <c r="T111" s="38">
        <f t="shared" si="11"/>
        <v>83574</v>
      </c>
    </row>
    <row r="112" spans="1:20" x14ac:dyDescent="0.25">
      <c r="A112" s="32"/>
      <c r="B112" s="88" t="s">
        <v>227</v>
      </c>
      <c r="C112" s="33"/>
      <c r="D112" s="34" t="s">
        <v>228</v>
      </c>
      <c r="E112" s="35" t="s">
        <v>39</v>
      </c>
      <c r="F112" s="36">
        <v>1</v>
      </c>
      <c r="G112" s="39">
        <v>39000</v>
      </c>
      <c r="H112" s="98">
        <f t="shared" si="6"/>
        <v>70200</v>
      </c>
      <c r="I112" s="98">
        <f t="shared" si="7"/>
        <v>52650</v>
      </c>
      <c r="J112" s="41"/>
      <c r="K112" s="39">
        <v>49232</v>
      </c>
      <c r="L112" s="98">
        <f t="shared" si="8"/>
        <v>87140.64</v>
      </c>
      <c r="M112" s="98">
        <f t="shared" si="9"/>
        <v>66463.200000000012</v>
      </c>
      <c r="N112" s="41"/>
      <c r="O112" s="39">
        <v>53520</v>
      </c>
      <c r="P112" s="40">
        <v>96336</v>
      </c>
      <c r="Q112" s="40">
        <v>72252</v>
      </c>
      <c r="R112" s="41"/>
      <c r="S112" s="37">
        <f t="shared" si="10"/>
        <v>39000</v>
      </c>
      <c r="T112" s="38">
        <f t="shared" si="11"/>
        <v>53520</v>
      </c>
    </row>
    <row r="113" spans="1:20" x14ac:dyDescent="0.25">
      <c r="A113" s="32"/>
      <c r="B113" s="88" t="s">
        <v>229</v>
      </c>
      <c r="C113" s="33"/>
      <c r="D113" s="34" t="s">
        <v>230</v>
      </c>
      <c r="E113" s="35" t="s">
        <v>39</v>
      </c>
      <c r="F113" s="36">
        <v>1</v>
      </c>
      <c r="G113" s="39">
        <v>39000</v>
      </c>
      <c r="H113" s="98">
        <f t="shared" si="6"/>
        <v>70200</v>
      </c>
      <c r="I113" s="98">
        <f t="shared" si="7"/>
        <v>52650</v>
      </c>
      <c r="J113" s="41"/>
      <c r="K113" s="39">
        <v>25866</v>
      </c>
      <c r="L113" s="98">
        <f t="shared" si="8"/>
        <v>45782.82</v>
      </c>
      <c r="M113" s="98">
        <f t="shared" si="9"/>
        <v>34919.100000000006</v>
      </c>
      <c r="N113" s="41"/>
      <c r="O113" s="39">
        <v>27446</v>
      </c>
      <c r="P113" s="40">
        <v>49402.8</v>
      </c>
      <c r="Q113" s="40">
        <v>37052.100000000006</v>
      </c>
      <c r="R113" s="41"/>
      <c r="S113" s="37">
        <f t="shared" si="10"/>
        <v>25866</v>
      </c>
      <c r="T113" s="38">
        <f t="shared" si="11"/>
        <v>39000</v>
      </c>
    </row>
    <row r="114" spans="1:20" x14ac:dyDescent="0.25">
      <c r="A114" s="32"/>
      <c r="B114" s="88" t="s">
        <v>231</v>
      </c>
      <c r="C114" s="33"/>
      <c r="D114" s="34" t="s">
        <v>232</v>
      </c>
      <c r="E114" s="35" t="s">
        <v>59</v>
      </c>
      <c r="F114" s="36">
        <v>1</v>
      </c>
      <c r="G114" s="39">
        <v>20000</v>
      </c>
      <c r="H114" s="98">
        <f t="shared" si="6"/>
        <v>36000</v>
      </c>
      <c r="I114" s="98">
        <f t="shared" si="7"/>
        <v>27000</v>
      </c>
      <c r="J114" s="41"/>
      <c r="K114" s="39">
        <v>70619</v>
      </c>
      <c r="L114" s="98">
        <f t="shared" si="8"/>
        <v>124995.63</v>
      </c>
      <c r="M114" s="98">
        <f t="shared" si="9"/>
        <v>95335.650000000009</v>
      </c>
      <c r="N114" s="41"/>
      <c r="O114" s="39">
        <v>68616</v>
      </c>
      <c r="P114" s="40">
        <v>123508.8</v>
      </c>
      <c r="Q114" s="40">
        <v>92631.6</v>
      </c>
      <c r="R114" s="41"/>
      <c r="S114" s="37">
        <f t="shared" si="10"/>
        <v>20000</v>
      </c>
      <c r="T114" s="38">
        <f t="shared" si="11"/>
        <v>70619</v>
      </c>
    </row>
    <row r="115" spans="1:20" x14ac:dyDescent="0.25">
      <c r="A115" s="32"/>
      <c r="B115" s="88" t="s">
        <v>233</v>
      </c>
      <c r="C115" s="33"/>
      <c r="D115" s="34" t="s">
        <v>234</v>
      </c>
      <c r="E115" s="35" t="s">
        <v>39</v>
      </c>
      <c r="F115" s="36">
        <v>1</v>
      </c>
      <c r="G115" s="39">
        <v>39000</v>
      </c>
      <c r="H115" s="98">
        <f t="shared" si="6"/>
        <v>70200</v>
      </c>
      <c r="I115" s="98">
        <f t="shared" si="7"/>
        <v>52650</v>
      </c>
      <c r="J115" s="41"/>
      <c r="K115" s="39">
        <v>52620</v>
      </c>
      <c r="L115" s="98">
        <f t="shared" si="8"/>
        <v>93137.4</v>
      </c>
      <c r="M115" s="98">
        <f t="shared" si="9"/>
        <v>71037</v>
      </c>
      <c r="N115" s="41"/>
      <c r="O115" s="39">
        <v>57637</v>
      </c>
      <c r="P115" s="40">
        <v>103746.6</v>
      </c>
      <c r="Q115" s="40">
        <v>77809.950000000012</v>
      </c>
      <c r="R115" s="41"/>
      <c r="S115" s="37">
        <f t="shared" si="10"/>
        <v>39000</v>
      </c>
      <c r="T115" s="38">
        <f t="shared" si="11"/>
        <v>57637</v>
      </c>
    </row>
    <row r="116" spans="1:20" x14ac:dyDescent="0.25">
      <c r="A116" s="32"/>
      <c r="B116" s="88" t="s">
        <v>235</v>
      </c>
      <c r="C116" s="33"/>
      <c r="D116" s="34" t="s">
        <v>236</v>
      </c>
      <c r="E116" s="35" t="s">
        <v>39</v>
      </c>
      <c r="F116" s="36">
        <v>1</v>
      </c>
      <c r="G116" s="39">
        <v>30000</v>
      </c>
      <c r="H116" s="98">
        <f t="shared" si="6"/>
        <v>54000</v>
      </c>
      <c r="I116" s="98">
        <f t="shared" si="7"/>
        <v>40500</v>
      </c>
      <c r="J116" s="41"/>
      <c r="K116" s="39">
        <v>51909</v>
      </c>
      <c r="L116" s="98">
        <f t="shared" si="8"/>
        <v>91878.930000000008</v>
      </c>
      <c r="M116" s="98">
        <f t="shared" si="9"/>
        <v>70077.150000000009</v>
      </c>
      <c r="N116" s="41"/>
      <c r="O116" s="39">
        <v>53520</v>
      </c>
      <c r="P116" s="40">
        <v>96336</v>
      </c>
      <c r="Q116" s="40">
        <v>72252</v>
      </c>
      <c r="R116" s="41"/>
      <c r="S116" s="37">
        <f t="shared" si="10"/>
        <v>30000</v>
      </c>
      <c r="T116" s="38">
        <f t="shared" si="11"/>
        <v>53520</v>
      </c>
    </row>
    <row r="117" spans="1:20" x14ac:dyDescent="0.25">
      <c r="A117" s="32"/>
      <c r="B117" s="88" t="s">
        <v>237</v>
      </c>
      <c r="C117" s="33"/>
      <c r="D117" s="34" t="s">
        <v>238</v>
      </c>
      <c r="E117" s="35" t="s">
        <v>59</v>
      </c>
      <c r="F117" s="36">
        <v>1</v>
      </c>
      <c r="G117" s="39">
        <v>20000</v>
      </c>
      <c r="H117" s="98">
        <f t="shared" si="6"/>
        <v>36000</v>
      </c>
      <c r="I117" s="98">
        <f t="shared" si="7"/>
        <v>27000</v>
      </c>
      <c r="J117" s="41"/>
      <c r="K117" s="39">
        <v>25955</v>
      </c>
      <c r="L117" s="98">
        <f t="shared" si="8"/>
        <v>45940.35</v>
      </c>
      <c r="M117" s="98">
        <f t="shared" si="9"/>
        <v>35039.25</v>
      </c>
      <c r="N117" s="41"/>
      <c r="O117" s="39">
        <v>23329</v>
      </c>
      <c r="P117" s="40">
        <v>41992.200000000004</v>
      </c>
      <c r="Q117" s="40">
        <v>31494.15</v>
      </c>
      <c r="R117" s="41"/>
      <c r="S117" s="37">
        <f t="shared" si="10"/>
        <v>20000</v>
      </c>
      <c r="T117" s="38">
        <f t="shared" si="11"/>
        <v>25955</v>
      </c>
    </row>
    <row r="118" spans="1:20" x14ac:dyDescent="0.25">
      <c r="A118" s="32"/>
      <c r="B118" s="88" t="s">
        <v>239</v>
      </c>
      <c r="C118" s="33"/>
      <c r="D118" s="34" t="s">
        <v>240</v>
      </c>
      <c r="E118" s="35" t="s">
        <v>59</v>
      </c>
      <c r="F118" s="36">
        <v>1</v>
      </c>
      <c r="G118" s="39">
        <v>20000</v>
      </c>
      <c r="H118" s="98">
        <f t="shared" si="6"/>
        <v>36000</v>
      </c>
      <c r="I118" s="98">
        <f t="shared" si="7"/>
        <v>27000</v>
      </c>
      <c r="J118" s="41"/>
      <c r="K118" s="39">
        <v>25955</v>
      </c>
      <c r="L118" s="98">
        <f t="shared" si="8"/>
        <v>45940.35</v>
      </c>
      <c r="M118" s="98">
        <f t="shared" si="9"/>
        <v>35039.25</v>
      </c>
      <c r="N118" s="41"/>
      <c r="O118" s="39">
        <v>23329</v>
      </c>
      <c r="P118" s="40">
        <v>41992.200000000004</v>
      </c>
      <c r="Q118" s="40">
        <v>31494.15</v>
      </c>
      <c r="R118" s="41"/>
      <c r="S118" s="37">
        <f t="shared" si="10"/>
        <v>20000</v>
      </c>
      <c r="T118" s="38">
        <f t="shared" si="11"/>
        <v>25955</v>
      </c>
    </row>
    <row r="119" spans="1:20" x14ac:dyDescent="0.25">
      <c r="A119" s="32"/>
      <c r="B119" s="88" t="s">
        <v>241</v>
      </c>
      <c r="C119" s="33"/>
      <c r="D119" s="34" t="s">
        <v>242</v>
      </c>
      <c r="E119" s="35" t="s">
        <v>39</v>
      </c>
      <c r="F119" s="36">
        <v>1</v>
      </c>
      <c r="G119" s="39">
        <v>35000</v>
      </c>
      <c r="H119" s="98">
        <f t="shared" si="6"/>
        <v>63000</v>
      </c>
      <c r="I119" s="98">
        <f t="shared" si="7"/>
        <v>47250</v>
      </c>
      <c r="J119" s="41"/>
      <c r="K119" s="39">
        <v>51909</v>
      </c>
      <c r="L119" s="98">
        <f t="shared" si="8"/>
        <v>91878.930000000008</v>
      </c>
      <c r="M119" s="98">
        <f t="shared" si="9"/>
        <v>70077.150000000009</v>
      </c>
      <c r="N119" s="41"/>
      <c r="O119" s="39">
        <v>60382</v>
      </c>
      <c r="P119" s="40">
        <v>108687.6</v>
      </c>
      <c r="Q119" s="40">
        <v>81515.700000000012</v>
      </c>
      <c r="R119" s="41"/>
      <c r="S119" s="37">
        <f t="shared" si="10"/>
        <v>35000</v>
      </c>
      <c r="T119" s="38">
        <f t="shared" si="11"/>
        <v>60382</v>
      </c>
    </row>
    <row r="120" spans="1:20" x14ac:dyDescent="0.25">
      <c r="A120" s="32"/>
      <c r="B120" s="88" t="s">
        <v>243</v>
      </c>
      <c r="C120" s="33"/>
      <c r="D120" s="34" t="s">
        <v>244</v>
      </c>
      <c r="E120" s="35" t="s">
        <v>59</v>
      </c>
      <c r="F120" s="36">
        <v>1</v>
      </c>
      <c r="G120" s="39">
        <v>19000</v>
      </c>
      <c r="H120" s="98">
        <f t="shared" si="6"/>
        <v>34200</v>
      </c>
      <c r="I120" s="98">
        <f t="shared" si="7"/>
        <v>25650</v>
      </c>
      <c r="J120" s="41"/>
      <c r="K120" s="39">
        <v>31840</v>
      </c>
      <c r="L120" s="98">
        <f t="shared" si="8"/>
        <v>56356.800000000003</v>
      </c>
      <c r="M120" s="98">
        <f t="shared" si="9"/>
        <v>42984</v>
      </c>
      <c r="N120" s="41"/>
      <c r="O120" s="39">
        <v>37052</v>
      </c>
      <c r="P120" s="40">
        <v>66693.600000000006</v>
      </c>
      <c r="Q120" s="40">
        <v>50020.200000000004</v>
      </c>
      <c r="R120" s="41"/>
      <c r="S120" s="37">
        <f t="shared" si="10"/>
        <v>19000</v>
      </c>
      <c r="T120" s="38">
        <f t="shared" si="11"/>
        <v>37052</v>
      </c>
    </row>
    <row r="121" spans="1:20" x14ac:dyDescent="0.25">
      <c r="A121" s="32"/>
      <c r="B121" s="88" t="s">
        <v>245</v>
      </c>
      <c r="C121" s="33"/>
      <c r="D121" s="34" t="s">
        <v>246</v>
      </c>
      <c r="E121" s="35" t="s">
        <v>59</v>
      </c>
      <c r="F121" s="36">
        <v>1</v>
      </c>
      <c r="G121" s="39">
        <v>35000</v>
      </c>
      <c r="H121" s="98">
        <f t="shared" si="6"/>
        <v>63000</v>
      </c>
      <c r="I121" s="98">
        <f t="shared" si="7"/>
        <v>47250</v>
      </c>
      <c r="J121" s="41"/>
      <c r="K121" s="39">
        <v>53812</v>
      </c>
      <c r="L121" s="98">
        <f t="shared" si="8"/>
        <v>95247.24</v>
      </c>
      <c r="M121" s="98">
        <f t="shared" si="9"/>
        <v>72646.200000000012</v>
      </c>
      <c r="N121" s="41"/>
      <c r="O121" s="39">
        <v>49403</v>
      </c>
      <c r="P121" s="40">
        <v>88925.400000000009</v>
      </c>
      <c r="Q121" s="40">
        <v>66694.05</v>
      </c>
      <c r="R121" s="41"/>
      <c r="S121" s="37">
        <f t="shared" si="10"/>
        <v>35000</v>
      </c>
      <c r="T121" s="38">
        <f t="shared" si="11"/>
        <v>53812</v>
      </c>
    </row>
    <row r="122" spans="1:20" x14ac:dyDescent="0.25">
      <c r="A122" s="32"/>
      <c r="B122" s="88" t="s">
        <v>247</v>
      </c>
      <c r="C122" s="33"/>
      <c r="D122" s="34" t="s">
        <v>248</v>
      </c>
      <c r="E122" s="35" t="s">
        <v>59</v>
      </c>
      <c r="F122" s="36">
        <v>1</v>
      </c>
      <c r="G122" s="39">
        <v>20000</v>
      </c>
      <c r="H122" s="98">
        <f t="shared" si="6"/>
        <v>36000</v>
      </c>
      <c r="I122" s="98">
        <f t="shared" si="7"/>
        <v>27000</v>
      </c>
      <c r="J122" s="41"/>
      <c r="K122" s="39">
        <v>26148</v>
      </c>
      <c r="L122" s="98">
        <f t="shared" si="8"/>
        <v>46281.96</v>
      </c>
      <c r="M122" s="98">
        <f t="shared" si="9"/>
        <v>35299.800000000003</v>
      </c>
      <c r="N122" s="41"/>
      <c r="O122" s="39">
        <v>28270</v>
      </c>
      <c r="P122" s="40">
        <v>50886</v>
      </c>
      <c r="Q122" s="40">
        <v>38164.5</v>
      </c>
      <c r="R122" s="41"/>
      <c r="S122" s="37">
        <f t="shared" si="10"/>
        <v>20000</v>
      </c>
      <c r="T122" s="38">
        <f t="shared" si="11"/>
        <v>28270</v>
      </c>
    </row>
    <row r="123" spans="1:20" x14ac:dyDescent="0.25">
      <c r="A123" s="32"/>
      <c r="B123" s="88" t="s">
        <v>249</v>
      </c>
      <c r="C123" s="33"/>
      <c r="D123" s="34" t="s">
        <v>250</v>
      </c>
      <c r="E123" s="35" t="s">
        <v>190</v>
      </c>
      <c r="F123" s="36">
        <v>1</v>
      </c>
      <c r="G123" s="39">
        <v>87500</v>
      </c>
      <c r="H123" s="98">
        <f t="shared" si="6"/>
        <v>157500</v>
      </c>
      <c r="I123" s="98">
        <f t="shared" si="7"/>
        <v>118125.00000000001</v>
      </c>
      <c r="J123" s="41"/>
      <c r="K123" s="39">
        <v>41156</v>
      </c>
      <c r="L123" s="98">
        <f t="shared" si="8"/>
        <v>72846.12</v>
      </c>
      <c r="M123" s="98">
        <f t="shared" si="9"/>
        <v>55560.600000000006</v>
      </c>
      <c r="N123" s="41"/>
      <c r="O123" s="39">
        <v>48031</v>
      </c>
      <c r="P123" s="40">
        <v>86455.8</v>
      </c>
      <c r="Q123" s="40">
        <v>64841.850000000006</v>
      </c>
      <c r="R123" s="41"/>
      <c r="S123" s="37">
        <f t="shared" si="10"/>
        <v>41156</v>
      </c>
      <c r="T123" s="38">
        <f t="shared" si="11"/>
        <v>87500</v>
      </c>
    </row>
    <row r="124" spans="1:20" x14ac:dyDescent="0.25">
      <c r="A124" s="32"/>
      <c r="B124" s="88" t="s">
        <v>251</v>
      </c>
      <c r="C124" s="33"/>
      <c r="D124" s="34" t="s">
        <v>252</v>
      </c>
      <c r="E124" s="35" t="s">
        <v>190</v>
      </c>
      <c r="F124" s="36">
        <v>1</v>
      </c>
      <c r="G124" s="39">
        <v>46500</v>
      </c>
      <c r="H124" s="98">
        <f t="shared" si="6"/>
        <v>83700</v>
      </c>
      <c r="I124" s="98">
        <f t="shared" si="7"/>
        <v>62775.000000000007</v>
      </c>
      <c r="J124" s="41"/>
      <c r="K124" s="39">
        <v>3982</v>
      </c>
      <c r="L124" s="98">
        <f t="shared" si="8"/>
        <v>7048.14</v>
      </c>
      <c r="M124" s="98">
        <f t="shared" si="9"/>
        <v>5375.7000000000007</v>
      </c>
      <c r="N124" s="41"/>
      <c r="O124" s="39">
        <v>4666</v>
      </c>
      <c r="P124" s="40">
        <v>8398.8000000000011</v>
      </c>
      <c r="Q124" s="40">
        <v>6299.1</v>
      </c>
      <c r="R124" s="41"/>
      <c r="S124" s="37">
        <f t="shared" si="10"/>
        <v>3982</v>
      </c>
      <c r="T124" s="38">
        <f t="shared" si="11"/>
        <v>46500</v>
      </c>
    </row>
    <row r="125" spans="1:20" x14ac:dyDescent="0.25">
      <c r="A125" s="32"/>
      <c r="B125" s="88" t="s">
        <v>253</v>
      </c>
      <c r="C125" s="33"/>
      <c r="D125" s="34" t="s">
        <v>254</v>
      </c>
      <c r="E125" s="35" t="s">
        <v>39</v>
      </c>
      <c r="F125" s="36">
        <v>1</v>
      </c>
      <c r="G125" s="39">
        <v>35000</v>
      </c>
      <c r="H125" s="98">
        <f t="shared" si="6"/>
        <v>63000</v>
      </c>
      <c r="I125" s="98">
        <f t="shared" si="7"/>
        <v>47250</v>
      </c>
      <c r="J125" s="41"/>
      <c r="K125" s="39">
        <v>9345</v>
      </c>
      <c r="L125" s="98">
        <f t="shared" si="8"/>
        <v>16540.650000000001</v>
      </c>
      <c r="M125" s="98">
        <f t="shared" si="9"/>
        <v>12615.75</v>
      </c>
      <c r="N125" s="41"/>
      <c r="O125" s="39">
        <v>10292</v>
      </c>
      <c r="P125" s="40">
        <v>18525.600000000002</v>
      </c>
      <c r="Q125" s="40">
        <v>13894.2</v>
      </c>
      <c r="R125" s="41"/>
      <c r="S125" s="37">
        <f t="shared" si="10"/>
        <v>9345</v>
      </c>
      <c r="T125" s="38">
        <f t="shared" si="11"/>
        <v>35000</v>
      </c>
    </row>
    <row r="126" spans="1:20" x14ac:dyDescent="0.25">
      <c r="A126" s="32"/>
      <c r="B126" s="88" t="s">
        <v>255</v>
      </c>
      <c r="C126" s="33"/>
      <c r="D126" s="34" t="s">
        <v>256</v>
      </c>
      <c r="E126" s="35" t="s">
        <v>94</v>
      </c>
      <c r="F126" s="36">
        <v>1</v>
      </c>
      <c r="G126" s="39">
        <v>42500</v>
      </c>
      <c r="H126" s="98">
        <f t="shared" si="6"/>
        <v>76500</v>
      </c>
      <c r="I126" s="98">
        <f t="shared" si="7"/>
        <v>57375.000000000007</v>
      </c>
      <c r="J126" s="41"/>
      <c r="K126" s="39">
        <v>7547</v>
      </c>
      <c r="L126" s="98">
        <f t="shared" si="8"/>
        <v>13358.19</v>
      </c>
      <c r="M126" s="98">
        <f t="shared" si="9"/>
        <v>10188.450000000001</v>
      </c>
      <c r="N126" s="41"/>
      <c r="O126" s="39">
        <v>6175</v>
      </c>
      <c r="P126" s="40">
        <v>11115</v>
      </c>
      <c r="Q126" s="40">
        <v>8336.25</v>
      </c>
      <c r="R126" s="41"/>
      <c r="S126" s="37">
        <f t="shared" si="10"/>
        <v>6175</v>
      </c>
      <c r="T126" s="38">
        <f t="shared" si="11"/>
        <v>42500</v>
      </c>
    </row>
    <row r="127" spans="1:20" x14ac:dyDescent="0.25">
      <c r="A127" s="32"/>
      <c r="B127" s="88" t="s">
        <v>257</v>
      </c>
      <c r="C127" s="33"/>
      <c r="D127" s="34" t="s">
        <v>258</v>
      </c>
      <c r="E127" s="35" t="s">
        <v>259</v>
      </c>
      <c r="F127" s="36">
        <v>1</v>
      </c>
      <c r="G127" s="39">
        <v>25000</v>
      </c>
      <c r="H127" s="98">
        <f t="shared" si="6"/>
        <v>45000</v>
      </c>
      <c r="I127" s="98">
        <f t="shared" si="7"/>
        <v>33750</v>
      </c>
      <c r="J127" s="41"/>
      <c r="K127" s="39">
        <v>12718</v>
      </c>
      <c r="L127" s="98">
        <f t="shared" si="8"/>
        <v>22510.86</v>
      </c>
      <c r="M127" s="98">
        <f t="shared" si="9"/>
        <v>17169.300000000003</v>
      </c>
      <c r="N127" s="41"/>
      <c r="O127" s="39">
        <v>13174</v>
      </c>
      <c r="P127" s="40">
        <v>23713.200000000001</v>
      </c>
      <c r="Q127" s="40">
        <v>17784.900000000001</v>
      </c>
      <c r="R127" s="41"/>
      <c r="S127" s="37">
        <f t="shared" si="10"/>
        <v>12718</v>
      </c>
      <c r="T127" s="38">
        <f t="shared" si="11"/>
        <v>25000</v>
      </c>
    </row>
    <row r="128" spans="1:20" x14ac:dyDescent="0.25">
      <c r="A128" s="32"/>
      <c r="B128" s="88" t="s">
        <v>260</v>
      </c>
      <c r="C128" s="33"/>
      <c r="D128" s="34" t="s">
        <v>261</v>
      </c>
      <c r="E128" s="35" t="s">
        <v>259</v>
      </c>
      <c r="F128" s="36">
        <v>1</v>
      </c>
      <c r="G128" s="39">
        <v>25000</v>
      </c>
      <c r="H128" s="98">
        <f t="shared" si="6"/>
        <v>45000</v>
      </c>
      <c r="I128" s="98">
        <f t="shared" si="7"/>
        <v>33750</v>
      </c>
      <c r="J128" s="41"/>
      <c r="K128" s="39">
        <v>13636</v>
      </c>
      <c r="L128" s="98">
        <f t="shared" si="8"/>
        <v>24135.72</v>
      </c>
      <c r="M128" s="98">
        <f t="shared" si="9"/>
        <v>18408.600000000002</v>
      </c>
      <c r="N128" s="41"/>
      <c r="O128" s="39">
        <v>13998</v>
      </c>
      <c r="P128" s="40">
        <v>25196.400000000001</v>
      </c>
      <c r="Q128" s="40">
        <v>18897.300000000003</v>
      </c>
      <c r="R128" s="41"/>
      <c r="S128" s="37">
        <f t="shared" si="10"/>
        <v>13636</v>
      </c>
      <c r="T128" s="38">
        <f t="shared" si="11"/>
        <v>25000</v>
      </c>
    </row>
    <row r="129" spans="1:20" x14ac:dyDescent="0.25">
      <c r="A129" s="32"/>
      <c r="B129" s="88" t="s">
        <v>262</v>
      </c>
      <c r="C129" s="33"/>
      <c r="D129" s="34" t="s">
        <v>263</v>
      </c>
      <c r="E129" s="35" t="s">
        <v>59</v>
      </c>
      <c r="F129" s="36">
        <v>1</v>
      </c>
      <c r="G129" s="39">
        <v>85000</v>
      </c>
      <c r="H129" s="98">
        <f t="shared" si="6"/>
        <v>153000</v>
      </c>
      <c r="I129" s="98">
        <f t="shared" si="7"/>
        <v>114750.00000000001</v>
      </c>
      <c r="J129" s="41"/>
      <c r="K129" s="39">
        <v>37840</v>
      </c>
      <c r="L129" s="98">
        <f t="shared" si="8"/>
        <v>66976.800000000003</v>
      </c>
      <c r="M129" s="98">
        <f t="shared" si="9"/>
        <v>51084</v>
      </c>
      <c r="N129" s="41"/>
      <c r="O129" s="39">
        <v>38425</v>
      </c>
      <c r="P129" s="40">
        <v>69165</v>
      </c>
      <c r="Q129" s="40">
        <v>51873.75</v>
      </c>
      <c r="R129" s="41"/>
      <c r="S129" s="37">
        <f t="shared" si="10"/>
        <v>37840</v>
      </c>
      <c r="T129" s="38">
        <f t="shared" si="11"/>
        <v>85000</v>
      </c>
    </row>
    <row r="130" spans="1:20" x14ac:dyDescent="0.25">
      <c r="A130" s="32"/>
      <c r="B130" s="88" t="s">
        <v>264</v>
      </c>
      <c r="C130" s="33"/>
      <c r="D130" s="34" t="s">
        <v>265</v>
      </c>
      <c r="E130" s="35" t="s">
        <v>39</v>
      </c>
      <c r="F130" s="36">
        <v>1</v>
      </c>
      <c r="G130" s="39">
        <v>80000</v>
      </c>
      <c r="H130" s="98">
        <f t="shared" si="6"/>
        <v>144000</v>
      </c>
      <c r="I130" s="98">
        <f t="shared" si="7"/>
        <v>108000</v>
      </c>
      <c r="J130" s="41"/>
      <c r="K130" s="39">
        <v>61272</v>
      </c>
      <c r="L130" s="98">
        <f t="shared" si="8"/>
        <v>108451.44</v>
      </c>
      <c r="M130" s="98">
        <f t="shared" si="9"/>
        <v>82717.200000000012</v>
      </c>
      <c r="N130" s="41"/>
      <c r="O130" s="39">
        <v>67793</v>
      </c>
      <c r="P130" s="40">
        <v>122027.40000000001</v>
      </c>
      <c r="Q130" s="40">
        <v>91520.55</v>
      </c>
      <c r="R130" s="41"/>
      <c r="S130" s="37">
        <f t="shared" si="10"/>
        <v>61272</v>
      </c>
      <c r="T130" s="38">
        <f t="shared" si="11"/>
        <v>80000</v>
      </c>
    </row>
    <row r="131" spans="1:20" x14ac:dyDescent="0.25">
      <c r="A131" s="32"/>
      <c r="B131" s="88" t="s">
        <v>266</v>
      </c>
      <c r="C131" s="33"/>
      <c r="D131" s="34" t="s">
        <v>267</v>
      </c>
      <c r="E131" s="35" t="s">
        <v>39</v>
      </c>
      <c r="F131" s="36">
        <v>1</v>
      </c>
      <c r="G131" s="39">
        <v>87500</v>
      </c>
      <c r="H131" s="98">
        <f t="shared" si="6"/>
        <v>157500</v>
      </c>
      <c r="I131" s="98">
        <f t="shared" si="7"/>
        <v>118125.00000000001</v>
      </c>
      <c r="J131" s="41"/>
      <c r="K131" s="39">
        <v>62272</v>
      </c>
      <c r="L131" s="98">
        <f t="shared" si="8"/>
        <v>110221.44</v>
      </c>
      <c r="M131" s="98">
        <f t="shared" si="9"/>
        <v>84067.200000000012</v>
      </c>
      <c r="N131" s="41"/>
      <c r="O131" s="39">
        <v>67793</v>
      </c>
      <c r="P131" s="40">
        <v>122027.40000000001</v>
      </c>
      <c r="Q131" s="40">
        <v>91520.55</v>
      </c>
      <c r="R131" s="41"/>
      <c r="S131" s="37">
        <f t="shared" si="10"/>
        <v>62272</v>
      </c>
      <c r="T131" s="38">
        <f t="shared" si="11"/>
        <v>87500</v>
      </c>
    </row>
    <row r="132" spans="1:20" x14ac:dyDescent="0.25">
      <c r="A132" s="32"/>
      <c r="B132" s="88" t="s">
        <v>268</v>
      </c>
      <c r="C132" s="33"/>
      <c r="D132" s="34" t="s">
        <v>269</v>
      </c>
      <c r="E132" s="35" t="s">
        <v>39</v>
      </c>
      <c r="F132" s="36">
        <v>1</v>
      </c>
      <c r="G132" s="39">
        <v>95000</v>
      </c>
      <c r="H132" s="98">
        <f t="shared" si="6"/>
        <v>171000</v>
      </c>
      <c r="I132" s="98">
        <f t="shared" si="7"/>
        <v>128250.00000000001</v>
      </c>
      <c r="J132" s="41"/>
      <c r="K132" s="39">
        <v>63402</v>
      </c>
      <c r="L132" s="98">
        <f t="shared" si="8"/>
        <v>112221.54000000001</v>
      </c>
      <c r="M132" s="98">
        <f t="shared" si="9"/>
        <v>85592.700000000012</v>
      </c>
      <c r="N132" s="41"/>
      <c r="O132" s="39">
        <v>72184</v>
      </c>
      <c r="P132" s="40">
        <v>129931.2</v>
      </c>
      <c r="Q132" s="40">
        <v>97448.400000000009</v>
      </c>
      <c r="R132" s="41"/>
      <c r="S132" s="37">
        <f t="shared" si="10"/>
        <v>63402</v>
      </c>
      <c r="T132" s="38">
        <f t="shared" si="11"/>
        <v>95000</v>
      </c>
    </row>
    <row r="133" spans="1:20" x14ac:dyDescent="0.25">
      <c r="A133" s="32"/>
      <c r="B133" s="88" t="s">
        <v>270</v>
      </c>
      <c r="C133" s="33"/>
      <c r="D133" s="34" t="s">
        <v>271</v>
      </c>
      <c r="E133" s="35" t="s">
        <v>39</v>
      </c>
      <c r="F133" s="36">
        <v>1</v>
      </c>
      <c r="G133" s="39">
        <v>91500</v>
      </c>
      <c r="H133" s="98">
        <f t="shared" si="6"/>
        <v>164700</v>
      </c>
      <c r="I133" s="98">
        <f t="shared" si="7"/>
        <v>123525.00000000001</v>
      </c>
      <c r="J133" s="41"/>
      <c r="K133" s="39">
        <v>75525</v>
      </c>
      <c r="L133" s="98">
        <f t="shared" si="8"/>
        <v>133679.25</v>
      </c>
      <c r="M133" s="98">
        <f t="shared" si="9"/>
        <v>101958.75</v>
      </c>
      <c r="N133" s="41"/>
      <c r="O133" s="39">
        <v>82339</v>
      </c>
      <c r="P133" s="40">
        <v>148210.20000000001</v>
      </c>
      <c r="Q133" s="40">
        <v>111157.65000000001</v>
      </c>
      <c r="R133" s="41"/>
      <c r="S133" s="37">
        <f t="shared" si="10"/>
        <v>75525</v>
      </c>
      <c r="T133" s="38">
        <f t="shared" si="11"/>
        <v>91500</v>
      </c>
    </row>
    <row r="134" spans="1:20" x14ac:dyDescent="0.25">
      <c r="A134" s="32"/>
      <c r="B134" s="88" t="s">
        <v>272</v>
      </c>
      <c r="C134" s="33"/>
      <c r="D134" s="34" t="s">
        <v>273</v>
      </c>
      <c r="E134" s="35" t="s">
        <v>39</v>
      </c>
      <c r="F134" s="36">
        <v>1</v>
      </c>
      <c r="G134" s="39">
        <v>127500</v>
      </c>
      <c r="H134" s="98">
        <f t="shared" si="6"/>
        <v>229500</v>
      </c>
      <c r="I134" s="98">
        <f t="shared" si="7"/>
        <v>172125</v>
      </c>
      <c r="J134" s="41"/>
      <c r="K134" s="39">
        <v>75525</v>
      </c>
      <c r="L134" s="98">
        <f t="shared" si="8"/>
        <v>133679.25</v>
      </c>
      <c r="M134" s="98">
        <f t="shared" si="9"/>
        <v>101958.75</v>
      </c>
      <c r="N134" s="41"/>
      <c r="O134" s="39">
        <v>86456</v>
      </c>
      <c r="P134" s="40">
        <v>155620.80000000002</v>
      </c>
      <c r="Q134" s="40">
        <v>116715.6</v>
      </c>
      <c r="R134" s="41"/>
      <c r="S134" s="37">
        <f t="shared" si="10"/>
        <v>75525</v>
      </c>
      <c r="T134" s="38">
        <f t="shared" si="11"/>
        <v>127500</v>
      </c>
    </row>
    <row r="135" spans="1:20" x14ac:dyDescent="0.25">
      <c r="A135" s="32"/>
      <c r="B135" s="88" t="s">
        <v>274</v>
      </c>
      <c r="C135" s="33"/>
      <c r="D135" s="34" t="s">
        <v>275</v>
      </c>
      <c r="E135" s="35" t="s">
        <v>39</v>
      </c>
      <c r="F135" s="36">
        <v>1</v>
      </c>
      <c r="G135" s="39">
        <v>142500</v>
      </c>
      <c r="H135" s="98">
        <f t="shared" si="6"/>
        <v>256500</v>
      </c>
      <c r="I135" s="98">
        <f t="shared" si="7"/>
        <v>192375</v>
      </c>
      <c r="J135" s="41"/>
      <c r="K135" s="39">
        <v>77936</v>
      </c>
      <c r="L135" s="98">
        <f t="shared" si="8"/>
        <v>137946.72</v>
      </c>
      <c r="M135" s="98">
        <f t="shared" si="9"/>
        <v>105213.6</v>
      </c>
      <c r="N135" s="41"/>
      <c r="O135" s="39">
        <v>89200</v>
      </c>
      <c r="P135" s="40">
        <v>160560</v>
      </c>
      <c r="Q135" s="40">
        <v>120420.00000000001</v>
      </c>
      <c r="R135" s="41"/>
      <c r="S135" s="37">
        <f t="shared" si="10"/>
        <v>77936</v>
      </c>
      <c r="T135" s="38">
        <f t="shared" si="11"/>
        <v>142500</v>
      </c>
    </row>
    <row r="136" spans="1:20" x14ac:dyDescent="0.25">
      <c r="A136" s="32"/>
      <c r="B136" s="88" t="s">
        <v>276</v>
      </c>
      <c r="C136" s="33"/>
      <c r="D136" s="34" t="s">
        <v>277</v>
      </c>
      <c r="E136" s="35" t="s">
        <v>39</v>
      </c>
      <c r="F136" s="36">
        <v>1</v>
      </c>
      <c r="G136" s="39">
        <v>155000</v>
      </c>
      <c r="H136" s="98">
        <f t="shared" si="6"/>
        <v>279000</v>
      </c>
      <c r="I136" s="98">
        <f t="shared" si="7"/>
        <v>209250</v>
      </c>
      <c r="J136" s="41"/>
      <c r="K136" s="39">
        <v>82654</v>
      </c>
      <c r="L136" s="98">
        <f t="shared" si="8"/>
        <v>146297.57999999999</v>
      </c>
      <c r="M136" s="98">
        <f t="shared" si="9"/>
        <v>111582.90000000001</v>
      </c>
      <c r="N136" s="41"/>
      <c r="O136" s="39">
        <v>91945</v>
      </c>
      <c r="P136" s="40">
        <v>165501</v>
      </c>
      <c r="Q136" s="40">
        <v>124125.75000000001</v>
      </c>
      <c r="R136" s="41"/>
      <c r="S136" s="37">
        <f t="shared" si="10"/>
        <v>82654</v>
      </c>
      <c r="T136" s="38">
        <f t="shared" si="11"/>
        <v>155000</v>
      </c>
    </row>
    <row r="137" spans="1:20" x14ac:dyDescent="0.25">
      <c r="A137" s="32"/>
      <c r="B137" s="88" t="s">
        <v>278</v>
      </c>
      <c r="C137" s="33"/>
      <c r="D137" s="34" t="s">
        <v>279</v>
      </c>
      <c r="E137" s="35" t="s">
        <v>39</v>
      </c>
      <c r="F137" s="36">
        <v>1</v>
      </c>
      <c r="G137" s="39">
        <v>41500</v>
      </c>
      <c r="H137" s="98">
        <f t="shared" si="6"/>
        <v>74700</v>
      </c>
      <c r="I137" s="98">
        <f t="shared" si="7"/>
        <v>56025.000000000007</v>
      </c>
      <c r="J137" s="41"/>
      <c r="K137" s="39">
        <v>47465</v>
      </c>
      <c r="L137" s="98">
        <f t="shared" si="8"/>
        <v>84013.05</v>
      </c>
      <c r="M137" s="98">
        <f t="shared" si="9"/>
        <v>64077.750000000007</v>
      </c>
      <c r="N137" s="41"/>
      <c r="O137" s="39">
        <v>48031</v>
      </c>
      <c r="P137" s="40">
        <v>86455.8</v>
      </c>
      <c r="Q137" s="40">
        <v>64841.850000000006</v>
      </c>
      <c r="R137" s="41"/>
      <c r="S137" s="37">
        <f t="shared" si="10"/>
        <v>41500</v>
      </c>
      <c r="T137" s="38">
        <f t="shared" si="11"/>
        <v>48031</v>
      </c>
    </row>
    <row r="138" spans="1:20" x14ac:dyDescent="0.25">
      <c r="A138" s="32"/>
      <c r="B138" s="88" t="s">
        <v>280</v>
      </c>
      <c r="C138" s="33"/>
      <c r="D138" s="34" t="s">
        <v>279</v>
      </c>
      <c r="E138" s="35" t="s">
        <v>34</v>
      </c>
      <c r="F138" s="36">
        <v>1</v>
      </c>
      <c r="G138" s="39">
        <v>65000</v>
      </c>
      <c r="H138" s="98">
        <f t="shared" si="6"/>
        <v>117000</v>
      </c>
      <c r="I138" s="98">
        <f t="shared" si="7"/>
        <v>87750</v>
      </c>
      <c r="J138" s="41"/>
      <c r="K138" s="39">
        <v>197988</v>
      </c>
      <c r="L138" s="98">
        <f t="shared" si="8"/>
        <v>350438.76</v>
      </c>
      <c r="M138" s="98">
        <f t="shared" si="9"/>
        <v>267283.80000000005</v>
      </c>
      <c r="N138" s="41"/>
      <c r="O138" s="39">
        <v>203102</v>
      </c>
      <c r="P138" s="40">
        <v>365583.60000000003</v>
      </c>
      <c r="Q138" s="40">
        <v>274187.7</v>
      </c>
      <c r="R138" s="41"/>
      <c r="S138" s="37">
        <f t="shared" si="10"/>
        <v>65000</v>
      </c>
      <c r="T138" s="38">
        <f t="shared" si="11"/>
        <v>203102</v>
      </c>
    </row>
    <row r="139" spans="1:20" x14ac:dyDescent="0.25">
      <c r="A139" s="32"/>
      <c r="B139" s="88" t="s">
        <v>281</v>
      </c>
      <c r="C139" s="33"/>
      <c r="D139" s="34" t="s">
        <v>282</v>
      </c>
      <c r="E139" s="35" t="s">
        <v>34</v>
      </c>
      <c r="F139" s="36">
        <v>1</v>
      </c>
      <c r="G139" s="39">
        <v>107500</v>
      </c>
      <c r="H139" s="98">
        <f t="shared" si="6"/>
        <v>193500</v>
      </c>
      <c r="I139" s="98">
        <f t="shared" si="7"/>
        <v>145125</v>
      </c>
      <c r="J139" s="41"/>
      <c r="K139" s="39">
        <v>55945</v>
      </c>
      <c r="L139" s="98">
        <f t="shared" si="8"/>
        <v>99022.65</v>
      </c>
      <c r="M139" s="98">
        <f t="shared" si="9"/>
        <v>75525.75</v>
      </c>
      <c r="N139" s="41"/>
      <c r="O139" s="39">
        <v>60382</v>
      </c>
      <c r="P139" s="40">
        <v>108687.6</v>
      </c>
      <c r="Q139" s="40">
        <v>81515.700000000012</v>
      </c>
      <c r="R139" s="41"/>
      <c r="S139" s="37">
        <f t="shared" si="10"/>
        <v>55945</v>
      </c>
      <c r="T139" s="38">
        <f t="shared" si="11"/>
        <v>107500</v>
      </c>
    </row>
    <row r="140" spans="1:20" x14ac:dyDescent="0.25">
      <c r="A140" s="32"/>
      <c r="B140" s="88" t="s">
        <v>283</v>
      </c>
      <c r="C140" s="33"/>
      <c r="D140" s="34" t="s">
        <v>284</v>
      </c>
      <c r="E140" s="35" t="s">
        <v>39</v>
      </c>
      <c r="F140" s="36">
        <v>1</v>
      </c>
      <c r="G140" s="39">
        <v>41500</v>
      </c>
      <c r="H140" s="98">
        <f t="shared" si="6"/>
        <v>74700</v>
      </c>
      <c r="I140" s="98">
        <f t="shared" si="7"/>
        <v>56025.000000000007</v>
      </c>
      <c r="J140" s="41"/>
      <c r="K140" s="39">
        <v>39286</v>
      </c>
      <c r="L140" s="98">
        <f t="shared" si="8"/>
        <v>69536.22</v>
      </c>
      <c r="M140" s="98">
        <f t="shared" si="9"/>
        <v>53036.100000000006</v>
      </c>
      <c r="N140" s="41"/>
      <c r="O140" s="39">
        <v>43914</v>
      </c>
      <c r="P140" s="40">
        <v>79045.2</v>
      </c>
      <c r="Q140" s="40">
        <v>59283.9</v>
      </c>
      <c r="R140" s="41"/>
      <c r="S140" s="37">
        <f t="shared" si="10"/>
        <v>39286</v>
      </c>
      <c r="T140" s="38">
        <f t="shared" si="11"/>
        <v>43914</v>
      </c>
    </row>
    <row r="141" spans="1:20" x14ac:dyDescent="0.25">
      <c r="A141" s="32"/>
      <c r="B141" s="88" t="s">
        <v>285</v>
      </c>
      <c r="C141" s="33"/>
      <c r="D141" s="34" t="s">
        <v>286</v>
      </c>
      <c r="E141" s="35" t="s">
        <v>39</v>
      </c>
      <c r="F141" s="36">
        <v>1</v>
      </c>
      <c r="G141" s="39">
        <v>45000</v>
      </c>
      <c r="H141" s="98">
        <f t="shared" si="6"/>
        <v>81000</v>
      </c>
      <c r="I141" s="98">
        <f t="shared" si="7"/>
        <v>60750.000000000007</v>
      </c>
      <c r="J141" s="41"/>
      <c r="K141" s="39">
        <v>43415</v>
      </c>
      <c r="L141" s="98">
        <f t="shared" si="8"/>
        <v>76844.55</v>
      </c>
      <c r="M141" s="98">
        <f t="shared" si="9"/>
        <v>58610.250000000007</v>
      </c>
      <c r="N141" s="41"/>
      <c r="O141" s="39">
        <v>46659</v>
      </c>
      <c r="P141" s="40">
        <v>83986.2</v>
      </c>
      <c r="Q141" s="40">
        <v>62989.65</v>
      </c>
      <c r="R141" s="41"/>
      <c r="S141" s="37">
        <f t="shared" si="10"/>
        <v>43415</v>
      </c>
      <c r="T141" s="38">
        <f t="shared" si="11"/>
        <v>46659</v>
      </c>
    </row>
    <row r="142" spans="1:20" x14ac:dyDescent="0.25">
      <c r="A142" s="32"/>
      <c r="B142" s="88" t="s">
        <v>287</v>
      </c>
      <c r="C142" s="33"/>
      <c r="D142" s="34" t="s">
        <v>288</v>
      </c>
      <c r="E142" s="35" t="s">
        <v>39</v>
      </c>
      <c r="F142" s="36">
        <v>1</v>
      </c>
      <c r="G142" s="39">
        <v>52500</v>
      </c>
      <c r="H142" s="98">
        <f t="shared" si="6"/>
        <v>94500</v>
      </c>
      <c r="I142" s="98">
        <f t="shared" si="7"/>
        <v>70875</v>
      </c>
      <c r="J142" s="41"/>
      <c r="K142" s="39">
        <v>49982</v>
      </c>
      <c r="L142" s="98">
        <f t="shared" si="8"/>
        <v>88468.14</v>
      </c>
      <c r="M142" s="98">
        <f t="shared" si="9"/>
        <v>67475.700000000012</v>
      </c>
      <c r="N142" s="41"/>
      <c r="O142" s="39">
        <v>52148</v>
      </c>
      <c r="P142" s="40">
        <v>93866.400000000009</v>
      </c>
      <c r="Q142" s="40">
        <v>70399.8</v>
      </c>
      <c r="R142" s="41"/>
      <c r="S142" s="37">
        <f t="shared" si="10"/>
        <v>49982</v>
      </c>
      <c r="T142" s="38">
        <f t="shared" si="11"/>
        <v>52500</v>
      </c>
    </row>
    <row r="143" spans="1:20" x14ac:dyDescent="0.25">
      <c r="A143" s="32"/>
      <c r="B143" s="88" t="s">
        <v>289</v>
      </c>
      <c r="C143" s="33"/>
      <c r="D143" s="34" t="s">
        <v>290</v>
      </c>
      <c r="E143" s="35" t="s">
        <v>39</v>
      </c>
      <c r="F143" s="36">
        <v>1</v>
      </c>
      <c r="G143" s="39">
        <v>65000</v>
      </c>
      <c r="H143" s="98">
        <f t="shared" si="6"/>
        <v>117000</v>
      </c>
      <c r="I143" s="98">
        <f t="shared" si="7"/>
        <v>87750</v>
      </c>
      <c r="J143" s="41"/>
      <c r="K143" s="39">
        <v>54777</v>
      </c>
      <c r="L143" s="98">
        <f t="shared" si="8"/>
        <v>96955.290000000008</v>
      </c>
      <c r="M143" s="98">
        <f t="shared" si="9"/>
        <v>73948.950000000012</v>
      </c>
      <c r="N143" s="41"/>
      <c r="O143" s="39">
        <v>57637</v>
      </c>
      <c r="P143" s="40">
        <v>103746.6</v>
      </c>
      <c r="Q143" s="40">
        <v>77809.950000000012</v>
      </c>
      <c r="R143" s="41"/>
      <c r="S143" s="37">
        <f t="shared" si="10"/>
        <v>54777</v>
      </c>
      <c r="T143" s="38">
        <f t="shared" si="11"/>
        <v>65000</v>
      </c>
    </row>
    <row r="144" spans="1:20" x14ac:dyDescent="0.25">
      <c r="A144" s="32"/>
      <c r="B144" s="88" t="s">
        <v>291</v>
      </c>
      <c r="C144" s="33"/>
      <c r="D144" s="34" t="s">
        <v>292</v>
      </c>
      <c r="E144" s="35" t="s">
        <v>39</v>
      </c>
      <c r="F144" s="36">
        <v>1</v>
      </c>
      <c r="G144" s="39">
        <v>87500</v>
      </c>
      <c r="H144" s="98">
        <f t="shared" si="6"/>
        <v>157500</v>
      </c>
      <c r="I144" s="98">
        <f t="shared" si="7"/>
        <v>118125.00000000001</v>
      </c>
      <c r="J144" s="41"/>
      <c r="K144" s="39">
        <v>55792</v>
      </c>
      <c r="L144" s="98">
        <f t="shared" si="8"/>
        <v>98751.84</v>
      </c>
      <c r="M144" s="98">
        <f t="shared" si="9"/>
        <v>75319.200000000012</v>
      </c>
      <c r="N144" s="41"/>
      <c r="O144" s="39">
        <v>52148</v>
      </c>
      <c r="P144" s="40">
        <v>93866.400000000009</v>
      </c>
      <c r="Q144" s="40">
        <v>70399.8</v>
      </c>
      <c r="R144" s="41"/>
      <c r="S144" s="37">
        <f t="shared" si="10"/>
        <v>52148</v>
      </c>
      <c r="T144" s="38">
        <f t="shared" si="11"/>
        <v>87500</v>
      </c>
    </row>
    <row r="145" spans="1:20" x14ac:dyDescent="0.25">
      <c r="A145" s="32"/>
      <c r="B145" s="88" t="s">
        <v>293</v>
      </c>
      <c r="C145" s="33"/>
      <c r="D145" s="34" t="s">
        <v>294</v>
      </c>
      <c r="E145" s="35" t="s">
        <v>59</v>
      </c>
      <c r="F145" s="36">
        <v>1</v>
      </c>
      <c r="G145" s="39">
        <v>62500</v>
      </c>
      <c r="H145" s="98">
        <f t="shared" si="6"/>
        <v>112500</v>
      </c>
      <c r="I145" s="98">
        <f t="shared" si="7"/>
        <v>84375</v>
      </c>
      <c r="J145" s="41"/>
      <c r="K145" s="39">
        <v>43135</v>
      </c>
      <c r="L145" s="98">
        <f t="shared" si="8"/>
        <v>76348.95</v>
      </c>
      <c r="M145" s="98">
        <f t="shared" si="9"/>
        <v>58232.250000000007</v>
      </c>
      <c r="N145" s="41"/>
      <c r="O145" s="39">
        <v>48031</v>
      </c>
      <c r="P145" s="40">
        <v>86455.8</v>
      </c>
      <c r="Q145" s="40">
        <v>64841.850000000006</v>
      </c>
      <c r="R145" s="41"/>
      <c r="S145" s="37">
        <f t="shared" si="10"/>
        <v>43135</v>
      </c>
      <c r="T145" s="38">
        <f t="shared" si="11"/>
        <v>62500</v>
      </c>
    </row>
    <row r="146" spans="1:20" x14ac:dyDescent="0.25">
      <c r="A146" s="32"/>
      <c r="B146" s="88" t="s">
        <v>295</v>
      </c>
      <c r="C146" s="33"/>
      <c r="D146" s="34" t="s">
        <v>296</v>
      </c>
      <c r="E146" s="35" t="s">
        <v>34</v>
      </c>
      <c r="F146" s="36">
        <v>1</v>
      </c>
      <c r="G146" s="39">
        <v>220000</v>
      </c>
      <c r="H146" s="98">
        <f t="shared" si="6"/>
        <v>396000</v>
      </c>
      <c r="I146" s="98">
        <f t="shared" si="7"/>
        <v>297000</v>
      </c>
      <c r="J146" s="41"/>
      <c r="K146" s="39">
        <v>189349</v>
      </c>
      <c r="L146" s="98">
        <f t="shared" si="8"/>
        <v>335147.73</v>
      </c>
      <c r="M146" s="98">
        <f t="shared" si="9"/>
        <v>255621.15000000002</v>
      </c>
      <c r="N146" s="41"/>
      <c r="O146" s="39">
        <v>185262</v>
      </c>
      <c r="P146" s="40">
        <v>333471.60000000003</v>
      </c>
      <c r="Q146" s="40">
        <v>250103.7</v>
      </c>
      <c r="R146" s="41"/>
      <c r="S146" s="37">
        <f t="shared" si="10"/>
        <v>185262</v>
      </c>
      <c r="T146" s="38">
        <f t="shared" si="11"/>
        <v>220000</v>
      </c>
    </row>
    <row r="147" spans="1:20" x14ac:dyDescent="0.25">
      <c r="A147" s="32"/>
      <c r="B147" s="88" t="s">
        <v>297</v>
      </c>
      <c r="C147" s="33"/>
      <c r="D147" s="34" t="s">
        <v>298</v>
      </c>
      <c r="E147" s="35" t="s">
        <v>39</v>
      </c>
      <c r="F147" s="36">
        <v>1</v>
      </c>
      <c r="G147" s="39">
        <v>29000</v>
      </c>
      <c r="H147" s="98">
        <f t="shared" si="6"/>
        <v>52200</v>
      </c>
      <c r="I147" s="98">
        <f t="shared" si="7"/>
        <v>39150</v>
      </c>
      <c r="J147" s="41"/>
      <c r="K147" s="39">
        <v>14110</v>
      </c>
      <c r="L147" s="98">
        <f t="shared" si="8"/>
        <v>24974.7</v>
      </c>
      <c r="M147" s="98">
        <f t="shared" si="9"/>
        <v>19048.5</v>
      </c>
      <c r="N147" s="41"/>
      <c r="O147" s="39">
        <v>15095</v>
      </c>
      <c r="P147" s="40">
        <v>27171</v>
      </c>
      <c r="Q147" s="40">
        <v>20378.25</v>
      </c>
      <c r="R147" s="41"/>
      <c r="S147" s="37">
        <f t="shared" si="10"/>
        <v>14110</v>
      </c>
      <c r="T147" s="38">
        <f t="shared" si="11"/>
        <v>29000</v>
      </c>
    </row>
    <row r="148" spans="1:20" x14ac:dyDescent="0.25">
      <c r="A148" s="32"/>
      <c r="B148" s="88" t="s">
        <v>299</v>
      </c>
      <c r="C148" s="33"/>
      <c r="D148" s="34" t="s">
        <v>300</v>
      </c>
      <c r="E148" s="35" t="s">
        <v>59</v>
      </c>
      <c r="F148" s="36">
        <v>1</v>
      </c>
      <c r="G148" s="39">
        <v>51500</v>
      </c>
      <c r="H148" s="98">
        <f t="shared" si="6"/>
        <v>92700</v>
      </c>
      <c r="I148" s="98">
        <f t="shared" si="7"/>
        <v>69525</v>
      </c>
      <c r="J148" s="41"/>
      <c r="K148" s="39">
        <v>46960</v>
      </c>
      <c r="L148" s="98">
        <f t="shared" si="8"/>
        <v>83119.199999999997</v>
      </c>
      <c r="M148" s="98">
        <f t="shared" si="9"/>
        <v>63396.000000000007</v>
      </c>
      <c r="N148" s="41"/>
      <c r="O148" s="39">
        <v>52148</v>
      </c>
      <c r="P148" s="40">
        <v>93866.400000000009</v>
      </c>
      <c r="Q148" s="40">
        <v>70399.8</v>
      </c>
      <c r="R148" s="41"/>
      <c r="S148" s="37">
        <f t="shared" si="10"/>
        <v>46960</v>
      </c>
      <c r="T148" s="38">
        <f t="shared" si="11"/>
        <v>52148</v>
      </c>
    </row>
    <row r="149" spans="1:20" x14ac:dyDescent="0.25">
      <c r="A149" s="32"/>
      <c r="B149" s="88" t="s">
        <v>301</v>
      </c>
      <c r="C149" s="33"/>
      <c r="D149" s="34" t="s">
        <v>302</v>
      </c>
      <c r="E149" s="35" t="s">
        <v>59</v>
      </c>
      <c r="F149" s="36">
        <v>1</v>
      </c>
      <c r="G149" s="39">
        <v>85000</v>
      </c>
      <c r="H149" s="98">
        <f t="shared" ref="H149:H212" si="12">G149*1.8</f>
        <v>153000</v>
      </c>
      <c r="I149" s="98">
        <f t="shared" ref="I149:I212" si="13">G149*1.35</f>
        <v>114750.00000000001</v>
      </c>
      <c r="J149" s="41"/>
      <c r="K149" s="39">
        <v>92827</v>
      </c>
      <c r="L149" s="98">
        <f t="shared" ref="L149:L212" si="14">+K149*1.77</f>
        <v>164303.79</v>
      </c>
      <c r="M149" s="98">
        <f t="shared" ref="M149:M212" si="15">+K149*1.35</f>
        <v>125316.45000000001</v>
      </c>
      <c r="N149" s="41"/>
      <c r="O149" s="39">
        <v>96062</v>
      </c>
      <c r="P149" s="40">
        <v>172911.6</v>
      </c>
      <c r="Q149" s="40">
        <v>129683.70000000001</v>
      </c>
      <c r="R149" s="41"/>
      <c r="S149" s="37">
        <f t="shared" ref="S149:S212" si="16">SUBTOTAL(105,G149,K149,O149)</f>
        <v>85000</v>
      </c>
      <c r="T149" s="38">
        <f t="shared" ref="T149:T212" si="17">SUBTOTAL(104,G149,K149,O149)</f>
        <v>96062</v>
      </c>
    </row>
    <row r="150" spans="1:20" x14ac:dyDescent="0.25">
      <c r="A150" s="32"/>
      <c r="B150" s="88" t="s">
        <v>303</v>
      </c>
      <c r="C150" s="33"/>
      <c r="D150" s="34" t="s">
        <v>304</v>
      </c>
      <c r="E150" s="35" t="s">
        <v>59</v>
      </c>
      <c r="F150" s="36">
        <v>1</v>
      </c>
      <c r="G150" s="39">
        <v>75000</v>
      </c>
      <c r="H150" s="98">
        <f t="shared" si="12"/>
        <v>135000</v>
      </c>
      <c r="I150" s="98">
        <f t="shared" si="13"/>
        <v>101250</v>
      </c>
      <c r="J150" s="41"/>
      <c r="K150" s="39">
        <v>50832</v>
      </c>
      <c r="L150" s="98">
        <f t="shared" si="14"/>
        <v>89972.64</v>
      </c>
      <c r="M150" s="98">
        <f t="shared" si="15"/>
        <v>68623.200000000012</v>
      </c>
      <c r="N150" s="41"/>
      <c r="O150" s="39">
        <v>54893</v>
      </c>
      <c r="P150" s="40">
        <v>98807.400000000009</v>
      </c>
      <c r="Q150" s="40">
        <v>74105.55</v>
      </c>
      <c r="R150" s="41"/>
      <c r="S150" s="37">
        <f t="shared" si="16"/>
        <v>50832</v>
      </c>
      <c r="T150" s="38">
        <f t="shared" si="17"/>
        <v>75000</v>
      </c>
    </row>
    <row r="151" spans="1:20" x14ac:dyDescent="0.25">
      <c r="A151" s="32"/>
      <c r="B151" s="88" t="s">
        <v>305</v>
      </c>
      <c r="C151" s="33"/>
      <c r="D151" s="34" t="s">
        <v>306</v>
      </c>
      <c r="E151" s="35" t="s">
        <v>59</v>
      </c>
      <c r="F151" s="36">
        <v>1</v>
      </c>
      <c r="G151" s="39">
        <v>87500</v>
      </c>
      <c r="H151" s="98">
        <f t="shared" si="12"/>
        <v>157500</v>
      </c>
      <c r="I151" s="98">
        <f t="shared" si="13"/>
        <v>118125.00000000001</v>
      </c>
      <c r="J151" s="41"/>
      <c r="K151" s="39">
        <v>53134</v>
      </c>
      <c r="L151" s="98">
        <f t="shared" si="14"/>
        <v>94047.180000000008</v>
      </c>
      <c r="M151" s="98">
        <f t="shared" si="15"/>
        <v>71730.900000000009</v>
      </c>
      <c r="N151" s="41"/>
      <c r="O151" s="39">
        <v>59009</v>
      </c>
      <c r="P151" s="40">
        <v>106216.2</v>
      </c>
      <c r="Q151" s="40">
        <v>79662.150000000009</v>
      </c>
      <c r="R151" s="41"/>
      <c r="S151" s="37">
        <f t="shared" si="16"/>
        <v>53134</v>
      </c>
      <c r="T151" s="38">
        <f t="shared" si="17"/>
        <v>87500</v>
      </c>
    </row>
    <row r="152" spans="1:20" x14ac:dyDescent="0.25">
      <c r="A152" s="32"/>
      <c r="B152" s="88" t="s">
        <v>307</v>
      </c>
      <c r="C152" s="33"/>
      <c r="D152" s="34" t="s">
        <v>308</v>
      </c>
      <c r="E152" s="35" t="s">
        <v>59</v>
      </c>
      <c r="F152" s="36">
        <v>1</v>
      </c>
      <c r="G152" s="39">
        <v>90000</v>
      </c>
      <c r="H152" s="98">
        <f t="shared" si="12"/>
        <v>162000</v>
      </c>
      <c r="I152" s="98">
        <f t="shared" si="13"/>
        <v>121500.00000000001</v>
      </c>
      <c r="J152" s="41"/>
      <c r="K152" s="39">
        <v>58235</v>
      </c>
      <c r="L152" s="98">
        <f t="shared" si="14"/>
        <v>103075.95</v>
      </c>
      <c r="M152" s="98">
        <f t="shared" si="15"/>
        <v>78617.25</v>
      </c>
      <c r="N152" s="41"/>
      <c r="O152" s="39">
        <v>65871</v>
      </c>
      <c r="P152" s="40">
        <v>118567.8</v>
      </c>
      <c r="Q152" s="40">
        <v>88925.85</v>
      </c>
      <c r="R152" s="41"/>
      <c r="S152" s="37">
        <f t="shared" si="16"/>
        <v>58235</v>
      </c>
      <c r="T152" s="38">
        <f t="shared" si="17"/>
        <v>90000</v>
      </c>
    </row>
    <row r="153" spans="1:20" x14ac:dyDescent="0.25">
      <c r="A153" s="32"/>
      <c r="B153" s="88" t="s">
        <v>309</v>
      </c>
      <c r="C153" s="33"/>
      <c r="D153" s="34" t="s">
        <v>310</v>
      </c>
      <c r="E153" s="35" t="s">
        <v>59</v>
      </c>
      <c r="F153" s="36">
        <v>1</v>
      </c>
      <c r="G153" s="39">
        <v>117500</v>
      </c>
      <c r="H153" s="98">
        <f t="shared" si="12"/>
        <v>211500</v>
      </c>
      <c r="I153" s="98">
        <f t="shared" si="13"/>
        <v>158625</v>
      </c>
      <c r="J153" s="41"/>
      <c r="K153" s="39">
        <v>63538</v>
      </c>
      <c r="L153" s="98">
        <f t="shared" si="14"/>
        <v>112462.26</v>
      </c>
      <c r="M153" s="98">
        <f t="shared" si="15"/>
        <v>85776.3</v>
      </c>
      <c r="N153" s="41"/>
      <c r="O153" s="39">
        <v>71360</v>
      </c>
      <c r="P153" s="40">
        <v>128448</v>
      </c>
      <c r="Q153" s="40">
        <v>96336</v>
      </c>
      <c r="R153" s="41"/>
      <c r="S153" s="37">
        <f t="shared" si="16"/>
        <v>63538</v>
      </c>
      <c r="T153" s="38">
        <f t="shared" si="17"/>
        <v>117500</v>
      </c>
    </row>
    <row r="154" spans="1:20" x14ac:dyDescent="0.25">
      <c r="A154" s="32"/>
      <c r="B154" s="88" t="s">
        <v>311</v>
      </c>
      <c r="C154" s="33"/>
      <c r="D154" s="34" t="s">
        <v>312</v>
      </c>
      <c r="E154" s="35" t="s">
        <v>59</v>
      </c>
      <c r="F154" s="36">
        <v>1</v>
      </c>
      <c r="G154" s="39">
        <v>75000</v>
      </c>
      <c r="H154" s="98">
        <f t="shared" si="12"/>
        <v>135000</v>
      </c>
      <c r="I154" s="98">
        <f t="shared" si="13"/>
        <v>101250</v>
      </c>
      <c r="J154" s="41"/>
      <c r="K154" s="39">
        <v>38084</v>
      </c>
      <c r="L154" s="98">
        <f t="shared" si="14"/>
        <v>67408.680000000008</v>
      </c>
      <c r="M154" s="98">
        <f t="shared" si="15"/>
        <v>51413.4</v>
      </c>
      <c r="N154" s="41"/>
      <c r="O154" s="39">
        <v>41169</v>
      </c>
      <c r="P154" s="40">
        <v>74104.2</v>
      </c>
      <c r="Q154" s="40">
        <v>55578.15</v>
      </c>
      <c r="R154" s="41"/>
      <c r="S154" s="37">
        <f t="shared" si="16"/>
        <v>38084</v>
      </c>
      <c r="T154" s="38">
        <f t="shared" si="17"/>
        <v>75000</v>
      </c>
    </row>
    <row r="155" spans="1:20" x14ac:dyDescent="0.25">
      <c r="A155" s="32"/>
      <c r="B155" s="88" t="s">
        <v>313</v>
      </c>
      <c r="C155" s="33"/>
      <c r="D155" s="34" t="s">
        <v>314</v>
      </c>
      <c r="E155" s="35" t="s">
        <v>59</v>
      </c>
      <c r="F155" s="36">
        <v>1</v>
      </c>
      <c r="G155" s="39">
        <v>87500</v>
      </c>
      <c r="H155" s="98">
        <f t="shared" si="12"/>
        <v>157500</v>
      </c>
      <c r="I155" s="98">
        <f t="shared" si="13"/>
        <v>118125.00000000001</v>
      </c>
      <c r="J155" s="41"/>
      <c r="K155" s="39">
        <v>39734</v>
      </c>
      <c r="L155" s="98">
        <f t="shared" si="14"/>
        <v>70329.180000000008</v>
      </c>
      <c r="M155" s="98">
        <f t="shared" si="15"/>
        <v>53640.9</v>
      </c>
      <c r="N155" s="41"/>
      <c r="O155" s="39">
        <v>43914</v>
      </c>
      <c r="P155" s="40">
        <v>79045.2</v>
      </c>
      <c r="Q155" s="40">
        <v>59283.9</v>
      </c>
      <c r="R155" s="41"/>
      <c r="S155" s="37">
        <f t="shared" si="16"/>
        <v>39734</v>
      </c>
      <c r="T155" s="38">
        <f t="shared" si="17"/>
        <v>87500</v>
      </c>
    </row>
    <row r="156" spans="1:20" x14ac:dyDescent="0.25">
      <c r="A156" s="32"/>
      <c r="B156" s="88" t="s">
        <v>315</v>
      </c>
      <c r="C156" s="33"/>
      <c r="D156" s="34" t="s">
        <v>316</v>
      </c>
      <c r="E156" s="35" t="s">
        <v>59</v>
      </c>
      <c r="F156" s="36">
        <v>1</v>
      </c>
      <c r="G156" s="39">
        <v>90000</v>
      </c>
      <c r="H156" s="98">
        <f t="shared" si="12"/>
        <v>162000</v>
      </c>
      <c r="I156" s="98">
        <f t="shared" si="13"/>
        <v>121500.00000000001</v>
      </c>
      <c r="J156" s="41"/>
      <c r="K156" s="39">
        <v>44754</v>
      </c>
      <c r="L156" s="98">
        <f t="shared" si="14"/>
        <v>79214.58</v>
      </c>
      <c r="M156" s="98">
        <f t="shared" si="15"/>
        <v>60417.9</v>
      </c>
      <c r="N156" s="41"/>
      <c r="O156" s="39">
        <v>50776</v>
      </c>
      <c r="P156" s="40">
        <v>91396.800000000003</v>
      </c>
      <c r="Q156" s="40">
        <v>68547.600000000006</v>
      </c>
      <c r="R156" s="41"/>
      <c r="S156" s="37">
        <f t="shared" si="16"/>
        <v>44754</v>
      </c>
      <c r="T156" s="38">
        <f t="shared" si="17"/>
        <v>90000</v>
      </c>
    </row>
    <row r="157" spans="1:20" x14ac:dyDescent="0.25">
      <c r="A157" s="32"/>
      <c r="B157" s="88" t="s">
        <v>317</v>
      </c>
      <c r="C157" s="33"/>
      <c r="D157" s="34" t="s">
        <v>318</v>
      </c>
      <c r="E157" s="35" t="s">
        <v>59</v>
      </c>
      <c r="F157" s="36">
        <v>1</v>
      </c>
      <c r="G157" s="39">
        <v>117500</v>
      </c>
      <c r="H157" s="98">
        <f t="shared" si="12"/>
        <v>211500</v>
      </c>
      <c r="I157" s="98">
        <f t="shared" si="13"/>
        <v>158625</v>
      </c>
      <c r="J157" s="41"/>
      <c r="K157" s="39">
        <v>47653</v>
      </c>
      <c r="L157" s="98">
        <f t="shared" si="14"/>
        <v>84345.81</v>
      </c>
      <c r="M157" s="98">
        <f t="shared" si="15"/>
        <v>64331.55</v>
      </c>
      <c r="N157" s="41"/>
      <c r="O157" s="39">
        <v>54893</v>
      </c>
      <c r="P157" s="40">
        <v>98807.400000000009</v>
      </c>
      <c r="Q157" s="40">
        <v>74105.55</v>
      </c>
      <c r="R157" s="41"/>
      <c r="S157" s="37">
        <f t="shared" si="16"/>
        <v>47653</v>
      </c>
      <c r="T157" s="38">
        <f t="shared" si="17"/>
        <v>117500</v>
      </c>
    </row>
    <row r="158" spans="1:20" x14ac:dyDescent="0.25">
      <c r="A158" s="32"/>
      <c r="B158" s="88" t="s">
        <v>319</v>
      </c>
      <c r="C158" s="33"/>
      <c r="D158" s="34" t="s">
        <v>320</v>
      </c>
      <c r="E158" s="35" t="s">
        <v>34</v>
      </c>
      <c r="F158" s="36">
        <v>1</v>
      </c>
      <c r="G158" s="39">
        <v>67500</v>
      </c>
      <c r="H158" s="98">
        <f t="shared" si="12"/>
        <v>121500</v>
      </c>
      <c r="I158" s="98">
        <f t="shared" si="13"/>
        <v>91125</v>
      </c>
      <c r="J158" s="41"/>
      <c r="K158" s="39">
        <v>245055</v>
      </c>
      <c r="L158" s="98">
        <f t="shared" si="14"/>
        <v>433747.35</v>
      </c>
      <c r="M158" s="98">
        <f t="shared" si="15"/>
        <v>330824.25</v>
      </c>
      <c r="N158" s="41"/>
      <c r="O158" s="39">
        <v>289009</v>
      </c>
      <c r="P158" s="40">
        <v>520216.2</v>
      </c>
      <c r="Q158" s="40">
        <v>390162.15</v>
      </c>
      <c r="R158" s="41"/>
      <c r="S158" s="37">
        <f t="shared" si="16"/>
        <v>67500</v>
      </c>
      <c r="T158" s="38">
        <f t="shared" si="17"/>
        <v>289009</v>
      </c>
    </row>
    <row r="159" spans="1:20" x14ac:dyDescent="0.25">
      <c r="A159" s="32"/>
      <c r="B159" s="88" t="s">
        <v>321</v>
      </c>
      <c r="C159" s="33"/>
      <c r="D159" s="34" t="s">
        <v>322</v>
      </c>
      <c r="E159" s="35" t="s">
        <v>34</v>
      </c>
      <c r="F159" s="36">
        <v>1</v>
      </c>
      <c r="G159" s="39">
        <v>160000</v>
      </c>
      <c r="H159" s="98">
        <f t="shared" si="12"/>
        <v>288000</v>
      </c>
      <c r="I159" s="98">
        <f t="shared" si="13"/>
        <v>216000</v>
      </c>
      <c r="J159" s="41"/>
      <c r="K159" s="39">
        <v>269476</v>
      </c>
      <c r="L159" s="98">
        <f t="shared" si="14"/>
        <v>476972.52</v>
      </c>
      <c r="M159" s="98">
        <f t="shared" si="15"/>
        <v>363792.60000000003</v>
      </c>
      <c r="N159" s="41"/>
      <c r="O159" s="39">
        <v>198985</v>
      </c>
      <c r="P159" s="40">
        <v>358173</v>
      </c>
      <c r="Q159" s="40">
        <v>268629.75</v>
      </c>
      <c r="R159" s="41"/>
      <c r="S159" s="37">
        <f t="shared" si="16"/>
        <v>160000</v>
      </c>
      <c r="T159" s="38">
        <f t="shared" si="17"/>
        <v>269476</v>
      </c>
    </row>
    <row r="160" spans="1:20" x14ac:dyDescent="0.25">
      <c r="A160" s="32"/>
      <c r="B160" s="88" t="s">
        <v>323</v>
      </c>
      <c r="C160" s="33"/>
      <c r="D160" s="34" t="s">
        <v>324</v>
      </c>
      <c r="E160" s="35" t="s">
        <v>34</v>
      </c>
      <c r="F160" s="36">
        <v>1</v>
      </c>
      <c r="G160" s="39">
        <v>220000</v>
      </c>
      <c r="H160" s="98">
        <f t="shared" si="12"/>
        <v>396000</v>
      </c>
      <c r="I160" s="98">
        <f t="shared" si="13"/>
        <v>297000</v>
      </c>
      <c r="J160" s="41"/>
      <c r="K160" s="39">
        <v>85098</v>
      </c>
      <c r="L160" s="98">
        <f t="shared" si="14"/>
        <v>150623.46</v>
      </c>
      <c r="M160" s="98">
        <f t="shared" si="15"/>
        <v>114882.3</v>
      </c>
      <c r="N160" s="41"/>
      <c r="O160" s="39">
        <v>63126</v>
      </c>
      <c r="P160" s="40">
        <v>113626.8</v>
      </c>
      <c r="Q160" s="40">
        <v>85220.1</v>
      </c>
      <c r="R160" s="41"/>
      <c r="S160" s="37">
        <f t="shared" si="16"/>
        <v>63126</v>
      </c>
      <c r="T160" s="38">
        <f t="shared" si="17"/>
        <v>220000</v>
      </c>
    </row>
    <row r="161" spans="1:20" x14ac:dyDescent="0.25">
      <c r="A161" s="32"/>
      <c r="B161" s="88" t="s">
        <v>325</v>
      </c>
      <c r="C161" s="33"/>
      <c r="D161" s="34" t="s">
        <v>326</v>
      </c>
      <c r="E161" s="35" t="s">
        <v>59</v>
      </c>
      <c r="F161" s="36">
        <v>1</v>
      </c>
      <c r="G161" s="39">
        <v>36500</v>
      </c>
      <c r="H161" s="98">
        <f t="shared" si="12"/>
        <v>65700</v>
      </c>
      <c r="I161" s="98">
        <f t="shared" si="13"/>
        <v>49275</v>
      </c>
      <c r="J161" s="41"/>
      <c r="K161" s="39">
        <v>49743</v>
      </c>
      <c r="L161" s="98">
        <f t="shared" si="14"/>
        <v>88045.11</v>
      </c>
      <c r="M161" s="98">
        <f t="shared" si="15"/>
        <v>67153.05</v>
      </c>
      <c r="N161" s="41"/>
      <c r="O161" s="39">
        <v>52148</v>
      </c>
      <c r="P161" s="40">
        <v>93866.400000000009</v>
      </c>
      <c r="Q161" s="40">
        <v>70399.8</v>
      </c>
      <c r="R161" s="41"/>
      <c r="S161" s="37">
        <f t="shared" si="16"/>
        <v>36500</v>
      </c>
      <c r="T161" s="38">
        <f t="shared" si="17"/>
        <v>52148</v>
      </c>
    </row>
    <row r="162" spans="1:20" x14ac:dyDescent="0.25">
      <c r="A162" s="32"/>
      <c r="B162" s="88" t="s">
        <v>327</v>
      </c>
      <c r="C162" s="33"/>
      <c r="D162" s="34" t="s">
        <v>328</v>
      </c>
      <c r="E162" s="35" t="s">
        <v>59</v>
      </c>
      <c r="F162" s="36">
        <v>1</v>
      </c>
      <c r="G162" s="39">
        <v>20000</v>
      </c>
      <c r="H162" s="98">
        <f t="shared" si="12"/>
        <v>36000</v>
      </c>
      <c r="I162" s="98">
        <f t="shared" si="13"/>
        <v>27000</v>
      </c>
      <c r="J162" s="41"/>
      <c r="K162" s="39">
        <v>33877</v>
      </c>
      <c r="L162" s="98">
        <f t="shared" si="14"/>
        <v>59962.29</v>
      </c>
      <c r="M162" s="98">
        <f t="shared" si="15"/>
        <v>45733.950000000004</v>
      </c>
      <c r="N162" s="41"/>
      <c r="O162" s="39">
        <v>30191</v>
      </c>
      <c r="P162" s="40">
        <v>54343.8</v>
      </c>
      <c r="Q162" s="40">
        <v>40757.850000000006</v>
      </c>
      <c r="R162" s="41"/>
      <c r="S162" s="37">
        <f t="shared" si="16"/>
        <v>20000</v>
      </c>
      <c r="T162" s="38">
        <f t="shared" si="17"/>
        <v>33877</v>
      </c>
    </row>
    <row r="163" spans="1:20" x14ac:dyDescent="0.25">
      <c r="A163" s="32"/>
      <c r="B163" s="91" t="s">
        <v>329</v>
      </c>
      <c r="C163" s="33"/>
      <c r="D163" s="34" t="s">
        <v>330</v>
      </c>
      <c r="E163" s="35" t="s">
        <v>39</v>
      </c>
      <c r="F163" s="36">
        <v>1</v>
      </c>
      <c r="G163" s="39">
        <v>60000</v>
      </c>
      <c r="H163" s="98">
        <f t="shared" si="12"/>
        <v>108000</v>
      </c>
      <c r="I163" s="98">
        <f t="shared" si="13"/>
        <v>81000</v>
      </c>
      <c r="J163" s="41"/>
      <c r="K163" s="39">
        <v>55576</v>
      </c>
      <c r="L163" s="98">
        <f t="shared" si="14"/>
        <v>98369.52</v>
      </c>
      <c r="M163" s="98">
        <f t="shared" si="15"/>
        <v>75027.600000000006</v>
      </c>
      <c r="N163" s="41"/>
      <c r="O163" s="39">
        <v>61754</v>
      </c>
      <c r="P163" s="40">
        <v>111157.2</v>
      </c>
      <c r="Q163" s="40">
        <v>83367.900000000009</v>
      </c>
      <c r="R163" s="41"/>
      <c r="S163" s="37">
        <f t="shared" si="16"/>
        <v>55576</v>
      </c>
      <c r="T163" s="38">
        <f t="shared" si="17"/>
        <v>61754</v>
      </c>
    </row>
    <row r="164" spans="1:20" x14ac:dyDescent="0.25">
      <c r="A164" s="32"/>
      <c r="B164" s="91" t="s">
        <v>331</v>
      </c>
      <c r="C164" s="33"/>
      <c r="D164" s="34" t="s">
        <v>332</v>
      </c>
      <c r="E164" s="35" t="s">
        <v>39</v>
      </c>
      <c r="F164" s="36">
        <v>1</v>
      </c>
      <c r="G164" s="39">
        <v>67500</v>
      </c>
      <c r="H164" s="98">
        <f t="shared" si="12"/>
        <v>121500</v>
      </c>
      <c r="I164" s="98">
        <f t="shared" si="13"/>
        <v>91125</v>
      </c>
      <c r="J164" s="41"/>
      <c r="K164" s="39">
        <v>62757</v>
      </c>
      <c r="L164" s="98">
        <f t="shared" si="14"/>
        <v>111079.89</v>
      </c>
      <c r="M164" s="98">
        <f t="shared" si="15"/>
        <v>84721.950000000012</v>
      </c>
      <c r="N164" s="41"/>
      <c r="O164" s="39">
        <v>68067</v>
      </c>
      <c r="P164" s="40">
        <v>122520.6</v>
      </c>
      <c r="Q164" s="40">
        <v>91890.450000000012</v>
      </c>
      <c r="R164" s="41"/>
      <c r="S164" s="37">
        <f t="shared" si="16"/>
        <v>62757</v>
      </c>
      <c r="T164" s="38">
        <f t="shared" si="17"/>
        <v>68067</v>
      </c>
    </row>
    <row r="165" spans="1:20" x14ac:dyDescent="0.25">
      <c r="A165" s="32"/>
      <c r="B165" s="91" t="s">
        <v>333</v>
      </c>
      <c r="C165" s="33"/>
      <c r="D165" s="34" t="s">
        <v>334</v>
      </c>
      <c r="E165" s="35" t="s">
        <v>39</v>
      </c>
      <c r="F165" s="36">
        <v>1</v>
      </c>
      <c r="G165" s="39">
        <v>80000</v>
      </c>
      <c r="H165" s="98">
        <f t="shared" si="12"/>
        <v>144000</v>
      </c>
      <c r="I165" s="98">
        <f t="shared" si="13"/>
        <v>108000</v>
      </c>
      <c r="J165" s="41"/>
      <c r="K165" s="39">
        <v>67577</v>
      </c>
      <c r="L165" s="98">
        <f t="shared" si="14"/>
        <v>119611.29000000001</v>
      </c>
      <c r="M165" s="98">
        <f t="shared" si="15"/>
        <v>91228.950000000012</v>
      </c>
      <c r="N165" s="41"/>
      <c r="O165" s="39">
        <v>72733</v>
      </c>
      <c r="P165" s="40">
        <v>130919.40000000001</v>
      </c>
      <c r="Q165" s="40">
        <v>98189.55</v>
      </c>
      <c r="R165" s="41"/>
      <c r="S165" s="37">
        <f t="shared" si="16"/>
        <v>67577</v>
      </c>
      <c r="T165" s="38">
        <f t="shared" si="17"/>
        <v>80000</v>
      </c>
    </row>
    <row r="166" spans="1:20" x14ac:dyDescent="0.25">
      <c r="A166" s="32"/>
      <c r="B166" s="91" t="s">
        <v>335</v>
      </c>
      <c r="C166" s="33"/>
      <c r="D166" s="34" t="s">
        <v>336</v>
      </c>
      <c r="E166" s="35" t="s">
        <v>39</v>
      </c>
      <c r="F166" s="36">
        <v>1</v>
      </c>
      <c r="G166" s="39">
        <v>92500</v>
      </c>
      <c r="H166" s="98">
        <f t="shared" si="12"/>
        <v>166500</v>
      </c>
      <c r="I166" s="98">
        <f t="shared" si="13"/>
        <v>124875.00000000001</v>
      </c>
      <c r="J166" s="41"/>
      <c r="K166" s="39">
        <v>75356</v>
      </c>
      <c r="L166" s="98">
        <f t="shared" si="14"/>
        <v>133380.12</v>
      </c>
      <c r="M166" s="98">
        <f t="shared" si="15"/>
        <v>101730.6</v>
      </c>
      <c r="N166" s="41"/>
      <c r="O166" s="39">
        <v>82339</v>
      </c>
      <c r="P166" s="40">
        <v>148210.20000000001</v>
      </c>
      <c r="Q166" s="40">
        <v>111157.65000000001</v>
      </c>
      <c r="R166" s="41"/>
      <c r="S166" s="37">
        <f t="shared" si="16"/>
        <v>75356</v>
      </c>
      <c r="T166" s="38">
        <f t="shared" si="17"/>
        <v>92500</v>
      </c>
    </row>
    <row r="167" spans="1:20" x14ac:dyDescent="0.25">
      <c r="A167" s="32"/>
      <c r="B167" s="88" t="s">
        <v>337</v>
      </c>
      <c r="C167" s="33"/>
      <c r="D167" s="34" t="s">
        <v>338</v>
      </c>
      <c r="E167" s="35" t="s">
        <v>34</v>
      </c>
      <c r="F167" s="36">
        <v>1</v>
      </c>
      <c r="G167" s="39">
        <v>275000</v>
      </c>
      <c r="H167" s="98">
        <f t="shared" si="12"/>
        <v>495000</v>
      </c>
      <c r="I167" s="98">
        <f t="shared" si="13"/>
        <v>371250</v>
      </c>
      <c r="J167" s="41"/>
      <c r="K167" s="39">
        <v>495802</v>
      </c>
      <c r="L167" s="98">
        <f t="shared" si="14"/>
        <v>877569.54</v>
      </c>
      <c r="M167" s="98">
        <f t="shared" si="15"/>
        <v>669332.70000000007</v>
      </c>
      <c r="N167" s="41"/>
      <c r="O167" s="39">
        <v>507756</v>
      </c>
      <c r="P167" s="40">
        <v>913960.8</v>
      </c>
      <c r="Q167" s="40">
        <v>685470.60000000009</v>
      </c>
      <c r="R167" s="41"/>
      <c r="S167" s="37">
        <f t="shared" si="16"/>
        <v>275000</v>
      </c>
      <c r="T167" s="38">
        <f t="shared" si="17"/>
        <v>507756</v>
      </c>
    </row>
    <row r="168" spans="1:20" x14ac:dyDescent="0.25">
      <c r="A168" s="32"/>
      <c r="B168" s="88" t="s">
        <v>339</v>
      </c>
      <c r="C168" s="33"/>
      <c r="D168" s="34" t="s">
        <v>340</v>
      </c>
      <c r="E168" s="35" t="s">
        <v>59</v>
      </c>
      <c r="F168" s="36">
        <v>1</v>
      </c>
      <c r="G168" s="39">
        <v>89000</v>
      </c>
      <c r="H168" s="98">
        <f t="shared" si="12"/>
        <v>160200</v>
      </c>
      <c r="I168" s="98">
        <f t="shared" si="13"/>
        <v>120150.00000000001</v>
      </c>
      <c r="J168" s="41"/>
      <c r="K168" s="39">
        <v>15472</v>
      </c>
      <c r="L168" s="98">
        <f t="shared" si="14"/>
        <v>27385.439999999999</v>
      </c>
      <c r="M168" s="98">
        <f t="shared" si="15"/>
        <v>20887.2</v>
      </c>
      <c r="N168" s="41"/>
      <c r="O168" s="39">
        <v>19212</v>
      </c>
      <c r="P168" s="40">
        <v>34581.599999999999</v>
      </c>
      <c r="Q168" s="40">
        <v>25936.2</v>
      </c>
      <c r="R168" s="41"/>
      <c r="S168" s="37">
        <f t="shared" si="16"/>
        <v>15472</v>
      </c>
      <c r="T168" s="38">
        <f t="shared" si="17"/>
        <v>89000</v>
      </c>
    </row>
    <row r="169" spans="1:20" x14ac:dyDescent="0.25">
      <c r="A169" s="32"/>
      <c r="B169" s="88" t="s">
        <v>341</v>
      </c>
      <c r="C169" s="33"/>
      <c r="D169" s="34" t="s">
        <v>342</v>
      </c>
      <c r="E169" s="35" t="s">
        <v>190</v>
      </c>
      <c r="F169" s="36">
        <v>1</v>
      </c>
      <c r="G169" s="39">
        <v>75000</v>
      </c>
      <c r="H169" s="98">
        <f t="shared" si="12"/>
        <v>135000</v>
      </c>
      <c r="I169" s="98">
        <f t="shared" si="13"/>
        <v>101250</v>
      </c>
      <c r="J169" s="41"/>
      <c r="K169" s="39">
        <v>50367</v>
      </c>
      <c r="L169" s="98">
        <f t="shared" si="14"/>
        <v>89149.59</v>
      </c>
      <c r="M169" s="98">
        <f t="shared" si="15"/>
        <v>67995.450000000012</v>
      </c>
      <c r="N169" s="41"/>
      <c r="O169" s="39">
        <v>54893</v>
      </c>
      <c r="P169" s="40">
        <v>98807.400000000009</v>
      </c>
      <c r="Q169" s="40">
        <v>74105.55</v>
      </c>
      <c r="R169" s="41"/>
      <c r="S169" s="37">
        <f t="shared" si="16"/>
        <v>50367</v>
      </c>
      <c r="T169" s="38">
        <f t="shared" si="17"/>
        <v>75000</v>
      </c>
    </row>
    <row r="170" spans="1:20" x14ac:dyDescent="0.25">
      <c r="A170" s="32"/>
      <c r="B170" s="88" t="s">
        <v>343</v>
      </c>
      <c r="C170" s="33"/>
      <c r="D170" s="34" t="s">
        <v>344</v>
      </c>
      <c r="E170" s="35" t="s">
        <v>190</v>
      </c>
      <c r="F170" s="36">
        <v>1</v>
      </c>
      <c r="G170" s="39">
        <v>87500</v>
      </c>
      <c r="H170" s="98">
        <f t="shared" si="12"/>
        <v>157500</v>
      </c>
      <c r="I170" s="98">
        <f t="shared" si="13"/>
        <v>118125.00000000001</v>
      </c>
      <c r="J170" s="41"/>
      <c r="K170" s="39">
        <v>56472</v>
      </c>
      <c r="L170" s="98">
        <f t="shared" si="14"/>
        <v>99955.44</v>
      </c>
      <c r="M170" s="98">
        <f t="shared" si="15"/>
        <v>76237.200000000012</v>
      </c>
      <c r="N170" s="41"/>
      <c r="O170" s="39">
        <v>61754</v>
      </c>
      <c r="P170" s="40">
        <v>111157.2</v>
      </c>
      <c r="Q170" s="40">
        <v>83367.900000000009</v>
      </c>
      <c r="R170" s="41"/>
      <c r="S170" s="37">
        <f t="shared" si="16"/>
        <v>56472</v>
      </c>
      <c r="T170" s="38">
        <f t="shared" si="17"/>
        <v>87500</v>
      </c>
    </row>
    <row r="171" spans="1:20" x14ac:dyDescent="0.25">
      <c r="A171" s="32"/>
      <c r="B171" s="88" t="s">
        <v>345</v>
      </c>
      <c r="C171" s="33"/>
      <c r="D171" s="34" t="s">
        <v>346</v>
      </c>
      <c r="E171" s="35" t="s">
        <v>190</v>
      </c>
      <c r="F171" s="36">
        <v>1</v>
      </c>
      <c r="G171" s="39">
        <v>102500</v>
      </c>
      <c r="H171" s="98">
        <f t="shared" si="12"/>
        <v>184500</v>
      </c>
      <c r="I171" s="98">
        <f t="shared" si="13"/>
        <v>138375</v>
      </c>
      <c r="J171" s="41"/>
      <c r="K171" s="39">
        <v>72748</v>
      </c>
      <c r="L171" s="98">
        <f t="shared" si="14"/>
        <v>128763.96</v>
      </c>
      <c r="M171" s="98">
        <f t="shared" si="15"/>
        <v>98209.8</v>
      </c>
      <c r="N171" s="41"/>
      <c r="O171" s="39">
        <v>82339</v>
      </c>
      <c r="P171" s="40">
        <v>148210.20000000001</v>
      </c>
      <c r="Q171" s="40">
        <v>111157.65000000001</v>
      </c>
      <c r="R171" s="41"/>
      <c r="S171" s="37">
        <f t="shared" si="16"/>
        <v>72748</v>
      </c>
      <c r="T171" s="38">
        <f t="shared" si="17"/>
        <v>102500</v>
      </c>
    </row>
    <row r="172" spans="1:20" x14ac:dyDescent="0.25">
      <c r="A172" s="32"/>
      <c r="B172" s="88" t="s">
        <v>347</v>
      </c>
      <c r="C172" s="33"/>
      <c r="D172" s="34" t="s">
        <v>348</v>
      </c>
      <c r="E172" s="35" t="s">
        <v>190</v>
      </c>
      <c r="F172" s="36">
        <v>1</v>
      </c>
      <c r="G172" s="39">
        <v>170000</v>
      </c>
      <c r="H172" s="98">
        <f t="shared" si="12"/>
        <v>306000</v>
      </c>
      <c r="I172" s="98">
        <f t="shared" si="13"/>
        <v>229500.00000000003</v>
      </c>
      <c r="J172" s="41"/>
      <c r="K172" s="39">
        <v>220622</v>
      </c>
      <c r="L172" s="98">
        <f t="shared" si="14"/>
        <v>390500.94</v>
      </c>
      <c r="M172" s="98">
        <f t="shared" si="15"/>
        <v>297839.7</v>
      </c>
      <c r="N172" s="41"/>
      <c r="O172" s="39">
        <v>240155</v>
      </c>
      <c r="P172" s="40">
        <v>432279</v>
      </c>
      <c r="Q172" s="40">
        <v>324209.25</v>
      </c>
      <c r="R172" s="41"/>
      <c r="S172" s="37">
        <f t="shared" si="16"/>
        <v>170000</v>
      </c>
      <c r="T172" s="38">
        <f t="shared" si="17"/>
        <v>240155</v>
      </c>
    </row>
    <row r="173" spans="1:20" x14ac:dyDescent="0.25">
      <c r="A173" s="32"/>
      <c r="B173" s="88" t="s">
        <v>349</v>
      </c>
      <c r="C173" s="33"/>
      <c r="D173" s="34" t="s">
        <v>350</v>
      </c>
      <c r="E173" s="35" t="s">
        <v>190</v>
      </c>
      <c r="F173" s="36">
        <v>1</v>
      </c>
      <c r="G173" s="39">
        <v>200000</v>
      </c>
      <c r="H173" s="98">
        <f t="shared" si="12"/>
        <v>360000</v>
      </c>
      <c r="I173" s="98">
        <f t="shared" si="13"/>
        <v>270000</v>
      </c>
      <c r="J173" s="41"/>
      <c r="K173" s="39">
        <v>245181</v>
      </c>
      <c r="L173" s="98">
        <f t="shared" si="14"/>
        <v>433970.37</v>
      </c>
      <c r="M173" s="98">
        <f t="shared" si="15"/>
        <v>330994.35000000003</v>
      </c>
      <c r="N173" s="41"/>
      <c r="O173" s="39">
        <v>260739</v>
      </c>
      <c r="P173" s="40">
        <v>469330.2</v>
      </c>
      <c r="Q173" s="40">
        <v>351997.65</v>
      </c>
      <c r="R173" s="41"/>
      <c r="S173" s="37">
        <f t="shared" si="16"/>
        <v>200000</v>
      </c>
      <c r="T173" s="38">
        <f t="shared" si="17"/>
        <v>260739</v>
      </c>
    </row>
    <row r="174" spans="1:20" x14ac:dyDescent="0.25">
      <c r="A174" s="32"/>
      <c r="B174" s="88" t="s">
        <v>351</v>
      </c>
      <c r="C174" s="33"/>
      <c r="D174" s="34" t="s">
        <v>352</v>
      </c>
      <c r="E174" s="35" t="s">
        <v>190</v>
      </c>
      <c r="F174" s="36">
        <v>1</v>
      </c>
      <c r="G174" s="39">
        <v>230000</v>
      </c>
      <c r="H174" s="98">
        <f t="shared" si="12"/>
        <v>414000</v>
      </c>
      <c r="I174" s="98">
        <f t="shared" si="13"/>
        <v>310500</v>
      </c>
      <c r="J174" s="41"/>
      <c r="K174" s="39">
        <v>266662</v>
      </c>
      <c r="L174" s="98">
        <f t="shared" si="14"/>
        <v>471991.74</v>
      </c>
      <c r="M174" s="98">
        <f t="shared" si="15"/>
        <v>359993.7</v>
      </c>
      <c r="N174" s="41"/>
      <c r="O174" s="39">
        <v>274463</v>
      </c>
      <c r="P174" s="40">
        <v>494033.4</v>
      </c>
      <c r="Q174" s="40">
        <v>370525.05000000005</v>
      </c>
      <c r="R174" s="41"/>
      <c r="S174" s="37">
        <f t="shared" si="16"/>
        <v>230000</v>
      </c>
      <c r="T174" s="38">
        <f t="shared" si="17"/>
        <v>274463</v>
      </c>
    </row>
    <row r="175" spans="1:20" x14ac:dyDescent="0.25">
      <c r="A175" s="32"/>
      <c r="B175" s="88" t="s">
        <v>353</v>
      </c>
      <c r="C175" s="33"/>
      <c r="D175" s="34" t="s">
        <v>354</v>
      </c>
      <c r="E175" s="35" t="s">
        <v>190</v>
      </c>
      <c r="F175" s="36">
        <v>1</v>
      </c>
      <c r="G175" s="39">
        <v>310000</v>
      </c>
      <c r="H175" s="98">
        <f t="shared" si="12"/>
        <v>558000</v>
      </c>
      <c r="I175" s="98">
        <f t="shared" si="13"/>
        <v>418500</v>
      </c>
      <c r="J175" s="41"/>
      <c r="K175" s="39">
        <v>315312</v>
      </c>
      <c r="L175" s="98">
        <f t="shared" si="14"/>
        <v>558102.24</v>
      </c>
      <c r="M175" s="98">
        <f t="shared" si="15"/>
        <v>425671.2</v>
      </c>
      <c r="N175" s="41"/>
      <c r="O175" s="39">
        <v>336217</v>
      </c>
      <c r="P175" s="40">
        <v>605190.6</v>
      </c>
      <c r="Q175" s="40">
        <v>453892.95</v>
      </c>
      <c r="R175" s="41"/>
      <c r="S175" s="37">
        <f t="shared" si="16"/>
        <v>310000</v>
      </c>
      <c r="T175" s="38">
        <f t="shared" si="17"/>
        <v>336217</v>
      </c>
    </row>
    <row r="176" spans="1:20" x14ac:dyDescent="0.25">
      <c r="A176" s="32"/>
      <c r="B176" s="88" t="s">
        <v>355</v>
      </c>
      <c r="C176" s="33"/>
      <c r="D176" s="34" t="s">
        <v>356</v>
      </c>
      <c r="E176" s="35" t="s">
        <v>190</v>
      </c>
      <c r="F176" s="36">
        <v>1</v>
      </c>
      <c r="G176" s="39">
        <v>425000</v>
      </c>
      <c r="H176" s="98">
        <f t="shared" si="12"/>
        <v>765000</v>
      </c>
      <c r="I176" s="98">
        <f t="shared" si="13"/>
        <v>573750</v>
      </c>
      <c r="J176" s="41"/>
      <c r="K176" s="39">
        <v>399847</v>
      </c>
      <c r="L176" s="98">
        <f t="shared" si="14"/>
        <v>707729.19000000006</v>
      </c>
      <c r="M176" s="98">
        <f t="shared" si="15"/>
        <v>539793.45000000007</v>
      </c>
      <c r="N176" s="41"/>
      <c r="O176" s="39">
        <v>432279</v>
      </c>
      <c r="P176" s="40">
        <v>778102.20000000007</v>
      </c>
      <c r="Q176" s="40">
        <v>583576.65</v>
      </c>
      <c r="R176" s="41"/>
      <c r="S176" s="37">
        <f t="shared" si="16"/>
        <v>399847</v>
      </c>
      <c r="T176" s="38">
        <f t="shared" si="17"/>
        <v>432279</v>
      </c>
    </row>
    <row r="177" spans="1:20" x14ac:dyDescent="0.25">
      <c r="A177" s="32"/>
      <c r="B177" s="88" t="s">
        <v>357</v>
      </c>
      <c r="C177" s="33"/>
      <c r="D177" s="34" t="s">
        <v>358</v>
      </c>
      <c r="E177" s="35" t="s">
        <v>94</v>
      </c>
      <c r="F177" s="36">
        <v>1</v>
      </c>
      <c r="G177" s="39">
        <v>82500</v>
      </c>
      <c r="H177" s="98">
        <f t="shared" si="12"/>
        <v>148500</v>
      </c>
      <c r="I177" s="98">
        <f t="shared" si="13"/>
        <v>111375.00000000001</v>
      </c>
      <c r="J177" s="41"/>
      <c r="K177" s="39">
        <v>120097</v>
      </c>
      <c r="L177" s="98">
        <f t="shared" si="14"/>
        <v>212571.69</v>
      </c>
      <c r="M177" s="98">
        <f t="shared" si="15"/>
        <v>162130.95000000001</v>
      </c>
      <c r="N177" s="41"/>
      <c r="O177" s="39">
        <v>130370</v>
      </c>
      <c r="P177" s="40">
        <v>234666</v>
      </c>
      <c r="Q177" s="40">
        <v>175999.5</v>
      </c>
      <c r="R177" s="41"/>
      <c r="S177" s="37">
        <f t="shared" si="16"/>
        <v>82500</v>
      </c>
      <c r="T177" s="38">
        <f t="shared" si="17"/>
        <v>130370</v>
      </c>
    </row>
    <row r="178" spans="1:20" x14ac:dyDescent="0.25">
      <c r="A178" s="32"/>
      <c r="B178" s="88" t="s">
        <v>359</v>
      </c>
      <c r="C178" s="33"/>
      <c r="D178" s="34" t="s">
        <v>360</v>
      </c>
      <c r="E178" s="35" t="s">
        <v>39</v>
      </c>
      <c r="F178" s="36">
        <v>1</v>
      </c>
      <c r="G178" s="39">
        <v>67500</v>
      </c>
      <c r="H178" s="98">
        <f t="shared" si="12"/>
        <v>121500</v>
      </c>
      <c r="I178" s="98">
        <f t="shared" si="13"/>
        <v>91125</v>
      </c>
      <c r="J178" s="41"/>
      <c r="K178" s="39">
        <v>45576</v>
      </c>
      <c r="L178" s="98">
        <f t="shared" si="14"/>
        <v>80669.52</v>
      </c>
      <c r="M178" s="98">
        <f t="shared" si="15"/>
        <v>61527.600000000006</v>
      </c>
      <c r="N178" s="41"/>
      <c r="O178" s="39">
        <v>49403</v>
      </c>
      <c r="P178" s="40">
        <v>88925.400000000009</v>
      </c>
      <c r="Q178" s="40">
        <v>66694.05</v>
      </c>
      <c r="R178" s="41"/>
      <c r="S178" s="37">
        <f t="shared" si="16"/>
        <v>45576</v>
      </c>
      <c r="T178" s="38">
        <f t="shared" si="17"/>
        <v>67500</v>
      </c>
    </row>
    <row r="179" spans="1:20" x14ac:dyDescent="0.25">
      <c r="A179" s="32"/>
      <c r="B179" s="88" t="s">
        <v>361</v>
      </c>
      <c r="C179" s="33"/>
      <c r="D179" s="34" t="s">
        <v>362</v>
      </c>
      <c r="E179" s="35" t="s">
        <v>190</v>
      </c>
      <c r="F179" s="36">
        <v>1</v>
      </c>
      <c r="G179" s="39">
        <v>26500</v>
      </c>
      <c r="H179" s="98">
        <f t="shared" si="12"/>
        <v>47700</v>
      </c>
      <c r="I179" s="98">
        <f t="shared" si="13"/>
        <v>35775</v>
      </c>
      <c r="J179" s="41"/>
      <c r="K179" s="39">
        <v>17614</v>
      </c>
      <c r="L179" s="98">
        <f t="shared" si="14"/>
        <v>31176.78</v>
      </c>
      <c r="M179" s="98">
        <f t="shared" si="15"/>
        <v>23778.9</v>
      </c>
      <c r="N179" s="41"/>
      <c r="O179" s="39">
        <v>27446</v>
      </c>
      <c r="P179" s="40">
        <v>49402.8</v>
      </c>
      <c r="Q179" s="40">
        <v>37052.100000000006</v>
      </c>
      <c r="R179" s="41"/>
      <c r="S179" s="37">
        <f t="shared" si="16"/>
        <v>17614</v>
      </c>
      <c r="T179" s="38">
        <f t="shared" si="17"/>
        <v>27446</v>
      </c>
    </row>
    <row r="180" spans="1:20" x14ac:dyDescent="0.25">
      <c r="A180" s="32"/>
      <c r="B180" s="88" t="s">
        <v>363</v>
      </c>
      <c r="C180" s="33"/>
      <c r="D180" s="34" t="s">
        <v>364</v>
      </c>
      <c r="E180" s="35" t="s">
        <v>190</v>
      </c>
      <c r="F180" s="36">
        <v>1</v>
      </c>
      <c r="G180" s="39">
        <v>50000</v>
      </c>
      <c r="H180" s="98">
        <f t="shared" si="12"/>
        <v>90000</v>
      </c>
      <c r="I180" s="98">
        <f t="shared" si="13"/>
        <v>67500</v>
      </c>
      <c r="J180" s="41"/>
      <c r="K180" s="39">
        <v>19679</v>
      </c>
      <c r="L180" s="98">
        <f t="shared" si="14"/>
        <v>34831.83</v>
      </c>
      <c r="M180" s="98">
        <f t="shared" si="15"/>
        <v>26566.65</v>
      </c>
      <c r="N180" s="41"/>
      <c r="O180" s="39">
        <v>41169</v>
      </c>
      <c r="P180" s="40">
        <v>74104.2</v>
      </c>
      <c r="Q180" s="40">
        <v>55578.15</v>
      </c>
      <c r="R180" s="41"/>
      <c r="S180" s="37">
        <f t="shared" si="16"/>
        <v>19679</v>
      </c>
      <c r="T180" s="38">
        <f t="shared" si="17"/>
        <v>50000</v>
      </c>
    </row>
    <row r="181" spans="1:20" x14ac:dyDescent="0.25">
      <c r="A181" s="32"/>
      <c r="B181" s="88" t="s">
        <v>365</v>
      </c>
      <c r="C181" s="33"/>
      <c r="D181" s="34" t="s">
        <v>366</v>
      </c>
      <c r="E181" s="35" t="s">
        <v>59</v>
      </c>
      <c r="F181" s="36">
        <v>1</v>
      </c>
      <c r="G181" s="39">
        <v>38000</v>
      </c>
      <c r="H181" s="98">
        <f t="shared" si="12"/>
        <v>68400</v>
      </c>
      <c r="I181" s="98">
        <f t="shared" si="13"/>
        <v>51300</v>
      </c>
      <c r="J181" s="41"/>
      <c r="K181" s="39">
        <v>32363</v>
      </c>
      <c r="L181" s="98">
        <f t="shared" si="14"/>
        <v>57282.51</v>
      </c>
      <c r="M181" s="98">
        <f t="shared" si="15"/>
        <v>43690.05</v>
      </c>
      <c r="N181" s="41"/>
      <c r="O181" s="39">
        <v>35680</v>
      </c>
      <c r="P181" s="40">
        <v>64224</v>
      </c>
      <c r="Q181" s="40">
        <v>48168</v>
      </c>
      <c r="R181" s="41"/>
      <c r="S181" s="37">
        <f t="shared" si="16"/>
        <v>32363</v>
      </c>
      <c r="T181" s="38">
        <f t="shared" si="17"/>
        <v>38000</v>
      </c>
    </row>
    <row r="182" spans="1:20" x14ac:dyDescent="0.25">
      <c r="A182" s="32"/>
      <c r="B182" s="88" t="s">
        <v>367</v>
      </c>
      <c r="C182" s="33"/>
      <c r="D182" s="34" t="s">
        <v>368</v>
      </c>
      <c r="E182" s="35" t="s">
        <v>59</v>
      </c>
      <c r="F182" s="36">
        <v>1</v>
      </c>
      <c r="G182" s="39">
        <v>32000</v>
      </c>
      <c r="H182" s="98">
        <f t="shared" si="12"/>
        <v>57600</v>
      </c>
      <c r="I182" s="98">
        <f t="shared" si="13"/>
        <v>43200</v>
      </c>
      <c r="J182" s="41"/>
      <c r="K182" s="39">
        <v>19741</v>
      </c>
      <c r="L182" s="98">
        <f t="shared" si="14"/>
        <v>34941.57</v>
      </c>
      <c r="M182" s="98">
        <f t="shared" si="15"/>
        <v>26650.350000000002</v>
      </c>
      <c r="N182" s="41"/>
      <c r="O182" s="39">
        <v>21957</v>
      </c>
      <c r="P182" s="40">
        <v>39522.6</v>
      </c>
      <c r="Q182" s="40">
        <v>29641.95</v>
      </c>
      <c r="R182" s="41"/>
      <c r="S182" s="37">
        <f t="shared" si="16"/>
        <v>19741</v>
      </c>
      <c r="T182" s="38">
        <f t="shared" si="17"/>
        <v>32000</v>
      </c>
    </row>
    <row r="183" spans="1:20" x14ac:dyDescent="0.25">
      <c r="A183" s="32"/>
      <c r="B183" s="88" t="s">
        <v>369</v>
      </c>
      <c r="C183" s="33"/>
      <c r="D183" s="34" t="s">
        <v>370</v>
      </c>
      <c r="E183" s="35" t="s">
        <v>59</v>
      </c>
      <c r="F183" s="36">
        <v>1</v>
      </c>
      <c r="G183" s="39">
        <v>32000</v>
      </c>
      <c r="H183" s="98">
        <f t="shared" si="12"/>
        <v>57600</v>
      </c>
      <c r="I183" s="98">
        <f t="shared" si="13"/>
        <v>43200</v>
      </c>
      <c r="J183" s="41"/>
      <c r="K183" s="39">
        <v>19741</v>
      </c>
      <c r="L183" s="98">
        <f t="shared" si="14"/>
        <v>34941.57</v>
      </c>
      <c r="M183" s="98">
        <f t="shared" si="15"/>
        <v>26650.350000000002</v>
      </c>
      <c r="N183" s="41"/>
      <c r="O183" s="39">
        <v>21957</v>
      </c>
      <c r="P183" s="40">
        <v>39522.6</v>
      </c>
      <c r="Q183" s="40">
        <v>29641.95</v>
      </c>
      <c r="R183" s="41"/>
      <c r="S183" s="37">
        <f t="shared" si="16"/>
        <v>19741</v>
      </c>
      <c r="T183" s="38">
        <f t="shared" si="17"/>
        <v>32000</v>
      </c>
    </row>
    <row r="184" spans="1:20" x14ac:dyDescent="0.25">
      <c r="A184" s="32"/>
      <c r="B184" s="88" t="s">
        <v>371</v>
      </c>
      <c r="C184" s="33"/>
      <c r="D184" s="34" t="s">
        <v>372</v>
      </c>
      <c r="E184" s="35" t="s">
        <v>39</v>
      </c>
      <c r="F184" s="36">
        <v>1</v>
      </c>
      <c r="G184" s="39">
        <v>47500</v>
      </c>
      <c r="H184" s="98">
        <f t="shared" si="12"/>
        <v>85500</v>
      </c>
      <c r="I184" s="98">
        <f t="shared" si="13"/>
        <v>64125.000000000007</v>
      </c>
      <c r="J184" s="41"/>
      <c r="K184" s="39">
        <v>4032</v>
      </c>
      <c r="L184" s="98">
        <f t="shared" si="14"/>
        <v>7136.64</v>
      </c>
      <c r="M184" s="98">
        <f t="shared" si="15"/>
        <v>5443.2000000000007</v>
      </c>
      <c r="N184" s="41"/>
      <c r="O184" s="39">
        <v>4803</v>
      </c>
      <c r="P184" s="40">
        <v>8645.4</v>
      </c>
      <c r="Q184" s="40">
        <v>6484.05</v>
      </c>
      <c r="R184" s="41"/>
      <c r="S184" s="37">
        <f t="shared" si="16"/>
        <v>4032</v>
      </c>
      <c r="T184" s="38">
        <f t="shared" si="17"/>
        <v>47500</v>
      </c>
    </row>
    <row r="185" spans="1:20" x14ac:dyDescent="0.25">
      <c r="A185" s="32"/>
      <c r="B185" s="88" t="s">
        <v>373</v>
      </c>
      <c r="C185" s="33"/>
      <c r="D185" s="34" t="s">
        <v>374</v>
      </c>
      <c r="E185" s="35" t="s">
        <v>94</v>
      </c>
      <c r="F185" s="36">
        <v>1</v>
      </c>
      <c r="G185" s="39">
        <v>8500</v>
      </c>
      <c r="H185" s="98">
        <f t="shared" si="12"/>
        <v>15300</v>
      </c>
      <c r="I185" s="98">
        <f t="shared" si="13"/>
        <v>11475</v>
      </c>
      <c r="J185" s="41"/>
      <c r="K185" s="39">
        <v>3713</v>
      </c>
      <c r="L185" s="98">
        <f t="shared" si="14"/>
        <v>6572.01</v>
      </c>
      <c r="M185" s="98">
        <f t="shared" si="15"/>
        <v>5012.55</v>
      </c>
      <c r="N185" s="41"/>
      <c r="O185" s="39">
        <v>4117</v>
      </c>
      <c r="P185" s="40">
        <v>7410.6</v>
      </c>
      <c r="Q185" s="40">
        <v>5557.9500000000007</v>
      </c>
      <c r="R185" s="41"/>
      <c r="S185" s="37">
        <f t="shared" si="16"/>
        <v>3713</v>
      </c>
      <c r="T185" s="38">
        <f t="shared" si="17"/>
        <v>8500</v>
      </c>
    </row>
    <row r="186" spans="1:20" x14ac:dyDescent="0.25">
      <c r="A186" s="32"/>
      <c r="B186" s="88" t="s">
        <v>375</v>
      </c>
      <c r="C186" s="33"/>
      <c r="D186" s="34" t="s">
        <v>376</v>
      </c>
      <c r="E186" s="35" t="s">
        <v>85</v>
      </c>
      <c r="F186" s="36">
        <v>1</v>
      </c>
      <c r="G186" s="39">
        <v>2650</v>
      </c>
      <c r="H186" s="98">
        <f t="shared" si="12"/>
        <v>4770</v>
      </c>
      <c r="I186" s="98">
        <f t="shared" si="13"/>
        <v>3577.5000000000005</v>
      </c>
      <c r="J186" s="41"/>
      <c r="K186" s="39">
        <v>909</v>
      </c>
      <c r="L186" s="98">
        <f t="shared" si="14"/>
        <v>1608.93</v>
      </c>
      <c r="M186" s="98">
        <f t="shared" si="15"/>
        <v>1227.1500000000001</v>
      </c>
      <c r="N186" s="41"/>
      <c r="O186" s="39">
        <v>919</v>
      </c>
      <c r="P186" s="40">
        <v>1654.2</v>
      </c>
      <c r="Q186" s="40">
        <v>1240.6500000000001</v>
      </c>
      <c r="R186" s="41"/>
      <c r="S186" s="37">
        <f t="shared" si="16"/>
        <v>909</v>
      </c>
      <c r="T186" s="38">
        <f t="shared" si="17"/>
        <v>2650</v>
      </c>
    </row>
    <row r="187" spans="1:20" x14ac:dyDescent="0.25">
      <c r="A187" s="32"/>
      <c r="B187" s="88" t="s">
        <v>377</v>
      </c>
      <c r="C187" s="33"/>
      <c r="D187" s="34" t="s">
        <v>378</v>
      </c>
      <c r="E187" s="35" t="s">
        <v>94</v>
      </c>
      <c r="F187" s="36">
        <v>1</v>
      </c>
      <c r="G187" s="39">
        <v>42500</v>
      </c>
      <c r="H187" s="98">
        <f t="shared" si="12"/>
        <v>76500</v>
      </c>
      <c r="I187" s="98">
        <f t="shared" si="13"/>
        <v>57375.000000000007</v>
      </c>
      <c r="J187" s="41"/>
      <c r="K187" s="39">
        <v>53480</v>
      </c>
      <c r="L187" s="98">
        <f t="shared" si="14"/>
        <v>94659.6</v>
      </c>
      <c r="M187" s="98">
        <f t="shared" si="15"/>
        <v>72198</v>
      </c>
      <c r="N187" s="41"/>
      <c r="O187" s="39">
        <v>61754</v>
      </c>
      <c r="P187" s="40">
        <v>111157.2</v>
      </c>
      <c r="Q187" s="40">
        <v>83367.900000000009</v>
      </c>
      <c r="R187" s="41"/>
      <c r="S187" s="37">
        <f t="shared" si="16"/>
        <v>42500</v>
      </c>
      <c r="T187" s="38">
        <f t="shared" si="17"/>
        <v>61754</v>
      </c>
    </row>
    <row r="188" spans="1:20" x14ac:dyDescent="0.25">
      <c r="A188" s="32"/>
      <c r="B188" s="88" t="s">
        <v>379</v>
      </c>
      <c r="C188" s="33"/>
      <c r="D188" s="34" t="s">
        <v>380</v>
      </c>
      <c r="E188" s="35" t="s">
        <v>94</v>
      </c>
      <c r="F188" s="36">
        <v>1</v>
      </c>
      <c r="G188" s="39">
        <v>50000</v>
      </c>
      <c r="H188" s="98">
        <f t="shared" si="12"/>
        <v>90000</v>
      </c>
      <c r="I188" s="98">
        <f t="shared" si="13"/>
        <v>67500</v>
      </c>
      <c r="J188" s="41"/>
      <c r="K188" s="39">
        <v>57152</v>
      </c>
      <c r="L188" s="98">
        <f t="shared" si="14"/>
        <v>101159.04000000001</v>
      </c>
      <c r="M188" s="98">
        <f t="shared" si="15"/>
        <v>77155.200000000012</v>
      </c>
      <c r="N188" s="41"/>
      <c r="O188" s="39">
        <v>68616</v>
      </c>
      <c r="P188" s="40">
        <v>123508.8</v>
      </c>
      <c r="Q188" s="40">
        <v>92631.6</v>
      </c>
      <c r="R188" s="41"/>
      <c r="S188" s="37">
        <f t="shared" si="16"/>
        <v>50000</v>
      </c>
      <c r="T188" s="38">
        <f t="shared" si="17"/>
        <v>68616</v>
      </c>
    </row>
    <row r="189" spans="1:20" x14ac:dyDescent="0.25">
      <c r="A189" s="32"/>
      <c r="B189" s="88" t="s">
        <v>381</v>
      </c>
      <c r="C189" s="33"/>
      <c r="D189" s="34" t="s">
        <v>382</v>
      </c>
      <c r="E189" s="35" t="s">
        <v>59</v>
      </c>
      <c r="F189" s="36">
        <v>1</v>
      </c>
      <c r="G189" s="39">
        <v>26500</v>
      </c>
      <c r="H189" s="98">
        <f t="shared" si="12"/>
        <v>47700</v>
      </c>
      <c r="I189" s="98">
        <f t="shared" si="13"/>
        <v>35775</v>
      </c>
      <c r="J189" s="41"/>
      <c r="K189" s="39">
        <v>5900</v>
      </c>
      <c r="L189" s="98">
        <f t="shared" si="14"/>
        <v>10443</v>
      </c>
      <c r="M189" s="98">
        <f t="shared" si="15"/>
        <v>7965.0000000000009</v>
      </c>
      <c r="N189" s="41"/>
      <c r="O189" s="39">
        <v>7136</v>
      </c>
      <c r="P189" s="40">
        <v>12844.800000000001</v>
      </c>
      <c r="Q189" s="40">
        <v>9633.6</v>
      </c>
      <c r="R189" s="41"/>
      <c r="S189" s="37">
        <f t="shared" si="16"/>
        <v>5900</v>
      </c>
      <c r="T189" s="38">
        <f t="shared" si="17"/>
        <v>26500</v>
      </c>
    </row>
    <row r="190" spans="1:20" x14ac:dyDescent="0.25">
      <c r="A190" s="32"/>
      <c r="B190" s="88" t="s">
        <v>383</v>
      </c>
      <c r="C190" s="33"/>
      <c r="D190" s="34" t="s">
        <v>384</v>
      </c>
      <c r="E190" s="35" t="s">
        <v>39</v>
      </c>
      <c r="F190" s="36">
        <v>1</v>
      </c>
      <c r="G190" s="39">
        <v>25000</v>
      </c>
      <c r="H190" s="98">
        <f t="shared" si="12"/>
        <v>45000</v>
      </c>
      <c r="I190" s="98">
        <f t="shared" si="13"/>
        <v>33750</v>
      </c>
      <c r="J190" s="41"/>
      <c r="K190" s="39">
        <v>9965</v>
      </c>
      <c r="L190" s="98">
        <f t="shared" si="14"/>
        <v>17638.05</v>
      </c>
      <c r="M190" s="98">
        <f t="shared" si="15"/>
        <v>13452.75</v>
      </c>
      <c r="N190" s="41"/>
      <c r="O190" s="39">
        <v>21957</v>
      </c>
      <c r="P190" s="40">
        <v>39522.6</v>
      </c>
      <c r="Q190" s="40">
        <v>29641.95</v>
      </c>
      <c r="R190" s="41"/>
      <c r="S190" s="37">
        <f t="shared" si="16"/>
        <v>9965</v>
      </c>
      <c r="T190" s="38">
        <f t="shared" si="17"/>
        <v>25000</v>
      </c>
    </row>
    <row r="191" spans="1:20" x14ac:dyDescent="0.25">
      <c r="A191" s="32"/>
      <c r="B191" s="88" t="s">
        <v>385</v>
      </c>
      <c r="C191" s="33"/>
      <c r="D191" s="34" t="s">
        <v>386</v>
      </c>
      <c r="E191" s="35" t="s">
        <v>59</v>
      </c>
      <c r="F191" s="36">
        <v>1</v>
      </c>
      <c r="G191" s="39">
        <v>8500</v>
      </c>
      <c r="H191" s="98">
        <f t="shared" si="12"/>
        <v>15300</v>
      </c>
      <c r="I191" s="98">
        <f t="shared" si="13"/>
        <v>11475</v>
      </c>
      <c r="J191" s="41"/>
      <c r="K191" s="39">
        <v>4805</v>
      </c>
      <c r="L191" s="98">
        <f t="shared" si="14"/>
        <v>8504.85</v>
      </c>
      <c r="M191" s="98">
        <f t="shared" si="15"/>
        <v>6486.75</v>
      </c>
      <c r="N191" s="41"/>
      <c r="O191" s="39">
        <v>4117</v>
      </c>
      <c r="P191" s="40">
        <v>7410.6</v>
      </c>
      <c r="Q191" s="40">
        <v>5557.9500000000007</v>
      </c>
      <c r="R191" s="41"/>
      <c r="S191" s="37">
        <f t="shared" si="16"/>
        <v>4117</v>
      </c>
      <c r="T191" s="38">
        <f t="shared" si="17"/>
        <v>8500</v>
      </c>
    </row>
    <row r="192" spans="1:20" x14ac:dyDescent="0.25">
      <c r="A192" s="32"/>
      <c r="B192" s="88" t="s">
        <v>387</v>
      </c>
      <c r="C192" s="33"/>
      <c r="D192" s="34" t="s">
        <v>388</v>
      </c>
      <c r="E192" s="35" t="s">
        <v>39</v>
      </c>
      <c r="F192" s="36">
        <v>1</v>
      </c>
      <c r="G192" s="39">
        <v>65000</v>
      </c>
      <c r="H192" s="98">
        <f t="shared" si="12"/>
        <v>117000</v>
      </c>
      <c r="I192" s="98">
        <f t="shared" si="13"/>
        <v>87750</v>
      </c>
      <c r="J192" s="41"/>
      <c r="K192" s="39">
        <v>51627</v>
      </c>
      <c r="L192" s="98">
        <f t="shared" si="14"/>
        <v>91379.790000000008</v>
      </c>
      <c r="M192" s="98">
        <f t="shared" si="15"/>
        <v>69696.450000000012</v>
      </c>
      <c r="N192" s="41"/>
      <c r="O192" s="39">
        <v>58049</v>
      </c>
      <c r="P192" s="40">
        <v>104488.2</v>
      </c>
      <c r="Q192" s="40">
        <v>78366.150000000009</v>
      </c>
      <c r="R192" s="41"/>
      <c r="S192" s="37">
        <f t="shared" si="16"/>
        <v>51627</v>
      </c>
      <c r="T192" s="38">
        <f t="shared" si="17"/>
        <v>65000</v>
      </c>
    </row>
    <row r="193" spans="1:20" x14ac:dyDescent="0.25">
      <c r="A193" s="32"/>
      <c r="B193" s="88" t="s">
        <v>389</v>
      </c>
      <c r="C193" s="33"/>
      <c r="D193" s="34" t="s">
        <v>390</v>
      </c>
      <c r="E193" s="35" t="s">
        <v>39</v>
      </c>
      <c r="F193" s="36">
        <v>1</v>
      </c>
      <c r="G193" s="39">
        <v>45000</v>
      </c>
      <c r="H193" s="98">
        <f t="shared" si="12"/>
        <v>81000</v>
      </c>
      <c r="I193" s="98">
        <f t="shared" si="13"/>
        <v>60750.000000000007</v>
      </c>
      <c r="J193" s="41"/>
      <c r="K193" s="39">
        <v>69622</v>
      </c>
      <c r="L193" s="98">
        <f t="shared" si="14"/>
        <v>123230.94</v>
      </c>
      <c r="M193" s="98">
        <f t="shared" si="15"/>
        <v>93989.700000000012</v>
      </c>
      <c r="N193" s="41"/>
      <c r="O193" s="39">
        <v>65871</v>
      </c>
      <c r="P193" s="40">
        <v>118567.8</v>
      </c>
      <c r="Q193" s="40">
        <v>88925.85</v>
      </c>
      <c r="R193" s="41"/>
      <c r="S193" s="37">
        <f t="shared" si="16"/>
        <v>45000</v>
      </c>
      <c r="T193" s="38">
        <f t="shared" si="17"/>
        <v>69622</v>
      </c>
    </row>
    <row r="194" spans="1:20" x14ac:dyDescent="0.25">
      <c r="A194" s="32"/>
      <c r="B194" s="88" t="s">
        <v>391</v>
      </c>
      <c r="C194" s="33"/>
      <c r="D194" s="34" t="s">
        <v>392</v>
      </c>
      <c r="E194" s="35" t="s">
        <v>39</v>
      </c>
      <c r="F194" s="36">
        <v>1</v>
      </c>
      <c r="G194" s="39">
        <v>35000</v>
      </c>
      <c r="H194" s="98">
        <f t="shared" si="12"/>
        <v>63000</v>
      </c>
      <c r="I194" s="98">
        <f t="shared" si="13"/>
        <v>47250</v>
      </c>
      <c r="J194" s="41"/>
      <c r="K194" s="39">
        <v>43068</v>
      </c>
      <c r="L194" s="98">
        <f t="shared" si="14"/>
        <v>76230.36</v>
      </c>
      <c r="M194" s="98">
        <f t="shared" si="15"/>
        <v>58141.8</v>
      </c>
      <c r="N194" s="41"/>
      <c r="O194" s="39">
        <v>48031</v>
      </c>
      <c r="P194" s="40">
        <v>86455.8</v>
      </c>
      <c r="Q194" s="40">
        <v>64841.850000000006</v>
      </c>
      <c r="R194" s="41"/>
      <c r="S194" s="37">
        <f t="shared" si="16"/>
        <v>35000</v>
      </c>
      <c r="T194" s="38">
        <f t="shared" si="17"/>
        <v>48031</v>
      </c>
    </row>
    <row r="195" spans="1:20" x14ac:dyDescent="0.25">
      <c r="A195" s="32"/>
      <c r="B195" s="88" t="s">
        <v>393</v>
      </c>
      <c r="C195" s="33"/>
      <c r="D195" s="34" t="s">
        <v>394</v>
      </c>
      <c r="E195" s="35" t="s">
        <v>39</v>
      </c>
      <c r="F195" s="36">
        <v>1</v>
      </c>
      <c r="G195" s="39">
        <v>38000</v>
      </c>
      <c r="H195" s="98">
        <f t="shared" si="12"/>
        <v>68400</v>
      </c>
      <c r="I195" s="98">
        <f t="shared" si="13"/>
        <v>51300</v>
      </c>
      <c r="J195" s="41"/>
      <c r="K195" s="39">
        <v>43068</v>
      </c>
      <c r="L195" s="98">
        <f t="shared" si="14"/>
        <v>76230.36</v>
      </c>
      <c r="M195" s="98">
        <f t="shared" si="15"/>
        <v>58141.8</v>
      </c>
      <c r="N195" s="41"/>
      <c r="O195" s="39">
        <v>50776</v>
      </c>
      <c r="P195" s="40">
        <v>91396.800000000003</v>
      </c>
      <c r="Q195" s="40">
        <v>68547.600000000006</v>
      </c>
      <c r="R195" s="41"/>
      <c r="S195" s="37">
        <f t="shared" si="16"/>
        <v>38000</v>
      </c>
      <c r="T195" s="38">
        <f t="shared" si="17"/>
        <v>50776</v>
      </c>
    </row>
    <row r="196" spans="1:20" x14ac:dyDescent="0.25">
      <c r="A196" s="32"/>
      <c r="B196" s="88" t="s">
        <v>395</v>
      </c>
      <c r="C196" s="33"/>
      <c r="D196" s="34" t="s">
        <v>396</v>
      </c>
      <c r="E196" s="35" t="s">
        <v>39</v>
      </c>
      <c r="F196" s="36">
        <v>1</v>
      </c>
      <c r="G196" s="39">
        <v>45000</v>
      </c>
      <c r="H196" s="98">
        <f t="shared" si="12"/>
        <v>81000</v>
      </c>
      <c r="I196" s="98">
        <f t="shared" si="13"/>
        <v>60750.000000000007</v>
      </c>
      <c r="J196" s="41"/>
      <c r="K196" s="39">
        <v>63871</v>
      </c>
      <c r="L196" s="98">
        <f t="shared" si="14"/>
        <v>113051.67</v>
      </c>
      <c r="M196" s="98">
        <f t="shared" si="15"/>
        <v>86225.85</v>
      </c>
      <c r="N196" s="41"/>
      <c r="O196" s="39">
        <v>65871</v>
      </c>
      <c r="P196" s="40">
        <v>118567.8</v>
      </c>
      <c r="Q196" s="40">
        <v>88925.85</v>
      </c>
      <c r="R196" s="41"/>
      <c r="S196" s="37">
        <f t="shared" si="16"/>
        <v>45000</v>
      </c>
      <c r="T196" s="38">
        <f t="shared" si="17"/>
        <v>65871</v>
      </c>
    </row>
    <row r="197" spans="1:20" x14ac:dyDescent="0.25">
      <c r="A197" s="32"/>
      <c r="B197" s="88" t="s">
        <v>397</v>
      </c>
      <c r="C197" s="33"/>
      <c r="D197" s="34" t="s">
        <v>398</v>
      </c>
      <c r="E197" s="35" t="s">
        <v>59</v>
      </c>
      <c r="F197" s="36">
        <v>1</v>
      </c>
      <c r="G197" s="39">
        <v>35000</v>
      </c>
      <c r="H197" s="98">
        <f t="shared" si="12"/>
        <v>63000</v>
      </c>
      <c r="I197" s="98">
        <f t="shared" si="13"/>
        <v>47250</v>
      </c>
      <c r="J197" s="41"/>
      <c r="K197" s="39">
        <v>27059</v>
      </c>
      <c r="L197" s="98">
        <f t="shared" si="14"/>
        <v>47894.43</v>
      </c>
      <c r="M197" s="98">
        <f t="shared" si="15"/>
        <v>36529.65</v>
      </c>
      <c r="N197" s="41"/>
      <c r="O197" s="39">
        <v>30191</v>
      </c>
      <c r="P197" s="40">
        <v>54343.8</v>
      </c>
      <c r="Q197" s="40">
        <v>40757.850000000006</v>
      </c>
      <c r="R197" s="41"/>
      <c r="S197" s="37">
        <f t="shared" si="16"/>
        <v>27059</v>
      </c>
      <c r="T197" s="38">
        <f t="shared" si="17"/>
        <v>35000</v>
      </c>
    </row>
    <row r="198" spans="1:20" x14ac:dyDescent="0.25">
      <c r="A198" s="32"/>
      <c r="B198" s="88" t="s">
        <v>399</v>
      </c>
      <c r="C198" s="33"/>
      <c r="D198" s="34" t="s">
        <v>400</v>
      </c>
      <c r="E198" s="35" t="s">
        <v>39</v>
      </c>
      <c r="F198" s="36">
        <v>1</v>
      </c>
      <c r="G198" s="39">
        <v>12000</v>
      </c>
      <c r="H198" s="98">
        <f t="shared" si="12"/>
        <v>21600</v>
      </c>
      <c r="I198" s="98">
        <f t="shared" si="13"/>
        <v>16200.000000000002</v>
      </c>
      <c r="J198" s="41"/>
      <c r="K198" s="39">
        <v>15210</v>
      </c>
      <c r="L198" s="98">
        <f t="shared" si="14"/>
        <v>26921.7</v>
      </c>
      <c r="M198" s="98">
        <f t="shared" si="15"/>
        <v>20533.5</v>
      </c>
      <c r="N198" s="41"/>
      <c r="O198" s="39">
        <v>19212</v>
      </c>
      <c r="P198" s="40">
        <v>34581.599999999999</v>
      </c>
      <c r="Q198" s="40">
        <v>25936.2</v>
      </c>
      <c r="R198" s="41"/>
      <c r="S198" s="37">
        <f t="shared" si="16"/>
        <v>12000</v>
      </c>
      <c r="T198" s="38">
        <f t="shared" si="17"/>
        <v>19212</v>
      </c>
    </row>
    <row r="199" spans="1:20" x14ac:dyDescent="0.25">
      <c r="A199" s="32"/>
      <c r="B199" s="88" t="s">
        <v>401</v>
      </c>
      <c r="C199" s="33"/>
      <c r="D199" s="34" t="s">
        <v>402</v>
      </c>
      <c r="E199" s="35" t="s">
        <v>56</v>
      </c>
      <c r="F199" s="36">
        <v>1</v>
      </c>
      <c r="G199" s="39">
        <v>49000</v>
      </c>
      <c r="H199" s="98">
        <f t="shared" si="12"/>
        <v>88200</v>
      </c>
      <c r="I199" s="98">
        <f t="shared" si="13"/>
        <v>66150</v>
      </c>
      <c r="J199" s="41"/>
      <c r="K199" s="39">
        <v>19189</v>
      </c>
      <c r="L199" s="98">
        <f t="shared" si="14"/>
        <v>33964.53</v>
      </c>
      <c r="M199" s="98">
        <f t="shared" si="15"/>
        <v>25905.15</v>
      </c>
      <c r="N199" s="41"/>
      <c r="O199" s="39">
        <v>21957</v>
      </c>
      <c r="P199" s="40">
        <v>39522.6</v>
      </c>
      <c r="Q199" s="40">
        <v>29641.95</v>
      </c>
      <c r="R199" s="41"/>
      <c r="S199" s="37">
        <f t="shared" si="16"/>
        <v>19189</v>
      </c>
      <c r="T199" s="38">
        <f t="shared" si="17"/>
        <v>49000</v>
      </c>
    </row>
    <row r="200" spans="1:20" x14ac:dyDescent="0.25">
      <c r="A200" s="32"/>
      <c r="B200" s="88" t="s">
        <v>403</v>
      </c>
      <c r="C200" s="33"/>
      <c r="D200" s="34" t="s">
        <v>404</v>
      </c>
      <c r="E200" s="35" t="s">
        <v>34</v>
      </c>
      <c r="F200" s="36">
        <v>1</v>
      </c>
      <c r="G200" s="39">
        <v>45000</v>
      </c>
      <c r="H200" s="98">
        <f t="shared" si="12"/>
        <v>81000</v>
      </c>
      <c r="I200" s="98">
        <f t="shared" si="13"/>
        <v>60750.000000000007</v>
      </c>
      <c r="J200" s="41"/>
      <c r="K200" s="39">
        <v>61557</v>
      </c>
      <c r="L200" s="98">
        <f t="shared" si="14"/>
        <v>108955.89</v>
      </c>
      <c r="M200" s="98">
        <f t="shared" si="15"/>
        <v>83101.950000000012</v>
      </c>
      <c r="N200" s="41"/>
      <c r="O200" s="39">
        <v>68890</v>
      </c>
      <c r="P200" s="40">
        <v>124002</v>
      </c>
      <c r="Q200" s="40">
        <v>93001.5</v>
      </c>
      <c r="R200" s="41"/>
      <c r="S200" s="37">
        <f t="shared" si="16"/>
        <v>45000</v>
      </c>
      <c r="T200" s="38">
        <f t="shared" si="17"/>
        <v>68890</v>
      </c>
    </row>
    <row r="201" spans="1:20" ht="15.6" x14ac:dyDescent="0.25">
      <c r="A201" s="32"/>
      <c r="B201" s="88" t="s">
        <v>405</v>
      </c>
      <c r="C201" s="33"/>
      <c r="D201" s="34" t="s">
        <v>406</v>
      </c>
      <c r="E201" s="35" t="s">
        <v>59</v>
      </c>
      <c r="F201" s="36">
        <v>1</v>
      </c>
      <c r="G201" s="39">
        <v>49000</v>
      </c>
      <c r="H201" s="98">
        <f t="shared" si="12"/>
        <v>88200</v>
      </c>
      <c r="I201" s="98">
        <f t="shared" si="13"/>
        <v>66150</v>
      </c>
      <c r="J201" s="41"/>
      <c r="K201" s="39">
        <v>15431</v>
      </c>
      <c r="L201" s="98">
        <f t="shared" si="14"/>
        <v>27312.87</v>
      </c>
      <c r="M201" s="98">
        <f t="shared" si="15"/>
        <v>20831.850000000002</v>
      </c>
      <c r="N201" s="41"/>
      <c r="O201" s="39">
        <v>19212</v>
      </c>
      <c r="P201" s="40">
        <v>34581.599999999999</v>
      </c>
      <c r="Q201" s="40">
        <v>25936.2</v>
      </c>
      <c r="R201" s="41"/>
      <c r="S201" s="37">
        <f t="shared" si="16"/>
        <v>15431</v>
      </c>
      <c r="T201" s="38">
        <f t="shared" si="17"/>
        <v>49000</v>
      </c>
    </row>
    <row r="202" spans="1:20" x14ac:dyDescent="0.25">
      <c r="A202" s="32"/>
      <c r="B202" s="88" t="s">
        <v>407</v>
      </c>
      <c r="C202" s="33"/>
      <c r="D202" s="34" t="s">
        <v>408</v>
      </c>
      <c r="E202" s="35" t="s">
        <v>34</v>
      </c>
      <c r="F202" s="36">
        <v>1</v>
      </c>
      <c r="G202" s="39">
        <v>48000</v>
      </c>
      <c r="H202" s="98">
        <f t="shared" si="12"/>
        <v>86400</v>
      </c>
      <c r="I202" s="98">
        <f t="shared" si="13"/>
        <v>64800.000000000007</v>
      </c>
      <c r="J202" s="41"/>
      <c r="K202" s="39">
        <v>59876</v>
      </c>
      <c r="L202" s="98">
        <f t="shared" si="14"/>
        <v>105980.52</v>
      </c>
      <c r="M202" s="98">
        <f t="shared" si="15"/>
        <v>80832.600000000006</v>
      </c>
      <c r="N202" s="41"/>
      <c r="O202" s="39">
        <v>63126</v>
      </c>
      <c r="P202" s="40">
        <v>113626.8</v>
      </c>
      <c r="Q202" s="40">
        <v>85220.1</v>
      </c>
      <c r="R202" s="41"/>
      <c r="S202" s="37">
        <f t="shared" si="16"/>
        <v>48000</v>
      </c>
      <c r="T202" s="38">
        <f t="shared" si="17"/>
        <v>63126</v>
      </c>
    </row>
    <row r="203" spans="1:20" x14ac:dyDescent="0.25">
      <c r="A203" s="32"/>
      <c r="B203" s="88" t="s">
        <v>409</v>
      </c>
      <c r="C203" s="33"/>
      <c r="D203" s="34" t="s">
        <v>410</v>
      </c>
      <c r="E203" s="35" t="s">
        <v>34</v>
      </c>
      <c r="F203" s="36">
        <v>1</v>
      </c>
      <c r="G203" s="39">
        <v>62500</v>
      </c>
      <c r="H203" s="98">
        <f t="shared" si="12"/>
        <v>112500</v>
      </c>
      <c r="I203" s="98">
        <f t="shared" si="13"/>
        <v>84375</v>
      </c>
      <c r="J203" s="41"/>
      <c r="K203" s="39">
        <v>62346</v>
      </c>
      <c r="L203" s="98">
        <f t="shared" si="14"/>
        <v>110352.42</v>
      </c>
      <c r="M203" s="98">
        <f t="shared" si="15"/>
        <v>84167.1</v>
      </c>
      <c r="N203" s="41"/>
      <c r="O203" s="39">
        <v>68890</v>
      </c>
      <c r="P203" s="40">
        <v>124002</v>
      </c>
      <c r="Q203" s="40">
        <v>93001.5</v>
      </c>
      <c r="R203" s="41"/>
      <c r="S203" s="37">
        <f t="shared" si="16"/>
        <v>62346</v>
      </c>
      <c r="T203" s="38">
        <f t="shared" si="17"/>
        <v>68890</v>
      </c>
    </row>
    <row r="204" spans="1:20" x14ac:dyDescent="0.25">
      <c r="A204" s="32"/>
      <c r="B204" s="88" t="s">
        <v>411</v>
      </c>
      <c r="C204" s="33"/>
      <c r="D204" s="34" t="s">
        <v>412</v>
      </c>
      <c r="E204" s="35" t="s">
        <v>34</v>
      </c>
      <c r="F204" s="36">
        <v>1</v>
      </c>
      <c r="G204" s="39">
        <v>62500</v>
      </c>
      <c r="H204" s="98">
        <f t="shared" si="12"/>
        <v>112500</v>
      </c>
      <c r="I204" s="98">
        <f t="shared" si="13"/>
        <v>84375</v>
      </c>
      <c r="J204" s="41"/>
      <c r="K204" s="39">
        <v>95520</v>
      </c>
      <c r="L204" s="98">
        <f t="shared" si="14"/>
        <v>169070.4</v>
      </c>
      <c r="M204" s="98">
        <f t="shared" si="15"/>
        <v>128952.00000000001</v>
      </c>
      <c r="N204" s="41"/>
      <c r="O204" s="39">
        <v>104296</v>
      </c>
      <c r="P204" s="40">
        <v>187732.80000000002</v>
      </c>
      <c r="Q204" s="40">
        <v>140799.6</v>
      </c>
      <c r="R204" s="41"/>
      <c r="S204" s="37">
        <f t="shared" si="16"/>
        <v>62500</v>
      </c>
      <c r="T204" s="38">
        <f t="shared" si="17"/>
        <v>104296</v>
      </c>
    </row>
    <row r="205" spans="1:20" x14ac:dyDescent="0.25">
      <c r="A205" s="32"/>
      <c r="B205" s="88" t="s">
        <v>413</v>
      </c>
      <c r="C205" s="33"/>
      <c r="D205" s="34" t="s">
        <v>414</v>
      </c>
      <c r="E205" s="35" t="s">
        <v>34</v>
      </c>
      <c r="F205" s="36">
        <v>1</v>
      </c>
      <c r="G205" s="39">
        <v>170000</v>
      </c>
      <c r="H205" s="98">
        <f t="shared" si="12"/>
        <v>306000</v>
      </c>
      <c r="I205" s="98">
        <f t="shared" si="13"/>
        <v>229500.00000000003</v>
      </c>
      <c r="J205" s="41"/>
      <c r="K205" s="39">
        <v>315707</v>
      </c>
      <c r="L205" s="98">
        <f t="shared" si="14"/>
        <v>558801.39</v>
      </c>
      <c r="M205" s="98">
        <f t="shared" si="15"/>
        <v>426204.45</v>
      </c>
      <c r="N205" s="41"/>
      <c r="O205" s="39">
        <v>349940</v>
      </c>
      <c r="P205" s="40">
        <v>629892</v>
      </c>
      <c r="Q205" s="40">
        <v>472419.00000000006</v>
      </c>
      <c r="R205" s="41"/>
      <c r="S205" s="37">
        <f t="shared" si="16"/>
        <v>170000</v>
      </c>
      <c r="T205" s="38">
        <f t="shared" si="17"/>
        <v>349940</v>
      </c>
    </row>
    <row r="206" spans="1:20" x14ac:dyDescent="0.25">
      <c r="A206" s="32"/>
      <c r="B206" s="88" t="s">
        <v>415</v>
      </c>
      <c r="C206" s="33"/>
      <c r="D206" s="34" t="s">
        <v>416</v>
      </c>
      <c r="E206" s="35" t="s">
        <v>34</v>
      </c>
      <c r="F206" s="36">
        <v>1</v>
      </c>
      <c r="G206" s="39">
        <v>85000</v>
      </c>
      <c r="H206" s="98">
        <f t="shared" si="12"/>
        <v>153000</v>
      </c>
      <c r="I206" s="98">
        <f t="shared" si="13"/>
        <v>114750.00000000001</v>
      </c>
      <c r="J206" s="41"/>
      <c r="K206" s="39">
        <v>130830</v>
      </c>
      <c r="L206" s="98">
        <f t="shared" si="14"/>
        <v>231569.1</v>
      </c>
      <c r="M206" s="98">
        <f t="shared" si="15"/>
        <v>176620.5</v>
      </c>
      <c r="N206" s="41"/>
      <c r="O206" s="39">
        <v>144093</v>
      </c>
      <c r="P206" s="40">
        <v>259367.4</v>
      </c>
      <c r="Q206" s="40">
        <v>194525.55000000002</v>
      </c>
      <c r="R206" s="41"/>
      <c r="S206" s="37">
        <f t="shared" si="16"/>
        <v>85000</v>
      </c>
      <c r="T206" s="38">
        <f t="shared" si="17"/>
        <v>144093</v>
      </c>
    </row>
    <row r="207" spans="1:20" x14ac:dyDescent="0.25">
      <c r="A207" s="32"/>
      <c r="B207" s="88" t="s">
        <v>417</v>
      </c>
      <c r="C207" s="33"/>
      <c r="D207" s="34" t="s">
        <v>418</v>
      </c>
      <c r="E207" s="35" t="s">
        <v>34</v>
      </c>
      <c r="F207" s="36">
        <v>1</v>
      </c>
      <c r="G207" s="39">
        <v>115000</v>
      </c>
      <c r="H207" s="98">
        <f t="shared" si="12"/>
        <v>207000</v>
      </c>
      <c r="I207" s="98">
        <f t="shared" si="13"/>
        <v>155250</v>
      </c>
      <c r="J207" s="41"/>
      <c r="K207" s="39">
        <v>157347</v>
      </c>
      <c r="L207" s="98">
        <f t="shared" si="14"/>
        <v>278504.19</v>
      </c>
      <c r="M207" s="98">
        <f t="shared" si="15"/>
        <v>212418.45</v>
      </c>
      <c r="N207" s="41"/>
      <c r="O207" s="39">
        <v>172911</v>
      </c>
      <c r="P207" s="40">
        <v>311239.8</v>
      </c>
      <c r="Q207" s="40">
        <v>233429.85</v>
      </c>
      <c r="R207" s="41"/>
      <c r="S207" s="37">
        <f t="shared" si="16"/>
        <v>115000</v>
      </c>
      <c r="T207" s="38">
        <f t="shared" si="17"/>
        <v>172911</v>
      </c>
    </row>
    <row r="208" spans="1:20" x14ac:dyDescent="0.25">
      <c r="A208" s="32"/>
      <c r="B208" s="88" t="s">
        <v>419</v>
      </c>
      <c r="C208" s="33"/>
      <c r="D208" s="34" t="s">
        <v>420</v>
      </c>
      <c r="E208" s="35" t="s">
        <v>34</v>
      </c>
      <c r="F208" s="36">
        <v>1</v>
      </c>
      <c r="G208" s="39">
        <v>140000</v>
      </c>
      <c r="H208" s="98">
        <f t="shared" si="12"/>
        <v>252000</v>
      </c>
      <c r="I208" s="98">
        <f t="shared" si="13"/>
        <v>189000</v>
      </c>
      <c r="J208" s="41"/>
      <c r="K208" s="39">
        <v>198282</v>
      </c>
      <c r="L208" s="98">
        <f t="shared" si="14"/>
        <v>350959.14</v>
      </c>
      <c r="M208" s="98">
        <f t="shared" si="15"/>
        <v>267680.7</v>
      </c>
      <c r="N208" s="41"/>
      <c r="O208" s="39">
        <v>222315</v>
      </c>
      <c r="P208" s="40">
        <v>400167</v>
      </c>
      <c r="Q208" s="40">
        <v>300125.25</v>
      </c>
      <c r="R208" s="41"/>
      <c r="S208" s="37">
        <f t="shared" si="16"/>
        <v>140000</v>
      </c>
      <c r="T208" s="38">
        <f t="shared" si="17"/>
        <v>222315</v>
      </c>
    </row>
    <row r="209" spans="1:20" x14ac:dyDescent="0.25">
      <c r="A209" s="32"/>
      <c r="B209" s="88" t="s">
        <v>421</v>
      </c>
      <c r="C209" s="33"/>
      <c r="D209" s="34" t="s">
        <v>422</v>
      </c>
      <c r="E209" s="35" t="s">
        <v>34</v>
      </c>
      <c r="F209" s="36">
        <v>1</v>
      </c>
      <c r="G209" s="39">
        <v>155000</v>
      </c>
      <c r="H209" s="98">
        <f t="shared" si="12"/>
        <v>279000</v>
      </c>
      <c r="I209" s="98">
        <f t="shared" si="13"/>
        <v>209250</v>
      </c>
      <c r="J209" s="41"/>
      <c r="K209" s="39">
        <v>263810</v>
      </c>
      <c r="L209" s="98">
        <f t="shared" si="14"/>
        <v>466943.7</v>
      </c>
      <c r="M209" s="98">
        <f t="shared" si="15"/>
        <v>356143.5</v>
      </c>
      <c r="N209" s="41"/>
      <c r="O209" s="39">
        <v>295047</v>
      </c>
      <c r="P209" s="40">
        <v>531084.6</v>
      </c>
      <c r="Q209" s="40">
        <v>398313.45</v>
      </c>
      <c r="R209" s="41"/>
      <c r="S209" s="37">
        <f t="shared" si="16"/>
        <v>155000</v>
      </c>
      <c r="T209" s="38">
        <f t="shared" si="17"/>
        <v>295047</v>
      </c>
    </row>
    <row r="210" spans="1:20" x14ac:dyDescent="0.25">
      <c r="A210" s="32"/>
      <c r="B210" s="88" t="s">
        <v>423</v>
      </c>
      <c r="C210" s="33"/>
      <c r="D210" s="34" t="s">
        <v>424</v>
      </c>
      <c r="E210" s="35" t="s">
        <v>39</v>
      </c>
      <c r="F210" s="36">
        <v>1</v>
      </c>
      <c r="G210" s="39">
        <v>32000</v>
      </c>
      <c r="H210" s="98">
        <f t="shared" si="12"/>
        <v>57600</v>
      </c>
      <c r="I210" s="98">
        <f t="shared" si="13"/>
        <v>43200</v>
      </c>
      <c r="J210" s="41"/>
      <c r="K210" s="39">
        <v>49356</v>
      </c>
      <c r="L210" s="98">
        <f t="shared" si="14"/>
        <v>87360.12</v>
      </c>
      <c r="M210" s="98">
        <f t="shared" si="15"/>
        <v>66630.600000000006</v>
      </c>
      <c r="N210" s="41"/>
      <c r="O210" s="39">
        <v>56265</v>
      </c>
      <c r="P210" s="40">
        <v>101277</v>
      </c>
      <c r="Q210" s="40">
        <v>75957.75</v>
      </c>
      <c r="R210" s="41"/>
      <c r="S210" s="37">
        <f t="shared" si="16"/>
        <v>32000</v>
      </c>
      <c r="T210" s="38">
        <f t="shared" si="17"/>
        <v>56265</v>
      </c>
    </row>
    <row r="211" spans="1:20" x14ac:dyDescent="0.25">
      <c r="A211" s="32"/>
      <c r="B211" s="88" t="s">
        <v>425</v>
      </c>
      <c r="C211" s="33"/>
      <c r="D211" s="34" t="s">
        <v>426</v>
      </c>
      <c r="E211" s="35" t="s">
        <v>59</v>
      </c>
      <c r="F211" s="36">
        <v>1</v>
      </c>
      <c r="G211" s="39">
        <v>25000</v>
      </c>
      <c r="H211" s="98">
        <f t="shared" si="12"/>
        <v>45000</v>
      </c>
      <c r="I211" s="98">
        <f t="shared" si="13"/>
        <v>33750</v>
      </c>
      <c r="J211" s="41"/>
      <c r="K211" s="39">
        <v>23346</v>
      </c>
      <c r="L211" s="98">
        <f t="shared" si="14"/>
        <v>41322.42</v>
      </c>
      <c r="M211" s="98">
        <f t="shared" si="15"/>
        <v>31517.100000000002</v>
      </c>
      <c r="N211" s="41"/>
      <c r="O211" s="39">
        <v>30191</v>
      </c>
      <c r="P211" s="40">
        <v>54343.8</v>
      </c>
      <c r="Q211" s="40">
        <v>40757.850000000006</v>
      </c>
      <c r="R211" s="41"/>
      <c r="S211" s="37">
        <f t="shared" si="16"/>
        <v>23346</v>
      </c>
      <c r="T211" s="38">
        <f t="shared" si="17"/>
        <v>30191</v>
      </c>
    </row>
    <row r="212" spans="1:20" x14ac:dyDescent="0.25">
      <c r="A212" s="32"/>
      <c r="B212" s="88" t="s">
        <v>427</v>
      </c>
      <c r="C212" s="33"/>
      <c r="D212" s="34" t="s">
        <v>428</v>
      </c>
      <c r="E212" s="35" t="s">
        <v>39</v>
      </c>
      <c r="F212" s="36">
        <v>1</v>
      </c>
      <c r="G212" s="39">
        <v>18500</v>
      </c>
      <c r="H212" s="98">
        <f t="shared" si="12"/>
        <v>33300</v>
      </c>
      <c r="I212" s="98">
        <f t="shared" si="13"/>
        <v>24975</v>
      </c>
      <c r="J212" s="41"/>
      <c r="K212" s="39">
        <v>5911</v>
      </c>
      <c r="L212" s="98">
        <f t="shared" si="14"/>
        <v>10462.469999999999</v>
      </c>
      <c r="M212" s="98">
        <f t="shared" si="15"/>
        <v>7979.85</v>
      </c>
      <c r="N212" s="41"/>
      <c r="O212" s="39">
        <v>6313</v>
      </c>
      <c r="P212" s="40">
        <v>11363.4</v>
      </c>
      <c r="Q212" s="40">
        <v>8522.5500000000011</v>
      </c>
      <c r="R212" s="41"/>
      <c r="S212" s="37">
        <f t="shared" si="16"/>
        <v>5911</v>
      </c>
      <c r="T212" s="38">
        <f t="shared" si="17"/>
        <v>18500</v>
      </c>
    </row>
    <row r="213" spans="1:20" x14ac:dyDescent="0.25">
      <c r="A213" s="32"/>
      <c r="B213" s="88" t="s">
        <v>429</v>
      </c>
      <c r="C213" s="33"/>
      <c r="D213" s="34" t="s">
        <v>430</v>
      </c>
      <c r="E213" s="35" t="s">
        <v>39</v>
      </c>
      <c r="F213" s="36">
        <v>1</v>
      </c>
      <c r="G213" s="39">
        <v>28000</v>
      </c>
      <c r="H213" s="98">
        <f t="shared" ref="H213:H220" si="18">G213*1.8</f>
        <v>50400</v>
      </c>
      <c r="I213" s="98">
        <f t="shared" ref="I213:I221" si="19">G213*1.35</f>
        <v>37800</v>
      </c>
      <c r="J213" s="41"/>
      <c r="K213" s="39">
        <v>4905</v>
      </c>
      <c r="L213" s="98">
        <f t="shared" ref="L213:L222" si="20">+K213*1.77</f>
        <v>8681.85</v>
      </c>
      <c r="M213" s="98">
        <f t="shared" ref="M213:M222" si="21">+K213*1.35</f>
        <v>6621.75</v>
      </c>
      <c r="N213" s="41"/>
      <c r="O213" s="39">
        <v>5489</v>
      </c>
      <c r="P213" s="40">
        <v>9880.2000000000007</v>
      </c>
      <c r="Q213" s="40">
        <v>7410.1500000000005</v>
      </c>
      <c r="R213" s="41"/>
      <c r="S213" s="37">
        <f t="shared" ref="S213:S220" si="22">SUBTOTAL(105,G213,K213,O213)</f>
        <v>4905</v>
      </c>
      <c r="T213" s="38">
        <f t="shared" ref="T213:T221" si="23">SUBTOTAL(104,G213,K213,O213)</f>
        <v>28000</v>
      </c>
    </row>
    <row r="214" spans="1:20" x14ac:dyDescent="0.25">
      <c r="A214" s="32"/>
      <c r="B214" s="88" t="s">
        <v>431</v>
      </c>
      <c r="C214" s="33"/>
      <c r="D214" s="34" t="s">
        <v>432</v>
      </c>
      <c r="E214" s="35" t="s">
        <v>39</v>
      </c>
      <c r="F214" s="36">
        <v>1</v>
      </c>
      <c r="G214" s="39">
        <v>36500</v>
      </c>
      <c r="H214" s="98">
        <f t="shared" si="18"/>
        <v>65700</v>
      </c>
      <c r="I214" s="98">
        <f t="shared" si="19"/>
        <v>49275</v>
      </c>
      <c r="J214" s="41"/>
      <c r="K214" s="39">
        <v>18858</v>
      </c>
      <c r="L214" s="98">
        <f t="shared" si="20"/>
        <v>33378.660000000003</v>
      </c>
      <c r="M214" s="98">
        <f t="shared" si="21"/>
        <v>25458.300000000003</v>
      </c>
      <c r="N214" s="41"/>
      <c r="O214" s="39">
        <v>21957</v>
      </c>
      <c r="P214" s="40">
        <v>39522.6</v>
      </c>
      <c r="Q214" s="40">
        <v>29641.95</v>
      </c>
      <c r="R214" s="41"/>
      <c r="S214" s="37">
        <f t="shared" si="22"/>
        <v>18858</v>
      </c>
      <c r="T214" s="38">
        <f t="shared" si="23"/>
        <v>36500</v>
      </c>
    </row>
    <row r="215" spans="1:20" x14ac:dyDescent="0.25">
      <c r="A215" s="32"/>
      <c r="B215" s="88" t="s">
        <v>433</v>
      </c>
      <c r="C215" s="33"/>
      <c r="D215" s="34" t="s">
        <v>434</v>
      </c>
      <c r="E215" s="35" t="s">
        <v>39</v>
      </c>
      <c r="F215" s="36">
        <v>1</v>
      </c>
      <c r="G215" s="39">
        <v>49000</v>
      </c>
      <c r="H215" s="98">
        <f t="shared" si="18"/>
        <v>88200</v>
      </c>
      <c r="I215" s="98">
        <f t="shared" si="19"/>
        <v>66150</v>
      </c>
      <c r="J215" s="41"/>
      <c r="K215" s="39">
        <v>46695</v>
      </c>
      <c r="L215" s="98">
        <f t="shared" si="20"/>
        <v>82650.149999999994</v>
      </c>
      <c r="M215" s="98">
        <f t="shared" si="21"/>
        <v>63038.250000000007</v>
      </c>
      <c r="N215" s="41"/>
      <c r="O215" s="39">
        <v>49403</v>
      </c>
      <c r="P215" s="40">
        <v>88925.400000000009</v>
      </c>
      <c r="Q215" s="40">
        <v>66694.05</v>
      </c>
      <c r="R215" s="41"/>
      <c r="S215" s="37">
        <f t="shared" si="22"/>
        <v>46695</v>
      </c>
      <c r="T215" s="38">
        <f t="shared" si="23"/>
        <v>49403</v>
      </c>
    </row>
    <row r="216" spans="1:20" x14ac:dyDescent="0.25">
      <c r="A216" s="32"/>
      <c r="B216" s="88" t="s">
        <v>435</v>
      </c>
      <c r="C216" s="33"/>
      <c r="D216" s="34" t="s">
        <v>436</v>
      </c>
      <c r="E216" s="35" t="s">
        <v>39</v>
      </c>
      <c r="F216" s="36">
        <v>1</v>
      </c>
      <c r="G216" s="39">
        <v>49000</v>
      </c>
      <c r="H216" s="98">
        <f t="shared" si="18"/>
        <v>88200</v>
      </c>
      <c r="I216" s="98">
        <f t="shared" si="19"/>
        <v>66150</v>
      </c>
      <c r="J216" s="41"/>
      <c r="K216" s="39">
        <v>38185</v>
      </c>
      <c r="L216" s="98">
        <f t="shared" si="20"/>
        <v>67587.45</v>
      </c>
      <c r="M216" s="98">
        <f t="shared" si="21"/>
        <v>51549.75</v>
      </c>
      <c r="N216" s="41"/>
      <c r="O216" s="39">
        <v>52148</v>
      </c>
      <c r="P216" s="40">
        <v>93866.400000000009</v>
      </c>
      <c r="Q216" s="40">
        <v>70399.8</v>
      </c>
      <c r="R216" s="41"/>
      <c r="S216" s="37">
        <f t="shared" si="22"/>
        <v>38185</v>
      </c>
      <c r="T216" s="38">
        <f t="shared" si="23"/>
        <v>52148</v>
      </c>
    </row>
    <row r="217" spans="1:20" x14ac:dyDescent="0.25">
      <c r="A217" s="32"/>
      <c r="B217" s="88" t="s">
        <v>437</v>
      </c>
      <c r="C217" s="33"/>
      <c r="D217" s="34" t="s">
        <v>438</v>
      </c>
      <c r="E217" s="35" t="s">
        <v>56</v>
      </c>
      <c r="F217" s="36">
        <v>1</v>
      </c>
      <c r="G217" s="39">
        <v>45000</v>
      </c>
      <c r="H217" s="98">
        <f t="shared" si="18"/>
        <v>81000</v>
      </c>
      <c r="I217" s="98">
        <f t="shared" si="19"/>
        <v>60750.000000000007</v>
      </c>
      <c r="J217" s="41"/>
      <c r="K217" s="39">
        <v>23382</v>
      </c>
      <c r="L217" s="98">
        <f t="shared" si="20"/>
        <v>41386.14</v>
      </c>
      <c r="M217" s="98">
        <f t="shared" si="21"/>
        <v>31565.7</v>
      </c>
      <c r="N217" s="41"/>
      <c r="O217" s="39">
        <v>26074</v>
      </c>
      <c r="P217" s="40">
        <v>46933.200000000004</v>
      </c>
      <c r="Q217" s="40">
        <v>35199.9</v>
      </c>
      <c r="R217" s="41"/>
      <c r="S217" s="37">
        <f t="shared" si="22"/>
        <v>23382</v>
      </c>
      <c r="T217" s="38">
        <f t="shared" si="23"/>
        <v>45000</v>
      </c>
    </row>
    <row r="218" spans="1:20" ht="51" customHeight="1" x14ac:dyDescent="0.25">
      <c r="A218" s="32"/>
      <c r="B218" s="88" t="s">
        <v>439</v>
      </c>
      <c r="C218" s="33"/>
      <c r="D218" s="34" t="s">
        <v>440</v>
      </c>
      <c r="E218" s="35" t="s">
        <v>441</v>
      </c>
      <c r="F218" s="36">
        <v>1</v>
      </c>
      <c r="G218" s="39">
        <v>11900</v>
      </c>
      <c r="H218" s="98">
        <f t="shared" si="18"/>
        <v>21420</v>
      </c>
      <c r="I218" s="98">
        <f t="shared" si="19"/>
        <v>16065.000000000002</v>
      </c>
      <c r="J218" s="90"/>
      <c r="K218" s="140">
        <v>27512</v>
      </c>
      <c r="L218" s="98">
        <f t="shared" si="20"/>
        <v>48696.24</v>
      </c>
      <c r="M218" s="98">
        <f t="shared" si="21"/>
        <v>37141.200000000004</v>
      </c>
      <c r="N218" s="90"/>
      <c r="O218" s="39">
        <v>30946</v>
      </c>
      <c r="P218" s="40">
        <v>55702.8</v>
      </c>
      <c r="Q218" s="40">
        <v>41777.100000000006</v>
      </c>
      <c r="R218" s="90"/>
      <c r="S218" s="37">
        <f t="shared" si="22"/>
        <v>11900</v>
      </c>
      <c r="T218" s="38">
        <f t="shared" si="23"/>
        <v>30946</v>
      </c>
    </row>
    <row r="219" spans="1:20" x14ac:dyDescent="0.25">
      <c r="A219" s="32"/>
      <c r="B219" s="88" t="s">
        <v>442</v>
      </c>
      <c r="C219" s="33"/>
      <c r="D219" s="34" t="s">
        <v>443</v>
      </c>
      <c r="E219" s="35" t="s">
        <v>441</v>
      </c>
      <c r="F219" s="36">
        <v>1</v>
      </c>
      <c r="G219" s="39">
        <v>11200</v>
      </c>
      <c r="H219" s="98">
        <f t="shared" si="18"/>
        <v>20160</v>
      </c>
      <c r="I219" s="98">
        <f t="shared" si="19"/>
        <v>15120.000000000002</v>
      </c>
      <c r="J219" s="41"/>
      <c r="K219" s="140">
        <v>22113</v>
      </c>
      <c r="L219" s="98">
        <f t="shared" si="20"/>
        <v>39140.01</v>
      </c>
      <c r="M219" s="98">
        <f t="shared" si="21"/>
        <v>29852.550000000003</v>
      </c>
      <c r="N219" s="142" t="s">
        <v>466</v>
      </c>
      <c r="O219" s="39">
        <v>23055</v>
      </c>
      <c r="P219" s="40">
        <v>41499</v>
      </c>
      <c r="Q219" s="40">
        <v>31124.250000000004</v>
      </c>
      <c r="R219" s="41"/>
      <c r="S219" s="37">
        <f t="shared" si="22"/>
        <v>11200</v>
      </c>
      <c r="T219" s="38">
        <f t="shared" si="23"/>
        <v>23055</v>
      </c>
    </row>
    <row r="220" spans="1:20" x14ac:dyDescent="0.25">
      <c r="A220" s="32"/>
      <c r="B220" s="88" t="s">
        <v>444</v>
      </c>
      <c r="C220" s="33"/>
      <c r="D220" s="34" t="s">
        <v>445</v>
      </c>
      <c r="E220" s="35" t="s">
        <v>441</v>
      </c>
      <c r="F220" s="36">
        <v>1</v>
      </c>
      <c r="G220" s="39">
        <v>11200</v>
      </c>
      <c r="H220" s="98">
        <f t="shared" si="18"/>
        <v>20160</v>
      </c>
      <c r="I220" s="98">
        <f t="shared" si="19"/>
        <v>15120.000000000002</v>
      </c>
      <c r="J220" s="41"/>
      <c r="K220" s="140">
        <v>19902</v>
      </c>
      <c r="L220" s="98">
        <f t="shared" si="20"/>
        <v>35226.54</v>
      </c>
      <c r="M220" s="98">
        <f t="shared" si="21"/>
        <v>26867.7</v>
      </c>
      <c r="N220" s="142" t="s">
        <v>466</v>
      </c>
      <c r="O220" s="39">
        <v>19603</v>
      </c>
      <c r="P220" s="40">
        <v>35285.4</v>
      </c>
      <c r="Q220" s="40">
        <v>26464.050000000003</v>
      </c>
      <c r="R220" s="41"/>
      <c r="S220" s="37">
        <f t="shared" si="22"/>
        <v>11200</v>
      </c>
      <c r="T220" s="38">
        <f t="shared" si="23"/>
        <v>19902</v>
      </c>
    </row>
    <row r="221" spans="1:20" x14ac:dyDescent="0.25">
      <c r="A221" s="32"/>
      <c r="B221" s="88" t="s">
        <v>446</v>
      </c>
      <c r="C221" s="33"/>
      <c r="D221" s="34" t="s">
        <v>447</v>
      </c>
      <c r="E221" s="35" t="s">
        <v>441</v>
      </c>
      <c r="F221" s="36">
        <v>1</v>
      </c>
      <c r="G221" s="39">
        <v>21710</v>
      </c>
      <c r="H221" s="98">
        <f>G221*1.8</f>
        <v>39078</v>
      </c>
      <c r="I221" s="98">
        <f t="shared" si="19"/>
        <v>29308.500000000004</v>
      </c>
      <c r="J221" s="41"/>
      <c r="K221" s="140">
        <v>30644</v>
      </c>
      <c r="L221" s="98">
        <f t="shared" si="20"/>
        <v>54239.88</v>
      </c>
      <c r="M221" s="98">
        <f t="shared" si="21"/>
        <v>41369.4</v>
      </c>
      <c r="N221" s="41"/>
      <c r="O221" s="39">
        <v>30946</v>
      </c>
      <c r="P221" s="40">
        <v>55702.8</v>
      </c>
      <c r="Q221" s="40">
        <v>41777.100000000006</v>
      </c>
      <c r="R221" s="41"/>
      <c r="S221" s="37">
        <f>SUBTOTAL(105,G221,K221,O221)</f>
        <v>21710</v>
      </c>
      <c r="T221" s="38">
        <f t="shared" si="23"/>
        <v>30946</v>
      </c>
    </row>
    <row r="222" spans="1:20" ht="17.25" customHeight="1" thickBot="1" x14ac:dyDescent="0.3">
      <c r="A222" s="32"/>
      <c r="B222" s="88"/>
      <c r="C222" s="33"/>
      <c r="D222" s="34"/>
      <c r="E222" s="35"/>
      <c r="F222" s="36"/>
      <c r="G222" s="43"/>
      <c r="H222" s="44"/>
      <c r="I222" s="44"/>
      <c r="J222" s="45"/>
      <c r="K222" s="141">
        <v>31842</v>
      </c>
      <c r="L222" s="98">
        <f t="shared" si="20"/>
        <v>56360.340000000004</v>
      </c>
      <c r="M222" s="98">
        <f t="shared" si="21"/>
        <v>42986.700000000004</v>
      </c>
      <c r="N222" s="45"/>
      <c r="O222" s="43"/>
      <c r="P222" s="44"/>
      <c r="Q222" s="44"/>
      <c r="R222" s="45"/>
      <c r="S222" s="46"/>
      <c r="T222" s="47"/>
    </row>
    <row r="223" spans="1:20" ht="16.8" thickBot="1" x14ac:dyDescent="0.35">
      <c r="B223" s="89"/>
      <c r="C223" s="48"/>
      <c r="D223" s="49"/>
      <c r="E223" s="50"/>
      <c r="F223" s="51"/>
      <c r="G223" s="52">
        <f>SUM(G20:G222)</f>
        <v>11153770</v>
      </c>
      <c r="H223" s="52">
        <f>SUM(H20:H222)</f>
        <v>20076786</v>
      </c>
      <c r="I223" s="53">
        <f>SUM(I20:I222)</f>
        <v>15057589.5</v>
      </c>
      <c r="J223" s="54"/>
      <c r="K223" s="52">
        <f>SUM(K20:K222)</f>
        <v>10351689</v>
      </c>
      <c r="L223" s="52">
        <f>SUM(L20:L222)</f>
        <v>18322489.529999986</v>
      </c>
      <c r="M223" s="53">
        <f>SUM(M20:M222)</f>
        <v>13974780.149999991</v>
      </c>
      <c r="N223" s="54"/>
      <c r="O223" s="52">
        <f>SUM(O20:O222)</f>
        <v>11009323</v>
      </c>
      <c r="P223" s="52">
        <f>SUM(P20:P222)</f>
        <v>19816781.399999995</v>
      </c>
      <c r="Q223" s="53">
        <f>SUM(Q20:Q222)</f>
        <v>14862586.049999999</v>
      </c>
      <c r="R223" s="54"/>
      <c r="S223" s="55">
        <f>SUM(S20:S221)</f>
        <v>8272072</v>
      </c>
      <c r="T223" s="56">
        <f>SUM(T20:T222)</f>
        <v>13620284</v>
      </c>
    </row>
    <row r="224" spans="1:20" ht="36" customHeight="1" thickBot="1" x14ac:dyDescent="0.35">
      <c r="B224" s="89"/>
      <c r="C224" s="48"/>
      <c r="D224" s="49" t="s">
        <v>448</v>
      </c>
      <c r="E224" s="57">
        <v>0.19</v>
      </c>
      <c r="F224" s="58"/>
      <c r="G224" s="59">
        <f>G223*$E$224</f>
        <v>2119216.2999999998</v>
      </c>
      <c r="H224" s="59">
        <f>H223*$E$224</f>
        <v>3814589.34</v>
      </c>
      <c r="I224" s="59">
        <f t="shared" ref="I224" si="24">I223*$E$224</f>
        <v>2860942.0049999999</v>
      </c>
      <c r="J224" s="60"/>
      <c r="K224" s="59">
        <f>K223*$E$224</f>
        <v>1966820.91</v>
      </c>
      <c r="L224" s="59">
        <f>L223*$E$224</f>
        <v>3481273.0106999977</v>
      </c>
      <c r="M224" s="59">
        <f t="shared" ref="M224" si="25">M223*$E$224</f>
        <v>2655208.2284999983</v>
      </c>
      <c r="N224" s="60"/>
      <c r="O224" s="59">
        <f>O223*$E$224</f>
        <v>2091771.37</v>
      </c>
      <c r="P224" s="59">
        <f>P223*$E$224</f>
        <v>3765188.4659999991</v>
      </c>
      <c r="Q224" s="59">
        <f t="shared" ref="Q224" si="26">Q223*$E$224</f>
        <v>2823891.3495</v>
      </c>
      <c r="R224" s="60"/>
      <c r="S224" s="61"/>
      <c r="T224" s="61"/>
    </row>
    <row r="225" spans="2:20" ht="18.600000000000001" thickBot="1" x14ac:dyDescent="0.35">
      <c r="B225" s="89"/>
      <c r="C225" s="48"/>
      <c r="D225" s="62" t="s">
        <v>449</v>
      </c>
      <c r="E225" s="63"/>
      <c r="F225" s="64"/>
      <c r="G225" s="65">
        <f>SUM(G223:G224)</f>
        <v>13272986.300000001</v>
      </c>
      <c r="H225" s="65">
        <f>SUM(H223:H224)</f>
        <v>23891375.34</v>
      </c>
      <c r="I225" s="65">
        <f>SUM(I223:I224)</f>
        <v>17918531.504999999</v>
      </c>
      <c r="J225" s="65"/>
      <c r="K225" s="65">
        <f>SUM(K223:K224)</f>
        <v>12318509.91</v>
      </c>
      <c r="L225" s="65">
        <f>SUM(L223:L224)</f>
        <v>21803762.540699985</v>
      </c>
      <c r="M225" s="65">
        <f>SUM(M223:M224)</f>
        <v>16629988.378499988</v>
      </c>
      <c r="N225" s="65"/>
      <c r="O225" s="65">
        <f>SUM(O223:O224)</f>
        <v>13101094.370000001</v>
      </c>
      <c r="P225" s="65">
        <f>SUM(P223:P224)</f>
        <v>23581969.865999993</v>
      </c>
      <c r="Q225" s="65">
        <f>SUM(Q223:Q224)</f>
        <v>17686477.399499997</v>
      </c>
      <c r="R225" s="65"/>
      <c r="S225" s="61"/>
      <c r="T225" s="61"/>
    </row>
    <row r="226" spans="2:20" ht="16.2" x14ac:dyDescent="0.3">
      <c r="B226" s="89"/>
      <c r="C226" s="48"/>
      <c r="D226" s="66" t="s">
        <v>450</v>
      </c>
      <c r="E226" s="67"/>
      <c r="F226" s="100"/>
      <c r="G226" s="102"/>
      <c r="H226" s="102"/>
      <c r="I226" s="102"/>
      <c r="J226" s="102"/>
      <c r="K226" s="102"/>
      <c r="L226" s="102"/>
      <c r="M226" s="102"/>
      <c r="N226" s="102"/>
      <c r="O226" s="102"/>
      <c r="P226" s="102"/>
      <c r="Q226" s="102"/>
      <c r="R226" s="102"/>
    </row>
    <row r="227" spans="2:20" ht="16.2" x14ac:dyDescent="0.3">
      <c r="B227" s="89"/>
      <c r="C227" s="48"/>
      <c r="D227" s="68" t="s">
        <v>451</v>
      </c>
      <c r="E227" s="67"/>
      <c r="F227" s="100"/>
      <c r="G227" s="75"/>
      <c r="H227" s="75"/>
      <c r="I227" s="75"/>
      <c r="J227" s="75"/>
      <c r="K227" s="75"/>
      <c r="L227" s="75"/>
      <c r="M227" s="75"/>
      <c r="N227" s="75"/>
      <c r="O227" s="75"/>
      <c r="P227" s="75"/>
      <c r="Q227" s="75"/>
      <c r="R227" s="75"/>
    </row>
    <row r="228" spans="2:20" ht="16.2" x14ac:dyDescent="0.3">
      <c r="B228" s="89"/>
      <c r="C228" s="48"/>
      <c r="D228" s="68" t="s">
        <v>452</v>
      </c>
      <c r="E228" s="67"/>
      <c r="F228" s="100"/>
      <c r="G228" s="75"/>
      <c r="H228" s="75"/>
      <c r="I228" s="75"/>
      <c r="J228" s="75"/>
      <c r="K228" s="75"/>
      <c r="L228" s="75"/>
      <c r="M228" s="75"/>
      <c r="N228" s="75"/>
      <c r="O228" s="75"/>
      <c r="P228" s="75"/>
      <c r="Q228" s="75"/>
      <c r="R228" s="75"/>
    </row>
    <row r="229" spans="2:20" ht="16.2" x14ac:dyDescent="0.3">
      <c r="B229" s="89"/>
      <c r="C229" s="48"/>
      <c r="D229" s="68" t="s">
        <v>453</v>
      </c>
      <c r="E229" s="67"/>
      <c r="F229" s="100"/>
      <c r="G229" s="75"/>
      <c r="H229" s="75"/>
      <c r="I229" s="75"/>
      <c r="J229" s="75"/>
      <c r="K229" s="75"/>
      <c r="L229" s="75"/>
      <c r="M229" s="75"/>
      <c r="N229" s="75"/>
      <c r="O229" s="75"/>
      <c r="P229" s="75"/>
      <c r="Q229" s="75"/>
      <c r="R229" s="75"/>
    </row>
    <row r="230" spans="2:20" ht="16.2" x14ac:dyDescent="0.3">
      <c r="B230" s="89"/>
      <c r="C230" s="48"/>
      <c r="D230" s="69" t="s">
        <v>454</v>
      </c>
      <c r="E230" s="67"/>
      <c r="F230" s="100"/>
      <c r="G230" s="137"/>
      <c r="H230" s="137"/>
      <c r="I230" s="137"/>
      <c r="J230" s="101"/>
      <c r="K230" s="137"/>
      <c r="L230" s="137"/>
      <c r="M230" s="137"/>
      <c r="N230" s="101"/>
      <c r="O230" s="137"/>
      <c r="P230" s="137"/>
      <c r="Q230" s="137"/>
      <c r="R230" s="101"/>
    </row>
    <row r="231" spans="2:20" ht="13.5" customHeight="1" x14ac:dyDescent="0.3">
      <c r="B231" s="89"/>
      <c r="C231" s="48"/>
      <c r="D231" s="68" t="s">
        <v>455</v>
      </c>
      <c r="E231" s="67"/>
      <c r="F231" s="100"/>
      <c r="G231" s="75"/>
      <c r="H231" s="75"/>
      <c r="I231" s="75"/>
      <c r="J231" s="75"/>
      <c r="K231" s="75"/>
      <c r="L231" s="75"/>
      <c r="M231" s="75"/>
      <c r="N231" s="75"/>
      <c r="O231" s="75"/>
      <c r="P231" s="75"/>
      <c r="Q231" s="75"/>
      <c r="R231" s="75"/>
    </row>
    <row r="232" spans="2:20" ht="32.4" x14ac:dyDescent="0.25">
      <c r="B232" s="89"/>
      <c r="C232" s="48"/>
      <c r="D232" s="70" t="s">
        <v>456</v>
      </c>
      <c r="E232" s="71"/>
      <c r="F232" s="100"/>
      <c r="G232" s="75"/>
      <c r="H232" s="75"/>
      <c r="I232" s="75"/>
      <c r="J232" s="75"/>
      <c r="K232" s="75"/>
      <c r="L232" s="75"/>
      <c r="M232" s="75"/>
      <c r="N232" s="75"/>
      <c r="O232" s="75"/>
      <c r="P232" s="75"/>
      <c r="Q232" s="75"/>
      <c r="R232" s="75"/>
    </row>
    <row r="233" spans="2:20" ht="15.6" x14ac:dyDescent="0.25">
      <c r="D233" s="72"/>
      <c r="E233" s="73"/>
      <c r="F233" s="73"/>
      <c r="G233" s="74"/>
      <c r="H233" s="75"/>
      <c r="I233" s="75"/>
      <c r="J233" s="76"/>
      <c r="K233" s="74"/>
      <c r="L233" s="75"/>
      <c r="M233" s="75"/>
      <c r="N233" s="76"/>
      <c r="O233" s="74"/>
      <c r="P233" s="75"/>
      <c r="Q233" s="75"/>
      <c r="R233" s="76"/>
    </row>
    <row r="234" spans="2:20" x14ac:dyDescent="0.25">
      <c r="D234" s="77" t="s">
        <v>457</v>
      </c>
      <c r="E234" s="73"/>
      <c r="F234" s="73"/>
      <c r="G234" s="78" t="e">
        <f>1-($S$225/#REF!)</f>
        <v>#REF!</v>
      </c>
      <c r="H234" s="79"/>
      <c r="I234" s="79"/>
      <c r="J234" s="80"/>
      <c r="K234" s="78" t="e">
        <f>1-($S$225/S225)</f>
        <v>#DIV/0!</v>
      </c>
      <c r="L234" s="79"/>
      <c r="M234" s="79"/>
      <c r="N234" s="80"/>
      <c r="O234" s="78" t="e">
        <f>1-($S$225/W225)</f>
        <v>#DIV/0!</v>
      </c>
      <c r="P234" s="79"/>
      <c r="Q234" s="79"/>
      <c r="R234" s="80"/>
    </row>
    <row r="235" spans="2:20" x14ac:dyDescent="0.25">
      <c r="D235" s="81" t="s">
        <v>458</v>
      </c>
      <c r="E235" s="73"/>
      <c r="F235" s="73"/>
      <c r="G235" s="78" t="e">
        <f>1-(#REF!/$T$225)</f>
        <v>#REF!</v>
      </c>
      <c r="H235" s="79"/>
      <c r="I235" s="79"/>
      <c r="J235" s="80"/>
      <c r="K235" s="78" t="e">
        <f>1-(S225/$T$225)</f>
        <v>#DIV/0!</v>
      </c>
      <c r="L235" s="79"/>
      <c r="M235" s="79"/>
      <c r="N235" s="80"/>
      <c r="O235" s="78" t="e">
        <f>1-(W225/$T$225)</f>
        <v>#DIV/0!</v>
      </c>
      <c r="P235" s="79"/>
      <c r="Q235" s="79"/>
      <c r="R235" s="80"/>
    </row>
    <row r="236" spans="2:20" ht="15.6" x14ac:dyDescent="0.25">
      <c r="D236" s="72"/>
      <c r="E236" s="73"/>
      <c r="F236" s="73"/>
      <c r="G236" s="74"/>
      <c r="H236" s="75"/>
      <c r="I236" s="75"/>
      <c r="J236" s="76"/>
      <c r="K236" s="74"/>
      <c r="L236" s="75"/>
      <c r="M236" s="75"/>
      <c r="N236" s="76"/>
      <c r="O236" s="74"/>
      <c r="P236" s="75"/>
      <c r="Q236" s="75"/>
      <c r="R236" s="76"/>
    </row>
    <row r="237" spans="2:20" ht="15.6" x14ac:dyDescent="0.25">
      <c r="D237" s="72"/>
      <c r="E237" s="73"/>
      <c r="F237" s="73"/>
      <c r="G237" s="74"/>
      <c r="H237" s="75"/>
      <c r="I237" s="75"/>
      <c r="J237" s="76"/>
      <c r="K237" s="74"/>
      <c r="L237" s="75"/>
      <c r="M237" s="75"/>
      <c r="N237" s="76"/>
      <c r="O237" s="74"/>
      <c r="P237" s="75"/>
      <c r="Q237" s="75"/>
      <c r="R237" s="76"/>
    </row>
    <row r="238" spans="2:20" ht="182.25" customHeight="1" x14ac:dyDescent="0.25">
      <c r="D238" s="138" t="s">
        <v>459</v>
      </c>
      <c r="E238" s="139"/>
      <c r="F238" s="139"/>
      <c r="G238" s="139"/>
      <c r="H238" s="139"/>
      <c r="I238" s="139"/>
      <c r="J238" s="139"/>
      <c r="K238" s="139"/>
      <c r="L238" s="139"/>
      <c r="M238" s="139"/>
      <c r="N238" s="139"/>
      <c r="O238" s="139"/>
      <c r="P238" s="139"/>
      <c r="Q238" s="139"/>
      <c r="R238" s="139"/>
    </row>
    <row r="239" spans="2:20" ht="28.5" customHeight="1" x14ac:dyDescent="0.25">
      <c r="D239" s="131" t="s">
        <v>460</v>
      </c>
      <c r="E239" s="131"/>
      <c r="F239" s="132"/>
      <c r="G239" s="133"/>
      <c r="H239" s="134"/>
      <c r="I239" s="82"/>
      <c r="J239" s="82"/>
      <c r="K239" s="133"/>
      <c r="L239" s="134"/>
      <c r="M239" s="82"/>
      <c r="N239" s="82"/>
      <c r="O239" s="133"/>
      <c r="P239" s="134"/>
      <c r="Q239" s="82"/>
      <c r="R239" s="82"/>
    </row>
    <row r="240" spans="2:20" ht="16.2" x14ac:dyDescent="0.25">
      <c r="D240" s="83" t="s">
        <v>461</v>
      </c>
    </row>
    <row r="241" spans="4:4" ht="13.2" x14ac:dyDescent="0.25">
      <c r="D241" s="2"/>
    </row>
    <row r="257" spans="2:15" s="1" customFormat="1" x14ac:dyDescent="0.25">
      <c r="B257" s="12"/>
      <c r="D257" s="23"/>
      <c r="E257" s="2"/>
      <c r="F257" s="2"/>
      <c r="O257" s="2"/>
    </row>
    <row r="258" spans="2:15" s="1" customFormat="1" x14ac:dyDescent="0.25">
      <c r="B258" s="12"/>
      <c r="D258" s="23"/>
      <c r="E258" s="2"/>
      <c r="F258" s="2"/>
      <c r="O258" s="2"/>
    </row>
    <row r="259" spans="2:15" s="1" customFormat="1" x14ac:dyDescent="0.25">
      <c r="B259" s="12"/>
      <c r="D259" s="23"/>
      <c r="E259" s="2"/>
      <c r="F259" s="2"/>
      <c r="O259" s="2"/>
    </row>
    <row r="260" spans="2:15" s="1" customFormat="1" x14ac:dyDescent="0.25">
      <c r="B260" s="12"/>
      <c r="D260" s="23"/>
      <c r="E260" s="2"/>
      <c r="F260" s="2"/>
      <c r="O260" s="2"/>
    </row>
    <row r="261" spans="2:15" s="1" customFormat="1" x14ac:dyDescent="0.25">
      <c r="B261" s="12"/>
      <c r="D261" s="23"/>
      <c r="E261" s="2"/>
      <c r="F261" s="2"/>
      <c r="O261" s="2"/>
    </row>
    <row r="262" spans="2:15" s="1" customFormat="1" x14ac:dyDescent="0.25">
      <c r="B262" s="12"/>
      <c r="D262" s="23"/>
      <c r="E262" s="2"/>
      <c r="F262" s="2"/>
      <c r="O262" s="2"/>
    </row>
    <row r="263" spans="2:15" s="1" customFormat="1" x14ac:dyDescent="0.25">
      <c r="B263" s="12"/>
      <c r="D263" s="23"/>
      <c r="E263" s="2"/>
      <c r="F263" s="2"/>
      <c r="O263" s="2"/>
    </row>
    <row r="264" spans="2:15" s="1" customFormat="1" x14ac:dyDescent="0.25">
      <c r="B264" s="12"/>
      <c r="D264" s="23"/>
      <c r="E264" s="2"/>
      <c r="F264" s="2"/>
      <c r="O264" s="2"/>
    </row>
    <row r="265" spans="2:15" s="1" customFormat="1" x14ac:dyDescent="0.25">
      <c r="B265" s="12"/>
      <c r="D265" s="23"/>
      <c r="E265" s="2"/>
      <c r="F265" s="2"/>
      <c r="O265" s="2"/>
    </row>
    <row r="266" spans="2:15" s="1" customFormat="1" x14ac:dyDescent="0.25">
      <c r="B266" s="12"/>
      <c r="D266" s="23"/>
      <c r="E266" s="2"/>
      <c r="F266" s="2"/>
      <c r="O266" s="2"/>
    </row>
    <row r="267" spans="2:15" s="1" customFormat="1" x14ac:dyDescent="0.25">
      <c r="B267" s="12"/>
      <c r="D267" s="23"/>
      <c r="E267" s="2"/>
      <c r="F267" s="2"/>
      <c r="O267" s="2"/>
    </row>
    <row r="268" spans="2:15" s="1" customFormat="1" x14ac:dyDescent="0.25">
      <c r="B268" s="12"/>
      <c r="D268" s="23"/>
      <c r="E268" s="2"/>
      <c r="F268" s="2"/>
      <c r="O268" s="2"/>
    </row>
    <row r="269" spans="2:15" s="1" customFormat="1" x14ac:dyDescent="0.25">
      <c r="B269" s="12"/>
      <c r="D269" s="23"/>
      <c r="E269" s="2"/>
      <c r="F269" s="2"/>
      <c r="O269" s="2"/>
    </row>
    <row r="270" spans="2:15" s="1" customFormat="1" x14ac:dyDescent="0.25">
      <c r="B270" s="12"/>
      <c r="D270" s="23"/>
      <c r="E270" s="2"/>
      <c r="F270" s="2"/>
      <c r="O270" s="2"/>
    </row>
    <row r="271" spans="2:15" s="1" customFormat="1" x14ac:dyDescent="0.25">
      <c r="B271" s="12"/>
      <c r="D271" s="23"/>
      <c r="E271" s="2"/>
      <c r="F271" s="2"/>
      <c r="O271" s="2"/>
    </row>
    <row r="272" spans="2:15" s="1" customFormat="1" x14ac:dyDescent="0.25">
      <c r="B272" s="12"/>
      <c r="D272" s="23"/>
      <c r="E272" s="2"/>
      <c r="F272" s="2"/>
      <c r="O272" s="2"/>
    </row>
    <row r="273" spans="2:15" s="1" customFormat="1" x14ac:dyDescent="0.25">
      <c r="B273" s="12"/>
      <c r="D273" s="23"/>
      <c r="E273" s="2"/>
      <c r="F273" s="2"/>
      <c r="O273" s="2"/>
    </row>
    <row r="274" spans="2:15" s="1" customFormat="1" x14ac:dyDescent="0.25">
      <c r="B274" s="12"/>
      <c r="D274" s="23"/>
      <c r="E274" s="2"/>
      <c r="F274" s="2"/>
      <c r="O274" s="2"/>
    </row>
    <row r="275" spans="2:15" s="1" customFormat="1" x14ac:dyDescent="0.25">
      <c r="B275" s="12"/>
      <c r="D275" s="23"/>
      <c r="E275" s="2"/>
      <c r="F275" s="2"/>
      <c r="O275" s="2"/>
    </row>
    <row r="276" spans="2:15" s="1" customFormat="1" x14ac:dyDescent="0.25">
      <c r="B276" s="12"/>
      <c r="D276" s="23"/>
      <c r="E276" s="2"/>
      <c r="F276" s="2"/>
      <c r="O276" s="2"/>
    </row>
    <row r="277" spans="2:15" s="1" customFormat="1" x14ac:dyDescent="0.25">
      <c r="B277" s="12"/>
      <c r="D277" s="23"/>
      <c r="E277" s="2"/>
      <c r="F277" s="2"/>
      <c r="O277" s="2"/>
    </row>
    <row r="278" spans="2:15" s="1" customFormat="1" x14ac:dyDescent="0.25">
      <c r="B278" s="12"/>
      <c r="D278" s="23"/>
      <c r="E278" s="2"/>
      <c r="F278" s="2"/>
      <c r="O278" s="2"/>
    </row>
    <row r="279" spans="2:15" s="1" customFormat="1" x14ac:dyDescent="0.25">
      <c r="B279" s="12"/>
      <c r="D279" s="23"/>
      <c r="E279" s="2"/>
      <c r="F279" s="2"/>
      <c r="O279" s="2"/>
    </row>
    <row r="280" spans="2:15" s="1" customFormat="1" x14ac:dyDescent="0.25">
      <c r="B280" s="12"/>
      <c r="D280" s="23"/>
      <c r="E280" s="2"/>
      <c r="F280" s="2"/>
      <c r="O280" s="2"/>
    </row>
    <row r="281" spans="2:15" s="1" customFormat="1" x14ac:dyDescent="0.25">
      <c r="B281" s="12"/>
      <c r="D281" s="23"/>
      <c r="E281" s="2"/>
      <c r="F281" s="2"/>
      <c r="O281" s="2"/>
    </row>
    <row r="282" spans="2:15" s="1" customFormat="1" x14ac:dyDescent="0.25">
      <c r="B282" s="12"/>
      <c r="D282" s="23"/>
      <c r="E282" s="2"/>
      <c r="F282" s="2"/>
      <c r="O282" s="2"/>
    </row>
    <row r="283" spans="2:15" s="1" customFormat="1" x14ac:dyDescent="0.25">
      <c r="B283" s="12"/>
      <c r="D283" s="23"/>
      <c r="E283" s="2"/>
      <c r="F283" s="2"/>
      <c r="O283" s="2"/>
    </row>
    <row r="284" spans="2:15" s="1" customFormat="1" x14ac:dyDescent="0.25">
      <c r="B284" s="12"/>
      <c r="D284" s="23"/>
      <c r="E284" s="2"/>
      <c r="F284" s="2"/>
      <c r="O284" s="2"/>
    </row>
    <row r="285" spans="2:15" s="1" customFormat="1" x14ac:dyDescent="0.25">
      <c r="B285" s="12"/>
      <c r="D285" s="23"/>
      <c r="E285" s="2"/>
      <c r="F285" s="2"/>
      <c r="O285" s="2"/>
    </row>
    <row r="286" spans="2:15" s="1" customFormat="1" x14ac:dyDescent="0.25">
      <c r="B286" s="12"/>
      <c r="D286" s="23"/>
      <c r="E286" s="2"/>
      <c r="F286" s="2"/>
      <c r="O286" s="2"/>
    </row>
    <row r="287" spans="2:15" s="1" customFormat="1" x14ac:dyDescent="0.25">
      <c r="B287" s="12"/>
      <c r="D287" s="23"/>
      <c r="E287" s="2"/>
      <c r="F287" s="2"/>
      <c r="O287" s="2"/>
    </row>
    <row r="288" spans="2:15" s="1" customFormat="1" x14ac:dyDescent="0.25">
      <c r="B288" s="12"/>
      <c r="D288" s="23"/>
      <c r="E288" s="2"/>
      <c r="F288" s="2"/>
      <c r="O288" s="2"/>
    </row>
    <row r="289" spans="2:15" s="1" customFormat="1" x14ac:dyDescent="0.25">
      <c r="B289" s="12"/>
      <c r="D289" s="23"/>
      <c r="E289" s="2"/>
      <c r="F289" s="2"/>
      <c r="O289" s="2"/>
    </row>
    <row r="290" spans="2:15" s="1" customFormat="1" x14ac:dyDescent="0.25">
      <c r="B290" s="12"/>
      <c r="D290" s="23"/>
      <c r="E290" s="2"/>
      <c r="F290" s="2"/>
      <c r="O290" s="2"/>
    </row>
    <row r="291" spans="2:15" s="1" customFormat="1" x14ac:dyDescent="0.25">
      <c r="B291" s="12"/>
      <c r="D291" s="23"/>
      <c r="E291" s="2"/>
      <c r="F291" s="2"/>
      <c r="O291" s="2"/>
    </row>
    <row r="292" spans="2:15" s="1" customFormat="1" x14ac:dyDescent="0.25">
      <c r="B292" s="12"/>
      <c r="D292" s="23"/>
      <c r="E292" s="2"/>
      <c r="F292" s="2"/>
      <c r="O292" s="2"/>
    </row>
    <row r="293" spans="2:15" s="1" customFormat="1" x14ac:dyDescent="0.25">
      <c r="B293" s="12"/>
      <c r="D293" s="23"/>
      <c r="E293" s="2"/>
      <c r="F293" s="2"/>
      <c r="O293" s="2"/>
    </row>
    <row r="294" spans="2:15" s="1" customFormat="1" x14ac:dyDescent="0.25">
      <c r="B294" s="12"/>
      <c r="D294" s="23"/>
      <c r="E294" s="2"/>
      <c r="F294" s="2"/>
      <c r="O294" s="2"/>
    </row>
    <row r="295" spans="2:15" s="1" customFormat="1" x14ac:dyDescent="0.25">
      <c r="B295" s="12"/>
      <c r="D295" s="23"/>
      <c r="E295" s="2"/>
      <c r="F295" s="2"/>
      <c r="O295" s="2"/>
    </row>
    <row r="296" spans="2:15" s="1" customFormat="1" x14ac:dyDescent="0.25">
      <c r="B296" s="12"/>
      <c r="D296" s="23"/>
      <c r="E296" s="2"/>
      <c r="F296" s="2"/>
      <c r="O296" s="2"/>
    </row>
    <row r="297" spans="2:15" s="1" customFormat="1" x14ac:dyDescent="0.25">
      <c r="B297" s="12"/>
      <c r="D297" s="23"/>
      <c r="E297" s="2"/>
      <c r="F297" s="2"/>
      <c r="O297" s="2"/>
    </row>
    <row r="298" spans="2:15" s="1" customFormat="1" x14ac:dyDescent="0.25">
      <c r="B298" s="12"/>
      <c r="D298" s="23"/>
      <c r="E298" s="2"/>
      <c r="F298" s="2"/>
      <c r="O298" s="2"/>
    </row>
    <row r="299" spans="2:15" s="1" customFormat="1" x14ac:dyDescent="0.25">
      <c r="B299" s="12"/>
      <c r="D299" s="23"/>
      <c r="E299" s="2"/>
      <c r="F299" s="2"/>
      <c r="O299" s="2"/>
    </row>
    <row r="300" spans="2:15" s="1" customFormat="1" x14ac:dyDescent="0.25">
      <c r="B300" s="12"/>
      <c r="D300" s="23"/>
      <c r="E300" s="2"/>
      <c r="F300" s="2"/>
      <c r="O300" s="2"/>
    </row>
    <row r="301" spans="2:15" s="1" customFormat="1" x14ac:dyDescent="0.25">
      <c r="B301" s="12"/>
      <c r="D301" s="23"/>
      <c r="E301" s="2"/>
      <c r="F301" s="2"/>
      <c r="O301" s="2"/>
    </row>
    <row r="302" spans="2:15" s="1" customFormat="1" x14ac:dyDescent="0.25">
      <c r="B302" s="12"/>
      <c r="D302" s="23"/>
      <c r="E302" s="2"/>
      <c r="F302" s="2"/>
      <c r="O302" s="2"/>
    </row>
    <row r="303" spans="2:15" s="1" customFormat="1" x14ac:dyDescent="0.25">
      <c r="B303" s="12"/>
      <c r="D303" s="23"/>
      <c r="E303" s="2"/>
      <c r="F303" s="2"/>
      <c r="O303" s="2"/>
    </row>
    <row r="304" spans="2:15" s="1" customFormat="1" x14ac:dyDescent="0.25">
      <c r="B304" s="12"/>
      <c r="D304" s="23"/>
      <c r="E304" s="2"/>
      <c r="F304" s="2"/>
      <c r="O304" s="2"/>
    </row>
    <row r="305" spans="2:15" s="1" customFormat="1" x14ac:dyDescent="0.25">
      <c r="B305" s="12"/>
      <c r="D305" s="23"/>
      <c r="E305" s="2"/>
      <c r="F305" s="2"/>
      <c r="O305" s="2"/>
    </row>
    <row r="306" spans="2:15" s="1" customFormat="1" x14ac:dyDescent="0.25">
      <c r="B306" s="12"/>
      <c r="D306" s="23"/>
      <c r="E306" s="2"/>
      <c r="F306" s="2"/>
      <c r="O306" s="2"/>
    </row>
    <row r="307" spans="2:15" s="1" customFormat="1" x14ac:dyDescent="0.25">
      <c r="B307" s="12"/>
      <c r="D307" s="23"/>
      <c r="E307" s="2"/>
      <c r="F307" s="2"/>
      <c r="O307" s="2"/>
    </row>
    <row r="308" spans="2:15" s="1" customFormat="1" x14ac:dyDescent="0.25">
      <c r="B308" s="12"/>
      <c r="D308" s="23"/>
      <c r="E308" s="2"/>
      <c r="F308" s="2"/>
      <c r="O308" s="2"/>
    </row>
    <row r="309" spans="2:15" s="1" customFormat="1" x14ac:dyDescent="0.25">
      <c r="B309" s="12"/>
      <c r="D309" s="23"/>
      <c r="E309" s="2"/>
      <c r="F309" s="2"/>
      <c r="O309" s="2"/>
    </row>
    <row r="310" spans="2:15" s="1" customFormat="1" x14ac:dyDescent="0.25">
      <c r="B310" s="12"/>
      <c r="D310" s="23"/>
      <c r="E310" s="2"/>
      <c r="F310" s="2"/>
      <c r="O310" s="2"/>
    </row>
    <row r="311" spans="2:15" s="1" customFormat="1" x14ac:dyDescent="0.25">
      <c r="B311" s="12"/>
      <c r="D311" s="23"/>
      <c r="E311" s="2"/>
      <c r="F311" s="2"/>
      <c r="O311" s="2"/>
    </row>
    <row r="312" spans="2:15" s="1" customFormat="1" x14ac:dyDescent="0.25">
      <c r="B312" s="12"/>
      <c r="D312" s="23"/>
      <c r="E312" s="2"/>
      <c r="F312" s="2"/>
      <c r="O312" s="2"/>
    </row>
    <row r="313" spans="2:15" s="1" customFormat="1" x14ac:dyDescent="0.25">
      <c r="B313" s="12"/>
      <c r="D313" s="23"/>
      <c r="E313" s="2"/>
      <c r="F313" s="2"/>
      <c r="O313" s="2"/>
    </row>
    <row r="314" spans="2:15" s="1" customFormat="1" x14ac:dyDescent="0.25">
      <c r="B314" s="12"/>
      <c r="D314" s="23"/>
      <c r="E314" s="2"/>
      <c r="F314" s="2"/>
      <c r="O314" s="2"/>
    </row>
    <row r="315" spans="2:15" s="1" customFormat="1" x14ac:dyDescent="0.25">
      <c r="B315" s="12"/>
      <c r="D315" s="23"/>
      <c r="E315" s="2"/>
      <c r="F315" s="2"/>
      <c r="O315" s="2"/>
    </row>
    <row r="316" spans="2:15" s="1" customFormat="1" x14ac:dyDescent="0.25">
      <c r="B316" s="12"/>
      <c r="D316" s="23"/>
      <c r="E316" s="2"/>
      <c r="F316" s="2"/>
      <c r="O316" s="2"/>
    </row>
    <row r="317" spans="2:15" s="1" customFormat="1" x14ac:dyDescent="0.25">
      <c r="B317" s="12"/>
      <c r="D317" s="23"/>
      <c r="E317" s="2"/>
      <c r="F317" s="2"/>
      <c r="O317" s="2"/>
    </row>
    <row r="318" spans="2:15" s="1" customFormat="1" x14ac:dyDescent="0.25">
      <c r="B318" s="12"/>
      <c r="D318" s="23"/>
      <c r="E318" s="2"/>
      <c r="F318" s="2"/>
      <c r="O318" s="2"/>
    </row>
    <row r="319" spans="2:15" s="1" customFormat="1" x14ac:dyDescent="0.25">
      <c r="B319" s="12"/>
      <c r="D319" s="23"/>
      <c r="E319" s="2"/>
      <c r="F319" s="2"/>
      <c r="O319" s="2"/>
    </row>
    <row r="320" spans="2:15" s="1" customFormat="1" x14ac:dyDescent="0.25">
      <c r="B320" s="12"/>
      <c r="D320" s="23"/>
      <c r="E320" s="2"/>
      <c r="F320" s="2"/>
      <c r="O320" s="2"/>
    </row>
    <row r="321" spans="2:15" s="1" customFormat="1" x14ac:dyDescent="0.25">
      <c r="B321" s="12"/>
      <c r="D321" s="23"/>
      <c r="E321" s="2"/>
      <c r="F321" s="2"/>
      <c r="O321" s="2"/>
    </row>
    <row r="322" spans="2:15" s="1" customFormat="1" x14ac:dyDescent="0.25">
      <c r="B322" s="12"/>
      <c r="D322" s="23"/>
      <c r="E322" s="2"/>
      <c r="F322" s="2"/>
      <c r="O322" s="2"/>
    </row>
    <row r="323" spans="2:15" s="1" customFormat="1" x14ac:dyDescent="0.25">
      <c r="B323" s="12"/>
      <c r="D323" s="23"/>
      <c r="E323" s="2"/>
      <c r="F323" s="2"/>
      <c r="O323" s="2"/>
    </row>
    <row r="324" spans="2:15" s="1" customFormat="1" x14ac:dyDescent="0.25">
      <c r="B324" s="12"/>
      <c r="D324" s="23"/>
      <c r="E324" s="2"/>
      <c r="F324" s="2"/>
      <c r="O324" s="2"/>
    </row>
    <row r="325" spans="2:15" s="1" customFormat="1" x14ac:dyDescent="0.25">
      <c r="B325" s="12"/>
      <c r="D325" s="23"/>
      <c r="E325" s="2"/>
      <c r="F325" s="2"/>
      <c r="O325" s="2"/>
    </row>
    <row r="326" spans="2:15" s="1" customFormat="1" x14ac:dyDescent="0.25">
      <c r="B326" s="12"/>
      <c r="D326" s="23"/>
      <c r="E326" s="2"/>
      <c r="F326" s="2"/>
      <c r="O326" s="2"/>
    </row>
    <row r="327" spans="2:15" s="1" customFormat="1" x14ac:dyDescent="0.25">
      <c r="B327" s="12"/>
      <c r="D327" s="23"/>
      <c r="E327" s="2"/>
      <c r="F327" s="2"/>
      <c r="O327" s="2"/>
    </row>
    <row r="328" spans="2:15" s="1" customFormat="1" x14ac:dyDescent="0.25">
      <c r="B328" s="12"/>
      <c r="D328" s="23"/>
      <c r="E328" s="2"/>
      <c r="F328" s="2"/>
      <c r="O328" s="2"/>
    </row>
    <row r="329" spans="2:15" s="1" customFormat="1" x14ac:dyDescent="0.25">
      <c r="B329" s="12"/>
      <c r="D329" s="23"/>
      <c r="E329" s="2"/>
      <c r="F329" s="2"/>
      <c r="O329" s="2"/>
    </row>
    <row r="330" spans="2:15" s="1" customFormat="1" x14ac:dyDescent="0.25">
      <c r="B330" s="12"/>
      <c r="D330" s="23"/>
      <c r="E330" s="2"/>
      <c r="F330" s="2"/>
      <c r="O330" s="2"/>
    </row>
    <row r="331" spans="2:15" s="1" customFormat="1" x14ac:dyDescent="0.25">
      <c r="B331" s="12"/>
      <c r="D331" s="23"/>
      <c r="E331" s="2"/>
      <c r="F331" s="2"/>
      <c r="O331" s="2"/>
    </row>
    <row r="332" spans="2:15" s="1" customFormat="1" x14ac:dyDescent="0.25">
      <c r="B332" s="12"/>
      <c r="D332" s="23"/>
      <c r="E332" s="2"/>
      <c r="F332" s="2"/>
      <c r="O332" s="2"/>
    </row>
    <row r="333" spans="2:15" s="1" customFormat="1" x14ac:dyDescent="0.25">
      <c r="B333" s="12"/>
      <c r="D333" s="23"/>
      <c r="E333" s="2"/>
      <c r="F333" s="2"/>
      <c r="O333" s="2"/>
    </row>
    <row r="334" spans="2:15" s="1" customFormat="1" x14ac:dyDescent="0.25">
      <c r="B334" s="12"/>
      <c r="D334" s="23"/>
      <c r="E334" s="2"/>
      <c r="F334" s="2"/>
      <c r="O334" s="2"/>
    </row>
    <row r="335" spans="2:15" s="1" customFormat="1" x14ac:dyDescent="0.25">
      <c r="B335" s="12"/>
      <c r="D335" s="23"/>
      <c r="E335" s="2"/>
      <c r="F335" s="2"/>
      <c r="O335" s="2"/>
    </row>
    <row r="336" spans="2:15" s="1" customFormat="1" x14ac:dyDescent="0.25">
      <c r="B336" s="12"/>
      <c r="D336" s="23"/>
      <c r="E336" s="2"/>
      <c r="F336" s="2"/>
      <c r="O336" s="2"/>
    </row>
    <row r="337" spans="2:15" s="1" customFormat="1" x14ac:dyDescent="0.25">
      <c r="B337" s="12"/>
      <c r="D337" s="23"/>
      <c r="E337" s="2"/>
      <c r="F337" s="2"/>
      <c r="O337" s="2"/>
    </row>
    <row r="338" spans="2:15" s="1" customFormat="1" x14ac:dyDescent="0.25">
      <c r="B338" s="12"/>
      <c r="D338" s="23"/>
      <c r="E338" s="2"/>
      <c r="F338" s="2"/>
      <c r="O338" s="2"/>
    </row>
    <row r="339" spans="2:15" s="1" customFormat="1" x14ac:dyDescent="0.25">
      <c r="B339" s="12"/>
      <c r="D339" s="23"/>
      <c r="E339" s="2"/>
      <c r="F339" s="2"/>
      <c r="O339" s="2"/>
    </row>
    <row r="340" spans="2:15" s="1" customFormat="1" x14ac:dyDescent="0.25">
      <c r="B340" s="12"/>
      <c r="D340" s="23"/>
      <c r="E340" s="2"/>
      <c r="F340" s="2"/>
      <c r="O340" s="2"/>
    </row>
    <row r="341" spans="2:15" s="1" customFormat="1" x14ac:dyDescent="0.25">
      <c r="B341" s="12"/>
      <c r="D341" s="23"/>
      <c r="E341" s="2"/>
      <c r="F341" s="2"/>
      <c r="O341" s="2"/>
    </row>
    <row r="342" spans="2:15" s="1" customFormat="1" x14ac:dyDescent="0.25">
      <c r="B342" s="12"/>
      <c r="D342" s="23"/>
      <c r="E342" s="2"/>
      <c r="F342" s="2"/>
      <c r="O342" s="2"/>
    </row>
    <row r="343" spans="2:15" s="1" customFormat="1" x14ac:dyDescent="0.25">
      <c r="B343" s="12"/>
      <c r="D343" s="23"/>
      <c r="E343" s="2"/>
      <c r="F343" s="2"/>
      <c r="O343" s="2"/>
    </row>
    <row r="344" spans="2:15" s="1" customFormat="1" x14ac:dyDescent="0.25">
      <c r="B344" s="12"/>
      <c r="D344" s="23"/>
      <c r="E344" s="2"/>
      <c r="F344" s="2"/>
      <c r="O344" s="2"/>
    </row>
    <row r="345" spans="2:15" s="1" customFormat="1" x14ac:dyDescent="0.25">
      <c r="B345" s="12"/>
      <c r="D345" s="23"/>
      <c r="E345" s="2"/>
      <c r="F345" s="2"/>
      <c r="O345" s="2"/>
    </row>
    <row r="346" spans="2:15" s="1" customFormat="1" x14ac:dyDescent="0.25">
      <c r="B346" s="12"/>
      <c r="D346" s="23"/>
      <c r="E346" s="2"/>
      <c r="F346" s="2"/>
      <c r="O346" s="2"/>
    </row>
    <row r="347" spans="2:15" s="1" customFormat="1" x14ac:dyDescent="0.25">
      <c r="B347" s="12"/>
      <c r="D347" s="23"/>
      <c r="E347" s="2"/>
      <c r="F347" s="2"/>
      <c r="O347" s="2"/>
    </row>
    <row r="348" spans="2:15" s="1" customFormat="1" x14ac:dyDescent="0.25">
      <c r="B348" s="12"/>
      <c r="D348" s="23"/>
      <c r="E348" s="2"/>
      <c r="F348" s="2"/>
      <c r="O348" s="2"/>
    </row>
    <row r="349" spans="2:15" s="1" customFormat="1" x14ac:dyDescent="0.25">
      <c r="B349" s="12"/>
      <c r="D349" s="23"/>
      <c r="E349" s="2"/>
      <c r="F349" s="2"/>
      <c r="O349" s="2"/>
    </row>
    <row r="350" spans="2:15" s="1" customFormat="1" x14ac:dyDescent="0.25">
      <c r="B350" s="12"/>
      <c r="D350" s="23"/>
      <c r="E350" s="2"/>
      <c r="F350" s="2"/>
      <c r="O350" s="2"/>
    </row>
    <row r="351" spans="2:15" s="1" customFormat="1" x14ac:dyDescent="0.25">
      <c r="B351" s="12"/>
      <c r="D351" s="23"/>
      <c r="E351" s="2"/>
      <c r="F351" s="2"/>
      <c r="O351" s="2"/>
    </row>
    <row r="352" spans="2:15" s="1" customFormat="1" x14ac:dyDescent="0.25">
      <c r="B352" s="12"/>
      <c r="D352" s="23"/>
      <c r="E352" s="2"/>
      <c r="F352" s="2"/>
      <c r="O352" s="2"/>
    </row>
    <row r="353" spans="2:15" s="1" customFormat="1" x14ac:dyDescent="0.25">
      <c r="B353" s="12"/>
      <c r="D353" s="23"/>
      <c r="E353" s="2"/>
      <c r="F353" s="2"/>
      <c r="O353" s="2"/>
    </row>
    <row r="354" spans="2:15" s="1" customFormat="1" x14ac:dyDescent="0.25">
      <c r="B354" s="12"/>
      <c r="D354" s="23"/>
      <c r="E354" s="2"/>
      <c r="F354" s="2"/>
      <c r="O354" s="2"/>
    </row>
    <row r="355" spans="2:15" s="1" customFormat="1" x14ac:dyDescent="0.25">
      <c r="B355" s="12"/>
      <c r="D355" s="23"/>
      <c r="E355" s="2"/>
      <c r="F355" s="2"/>
      <c r="O355" s="2"/>
    </row>
    <row r="356" spans="2:15" s="1" customFormat="1" x14ac:dyDescent="0.25">
      <c r="B356" s="12"/>
      <c r="D356" s="23"/>
      <c r="E356" s="2"/>
      <c r="F356" s="2"/>
      <c r="O356" s="2"/>
    </row>
    <row r="357" spans="2:15" s="1" customFormat="1" x14ac:dyDescent="0.25">
      <c r="B357" s="12"/>
      <c r="D357" s="23"/>
      <c r="E357" s="2"/>
      <c r="F357" s="2"/>
      <c r="O357" s="2"/>
    </row>
    <row r="358" spans="2:15" s="1" customFormat="1" x14ac:dyDescent="0.25">
      <c r="B358" s="12"/>
      <c r="D358" s="23"/>
      <c r="E358" s="2"/>
      <c r="F358" s="2"/>
      <c r="O358" s="2"/>
    </row>
    <row r="359" spans="2:15" s="1" customFormat="1" x14ac:dyDescent="0.25">
      <c r="B359" s="12"/>
      <c r="D359" s="23"/>
      <c r="E359" s="2"/>
      <c r="F359" s="2"/>
      <c r="O359" s="2"/>
    </row>
    <row r="360" spans="2:15" s="1" customFormat="1" x14ac:dyDescent="0.25">
      <c r="B360" s="12"/>
      <c r="D360" s="23"/>
      <c r="E360" s="2"/>
      <c r="F360" s="2"/>
      <c r="O360" s="2"/>
    </row>
    <row r="361" spans="2:15" s="1" customFormat="1" x14ac:dyDescent="0.25">
      <c r="B361" s="12"/>
      <c r="D361" s="23"/>
      <c r="E361" s="2"/>
      <c r="F361" s="2"/>
      <c r="O361" s="2"/>
    </row>
    <row r="362" spans="2:15" s="1" customFormat="1" x14ac:dyDescent="0.25">
      <c r="B362" s="12"/>
      <c r="D362" s="23"/>
      <c r="E362" s="2"/>
      <c r="F362" s="2"/>
      <c r="O362" s="2"/>
    </row>
    <row r="363" spans="2:15" s="1" customFormat="1" x14ac:dyDescent="0.25">
      <c r="B363" s="12"/>
      <c r="D363" s="23"/>
      <c r="E363" s="2"/>
      <c r="F363" s="2"/>
      <c r="O363" s="2"/>
    </row>
    <row r="364" spans="2:15" s="1" customFormat="1" x14ac:dyDescent="0.25">
      <c r="B364" s="12"/>
      <c r="D364" s="23"/>
      <c r="E364" s="2"/>
      <c r="F364" s="2"/>
      <c r="O364" s="2"/>
    </row>
    <row r="365" spans="2:15" s="1" customFormat="1" x14ac:dyDescent="0.25">
      <c r="B365" s="12"/>
      <c r="D365" s="23"/>
      <c r="E365" s="2"/>
      <c r="F365" s="2"/>
      <c r="O365" s="2"/>
    </row>
    <row r="366" spans="2:15" s="1" customFormat="1" x14ac:dyDescent="0.25">
      <c r="B366" s="12"/>
      <c r="D366" s="23"/>
      <c r="E366" s="2"/>
      <c r="F366" s="2"/>
      <c r="O366" s="2"/>
    </row>
    <row r="367" spans="2:15" s="1" customFormat="1" x14ac:dyDescent="0.25">
      <c r="B367" s="12"/>
      <c r="D367" s="23"/>
      <c r="E367" s="2"/>
      <c r="F367" s="2"/>
      <c r="O367" s="2"/>
    </row>
    <row r="368" spans="2:15" s="1" customFormat="1" x14ac:dyDescent="0.25">
      <c r="B368" s="12"/>
      <c r="D368" s="23"/>
      <c r="E368" s="2"/>
      <c r="F368" s="2"/>
      <c r="O368" s="2"/>
    </row>
    <row r="369" spans="2:15" s="1" customFormat="1" x14ac:dyDescent="0.25">
      <c r="B369" s="12"/>
      <c r="D369" s="23"/>
      <c r="E369" s="2"/>
      <c r="F369" s="2"/>
      <c r="O369" s="2"/>
    </row>
    <row r="370" spans="2:15" s="1" customFormat="1" x14ac:dyDescent="0.25">
      <c r="B370" s="12"/>
      <c r="D370" s="23"/>
      <c r="E370" s="2"/>
      <c r="F370" s="2"/>
      <c r="O370" s="2"/>
    </row>
    <row r="371" spans="2:15" s="1" customFormat="1" x14ac:dyDescent="0.25">
      <c r="B371" s="12"/>
      <c r="D371" s="23"/>
      <c r="E371" s="2"/>
      <c r="F371" s="2"/>
      <c r="O371" s="2"/>
    </row>
    <row r="372" spans="2:15" s="1" customFormat="1" x14ac:dyDescent="0.25">
      <c r="B372" s="12"/>
      <c r="D372" s="23"/>
      <c r="E372" s="2"/>
      <c r="F372" s="2"/>
      <c r="O372" s="2"/>
    </row>
    <row r="373" spans="2:15" s="1" customFormat="1" x14ac:dyDescent="0.25">
      <c r="B373" s="12"/>
      <c r="D373" s="23"/>
      <c r="E373" s="2"/>
      <c r="F373" s="2"/>
      <c r="O373" s="2"/>
    </row>
    <row r="374" spans="2:15" s="1" customFormat="1" x14ac:dyDescent="0.25">
      <c r="B374" s="12"/>
      <c r="D374" s="23"/>
      <c r="E374" s="2"/>
      <c r="F374" s="2"/>
      <c r="O374" s="2"/>
    </row>
    <row r="375" spans="2:15" s="1" customFormat="1" x14ac:dyDescent="0.25">
      <c r="B375" s="12"/>
      <c r="D375" s="23"/>
      <c r="E375" s="2"/>
      <c r="F375" s="2"/>
      <c r="O375" s="2"/>
    </row>
    <row r="376" spans="2:15" s="1" customFormat="1" x14ac:dyDescent="0.25">
      <c r="B376" s="12"/>
      <c r="D376" s="23"/>
      <c r="E376" s="2"/>
      <c r="F376" s="2"/>
      <c r="O376" s="2"/>
    </row>
    <row r="377" spans="2:15" s="1" customFormat="1" x14ac:dyDescent="0.25">
      <c r="B377" s="12"/>
      <c r="D377" s="23"/>
      <c r="E377" s="2"/>
      <c r="F377" s="2"/>
      <c r="O377" s="2"/>
    </row>
    <row r="378" spans="2:15" s="1" customFormat="1" x14ac:dyDescent="0.25">
      <c r="B378" s="12"/>
      <c r="D378" s="23"/>
      <c r="E378" s="2"/>
      <c r="F378" s="2"/>
      <c r="O378" s="2"/>
    </row>
    <row r="379" spans="2:15" s="1" customFormat="1" x14ac:dyDescent="0.25">
      <c r="B379" s="12"/>
      <c r="D379" s="23"/>
      <c r="E379" s="2"/>
      <c r="F379" s="2"/>
      <c r="O379" s="2"/>
    </row>
    <row r="380" spans="2:15" s="1" customFormat="1" x14ac:dyDescent="0.25">
      <c r="B380" s="12"/>
      <c r="D380" s="23"/>
      <c r="E380" s="2"/>
      <c r="F380" s="2"/>
      <c r="O380" s="2"/>
    </row>
    <row r="381" spans="2:15" s="1" customFormat="1" x14ac:dyDescent="0.25">
      <c r="B381" s="12"/>
      <c r="D381" s="23"/>
      <c r="E381" s="2"/>
      <c r="F381" s="2"/>
      <c r="O381" s="2"/>
    </row>
    <row r="382" spans="2:15" s="1" customFormat="1" x14ac:dyDescent="0.25">
      <c r="B382" s="12"/>
      <c r="D382" s="23"/>
      <c r="E382" s="2"/>
      <c r="F382" s="2"/>
      <c r="O382" s="2"/>
    </row>
    <row r="383" spans="2:15" s="1" customFormat="1" x14ac:dyDescent="0.25">
      <c r="B383" s="12"/>
      <c r="D383" s="23"/>
      <c r="E383" s="2"/>
      <c r="F383" s="2"/>
      <c r="O383" s="2"/>
    </row>
    <row r="384" spans="2:15" s="1" customFormat="1" x14ac:dyDescent="0.25">
      <c r="B384" s="12"/>
      <c r="D384" s="23"/>
      <c r="E384" s="2"/>
      <c r="F384" s="2"/>
      <c r="O384" s="2"/>
    </row>
    <row r="385" spans="2:15" s="1" customFormat="1" x14ac:dyDescent="0.25">
      <c r="B385" s="12"/>
      <c r="D385" s="23"/>
      <c r="E385" s="2"/>
      <c r="F385" s="2"/>
      <c r="O385" s="2"/>
    </row>
    <row r="386" spans="2:15" s="1" customFormat="1" x14ac:dyDescent="0.25">
      <c r="B386" s="12"/>
      <c r="D386" s="23"/>
      <c r="E386" s="2"/>
      <c r="F386" s="2"/>
      <c r="O386" s="2"/>
    </row>
    <row r="387" spans="2:15" s="1" customFormat="1" x14ac:dyDescent="0.25">
      <c r="B387" s="12"/>
      <c r="D387" s="23"/>
      <c r="E387" s="2"/>
      <c r="F387" s="2"/>
      <c r="O387" s="2"/>
    </row>
    <row r="388" spans="2:15" s="1" customFormat="1" x14ac:dyDescent="0.25">
      <c r="B388" s="12"/>
      <c r="D388" s="23"/>
      <c r="E388" s="2"/>
      <c r="F388" s="2"/>
      <c r="O388" s="2"/>
    </row>
    <row r="389" spans="2:15" s="1" customFormat="1" x14ac:dyDescent="0.25">
      <c r="B389" s="12"/>
      <c r="D389" s="23"/>
      <c r="E389" s="2"/>
      <c r="F389" s="2"/>
      <c r="O389" s="2"/>
    </row>
    <row r="390" spans="2:15" s="1" customFormat="1" x14ac:dyDescent="0.25">
      <c r="B390" s="12"/>
      <c r="D390" s="23"/>
      <c r="E390" s="2"/>
      <c r="F390" s="2"/>
      <c r="O390" s="2"/>
    </row>
    <row r="391" spans="2:15" s="1" customFormat="1" x14ac:dyDescent="0.25">
      <c r="B391" s="12"/>
      <c r="D391" s="23"/>
      <c r="E391" s="2"/>
      <c r="F391" s="2"/>
      <c r="O391" s="2"/>
    </row>
    <row r="392" spans="2:15" s="1" customFormat="1" x14ac:dyDescent="0.25">
      <c r="B392" s="12"/>
      <c r="D392" s="23"/>
      <c r="E392" s="2"/>
      <c r="F392" s="2"/>
      <c r="O392" s="2"/>
    </row>
    <row r="393" spans="2:15" s="1" customFormat="1" x14ac:dyDescent="0.25">
      <c r="B393" s="12"/>
      <c r="D393" s="23"/>
      <c r="E393" s="2"/>
      <c r="F393" s="2"/>
      <c r="O393" s="2"/>
    </row>
    <row r="394" spans="2:15" s="1" customFormat="1" x14ac:dyDescent="0.25">
      <c r="B394" s="12"/>
      <c r="D394" s="23"/>
      <c r="E394" s="2"/>
      <c r="F394" s="2"/>
      <c r="O394" s="2"/>
    </row>
    <row r="395" spans="2:15" s="1" customFormat="1" x14ac:dyDescent="0.25">
      <c r="B395" s="12"/>
      <c r="D395" s="23"/>
      <c r="E395" s="2"/>
      <c r="F395" s="2"/>
      <c r="O395" s="2"/>
    </row>
    <row r="396" spans="2:15" s="1" customFormat="1" x14ac:dyDescent="0.25">
      <c r="B396" s="12"/>
      <c r="D396" s="23"/>
      <c r="E396" s="2"/>
      <c r="F396" s="2"/>
      <c r="O396" s="2"/>
    </row>
    <row r="397" spans="2:15" s="1" customFormat="1" x14ac:dyDescent="0.25">
      <c r="B397" s="12"/>
      <c r="D397" s="23"/>
      <c r="E397" s="2"/>
      <c r="F397" s="2"/>
      <c r="O397" s="2"/>
    </row>
    <row r="398" spans="2:15" s="1" customFormat="1" x14ac:dyDescent="0.25">
      <c r="B398" s="12"/>
      <c r="D398" s="23"/>
      <c r="E398" s="2"/>
      <c r="F398" s="2"/>
      <c r="O398" s="2"/>
    </row>
    <row r="399" spans="2:15" s="1" customFormat="1" x14ac:dyDescent="0.25">
      <c r="B399" s="12"/>
      <c r="D399" s="23"/>
      <c r="E399" s="2"/>
      <c r="F399" s="2"/>
      <c r="O399" s="2"/>
    </row>
    <row r="400" spans="2:15" s="1" customFormat="1" x14ac:dyDescent="0.25">
      <c r="B400" s="12"/>
      <c r="D400" s="23"/>
      <c r="E400" s="2"/>
      <c r="F400" s="2"/>
      <c r="O400" s="2"/>
    </row>
    <row r="401" spans="2:15" s="1" customFormat="1" x14ac:dyDescent="0.25">
      <c r="B401" s="12"/>
      <c r="D401" s="23"/>
      <c r="E401" s="2"/>
      <c r="F401" s="2"/>
      <c r="O401" s="2"/>
    </row>
    <row r="402" spans="2:15" s="1" customFormat="1" x14ac:dyDescent="0.25">
      <c r="B402" s="12"/>
      <c r="D402" s="23"/>
      <c r="E402" s="2"/>
      <c r="F402" s="2"/>
      <c r="O402" s="2"/>
    </row>
    <row r="403" spans="2:15" s="1" customFormat="1" x14ac:dyDescent="0.25">
      <c r="B403" s="12"/>
      <c r="D403" s="23"/>
      <c r="E403" s="2"/>
      <c r="F403" s="2"/>
      <c r="O403" s="2"/>
    </row>
    <row r="404" spans="2:15" s="1" customFormat="1" x14ac:dyDescent="0.25">
      <c r="B404" s="12"/>
      <c r="D404" s="23"/>
      <c r="E404" s="2"/>
      <c r="F404" s="2"/>
      <c r="O404" s="2"/>
    </row>
    <row r="405" spans="2:15" s="1" customFormat="1" x14ac:dyDescent="0.25">
      <c r="B405" s="12"/>
      <c r="D405" s="23"/>
      <c r="E405" s="2"/>
      <c r="F405" s="2"/>
      <c r="O405" s="2"/>
    </row>
    <row r="406" spans="2:15" s="1" customFormat="1" x14ac:dyDescent="0.25">
      <c r="B406" s="12"/>
      <c r="D406" s="23"/>
      <c r="E406" s="2"/>
      <c r="F406" s="2"/>
      <c r="O406" s="2"/>
    </row>
    <row r="407" spans="2:15" s="1" customFormat="1" x14ac:dyDescent="0.25">
      <c r="B407" s="12"/>
      <c r="D407" s="23"/>
      <c r="E407" s="2"/>
      <c r="F407" s="2"/>
      <c r="O407" s="2"/>
    </row>
    <row r="408" spans="2:15" s="1" customFormat="1" x14ac:dyDescent="0.25">
      <c r="B408" s="12"/>
      <c r="D408" s="23"/>
      <c r="E408" s="2"/>
      <c r="F408" s="2"/>
      <c r="O408" s="2"/>
    </row>
    <row r="409" spans="2:15" s="1" customFormat="1" x14ac:dyDescent="0.25">
      <c r="B409" s="12"/>
      <c r="D409" s="23"/>
      <c r="E409" s="2"/>
      <c r="F409" s="2"/>
      <c r="O409" s="2"/>
    </row>
    <row r="410" spans="2:15" s="1" customFormat="1" x14ac:dyDescent="0.25">
      <c r="B410" s="12"/>
      <c r="D410" s="23"/>
      <c r="E410" s="2"/>
      <c r="F410" s="2"/>
      <c r="O410" s="2"/>
    </row>
    <row r="411" spans="2:15" s="1" customFormat="1" x14ac:dyDescent="0.25">
      <c r="B411" s="12"/>
      <c r="D411" s="23"/>
      <c r="E411" s="2"/>
      <c r="F411" s="2"/>
      <c r="O411" s="2"/>
    </row>
    <row r="412" spans="2:15" s="1" customFormat="1" x14ac:dyDescent="0.25">
      <c r="B412" s="12"/>
      <c r="D412" s="23"/>
      <c r="E412" s="2"/>
      <c r="F412" s="2"/>
      <c r="O412" s="2"/>
    </row>
    <row r="413" spans="2:15" s="1" customFormat="1" x14ac:dyDescent="0.25">
      <c r="B413" s="12"/>
      <c r="D413" s="23"/>
      <c r="E413" s="2"/>
      <c r="F413" s="2"/>
      <c r="O413" s="2"/>
    </row>
    <row r="414" spans="2:15" s="1" customFormat="1" x14ac:dyDescent="0.25">
      <c r="B414" s="12"/>
      <c r="D414" s="23"/>
      <c r="E414" s="2"/>
      <c r="F414" s="2"/>
      <c r="O414" s="2"/>
    </row>
    <row r="415" spans="2:15" s="1" customFormat="1" x14ac:dyDescent="0.25">
      <c r="B415" s="12"/>
      <c r="D415" s="23"/>
      <c r="E415" s="2"/>
      <c r="F415" s="2"/>
      <c r="O415" s="2"/>
    </row>
    <row r="416" spans="2:15" s="1" customFormat="1" x14ac:dyDescent="0.25">
      <c r="B416" s="12"/>
      <c r="D416" s="23"/>
      <c r="E416" s="2"/>
      <c r="F416" s="2"/>
      <c r="O416" s="2"/>
    </row>
    <row r="417" spans="2:15" s="1" customFormat="1" x14ac:dyDescent="0.25">
      <c r="B417" s="12"/>
      <c r="D417" s="23"/>
      <c r="E417" s="2"/>
      <c r="F417" s="2"/>
      <c r="O417" s="2"/>
    </row>
    <row r="418" spans="2:15" s="1" customFormat="1" x14ac:dyDescent="0.25">
      <c r="B418" s="12"/>
      <c r="D418" s="23"/>
      <c r="E418" s="2"/>
      <c r="F418" s="2"/>
      <c r="O418" s="2"/>
    </row>
    <row r="419" spans="2:15" s="1" customFormat="1" x14ac:dyDescent="0.25">
      <c r="B419" s="12"/>
      <c r="D419" s="23"/>
      <c r="E419" s="2"/>
      <c r="F419" s="2"/>
      <c r="O419" s="2"/>
    </row>
    <row r="420" spans="2:15" s="1" customFormat="1" x14ac:dyDescent="0.25">
      <c r="B420" s="12"/>
      <c r="D420" s="23"/>
      <c r="E420" s="2"/>
      <c r="F420" s="2"/>
      <c r="O420" s="2"/>
    </row>
    <row r="421" spans="2:15" s="1" customFormat="1" x14ac:dyDescent="0.25">
      <c r="B421" s="12"/>
      <c r="D421" s="23"/>
      <c r="E421" s="2"/>
      <c r="F421" s="2"/>
      <c r="O421" s="2"/>
    </row>
    <row r="422" spans="2:15" s="1" customFormat="1" x14ac:dyDescent="0.25">
      <c r="B422" s="12"/>
      <c r="D422" s="23"/>
      <c r="E422" s="2"/>
      <c r="F422" s="2"/>
      <c r="O422" s="2"/>
    </row>
    <row r="423" spans="2:15" s="1" customFormat="1" x14ac:dyDescent="0.25">
      <c r="B423" s="12"/>
      <c r="D423" s="23"/>
      <c r="E423" s="2"/>
      <c r="F423" s="2"/>
      <c r="O423" s="2"/>
    </row>
    <row r="424" spans="2:15" s="1" customFormat="1" x14ac:dyDescent="0.25">
      <c r="B424" s="12"/>
      <c r="D424" s="23"/>
      <c r="E424" s="2"/>
      <c r="F424" s="2"/>
      <c r="O424" s="2"/>
    </row>
    <row r="425" spans="2:15" s="1" customFormat="1" x14ac:dyDescent="0.25">
      <c r="B425" s="12"/>
      <c r="D425" s="23"/>
      <c r="E425" s="2"/>
      <c r="F425" s="2"/>
      <c r="O425" s="2"/>
    </row>
    <row r="426" spans="2:15" s="1" customFormat="1" x14ac:dyDescent="0.25">
      <c r="B426" s="12"/>
      <c r="D426" s="23"/>
      <c r="E426" s="2"/>
      <c r="F426" s="2"/>
      <c r="O426" s="2"/>
    </row>
    <row r="427" spans="2:15" s="1" customFormat="1" x14ac:dyDescent="0.25">
      <c r="B427" s="12"/>
      <c r="D427" s="23"/>
      <c r="E427" s="2"/>
      <c r="F427" s="2"/>
      <c r="O427" s="2"/>
    </row>
    <row r="428" spans="2:15" s="1" customFormat="1" x14ac:dyDescent="0.25">
      <c r="B428" s="12"/>
      <c r="D428" s="23"/>
      <c r="E428" s="2"/>
      <c r="F428" s="2"/>
      <c r="O428" s="2"/>
    </row>
    <row r="429" spans="2:15" s="1" customFormat="1" x14ac:dyDescent="0.25">
      <c r="B429" s="12"/>
      <c r="D429" s="23"/>
      <c r="E429" s="2"/>
      <c r="F429" s="2"/>
      <c r="O429" s="2"/>
    </row>
    <row r="430" spans="2:15" s="1" customFormat="1" x14ac:dyDescent="0.25">
      <c r="B430" s="12"/>
      <c r="D430" s="23"/>
      <c r="E430" s="2"/>
      <c r="F430" s="2"/>
      <c r="O430" s="2"/>
    </row>
    <row r="431" spans="2:15" s="1" customFormat="1" x14ac:dyDescent="0.25">
      <c r="B431" s="12"/>
      <c r="D431" s="23"/>
      <c r="E431" s="2"/>
      <c r="F431" s="2"/>
      <c r="O431" s="2"/>
    </row>
    <row r="432" spans="2:15" s="1" customFormat="1" x14ac:dyDescent="0.25">
      <c r="B432" s="12"/>
      <c r="D432" s="23"/>
      <c r="E432" s="2"/>
      <c r="F432" s="2"/>
      <c r="O432" s="2"/>
    </row>
    <row r="433" spans="2:15" s="1" customFormat="1" x14ac:dyDescent="0.25">
      <c r="B433" s="12"/>
      <c r="D433" s="23"/>
      <c r="E433" s="2"/>
      <c r="F433" s="2"/>
      <c r="O433" s="2"/>
    </row>
    <row r="434" spans="2:15" s="1" customFormat="1" x14ac:dyDescent="0.25">
      <c r="B434" s="12"/>
      <c r="D434" s="23"/>
      <c r="E434" s="2"/>
      <c r="F434" s="2"/>
      <c r="O434" s="2"/>
    </row>
    <row r="435" spans="2:15" s="1" customFormat="1" x14ac:dyDescent="0.25">
      <c r="B435" s="12"/>
      <c r="D435" s="23"/>
      <c r="E435" s="2"/>
      <c r="F435" s="2"/>
      <c r="O435" s="2"/>
    </row>
    <row r="436" spans="2:15" s="1" customFormat="1" x14ac:dyDescent="0.25">
      <c r="B436" s="12"/>
      <c r="D436" s="23"/>
      <c r="E436" s="2"/>
      <c r="F436" s="2"/>
      <c r="O436" s="2"/>
    </row>
    <row r="437" spans="2:15" s="1" customFormat="1" x14ac:dyDescent="0.25">
      <c r="B437" s="12"/>
      <c r="D437" s="23"/>
      <c r="E437" s="2"/>
      <c r="F437" s="2"/>
      <c r="O437" s="2"/>
    </row>
    <row r="438" spans="2:15" s="1" customFormat="1" x14ac:dyDescent="0.25">
      <c r="B438" s="12"/>
      <c r="D438" s="23"/>
      <c r="E438" s="2"/>
      <c r="F438" s="2"/>
      <c r="O438" s="2"/>
    </row>
    <row r="439" spans="2:15" s="1" customFormat="1" x14ac:dyDescent="0.25">
      <c r="B439" s="12"/>
      <c r="D439" s="23"/>
      <c r="E439" s="2"/>
      <c r="F439" s="2"/>
      <c r="O439" s="2"/>
    </row>
    <row r="440" spans="2:15" s="1" customFormat="1" x14ac:dyDescent="0.25">
      <c r="B440" s="12"/>
      <c r="D440" s="23"/>
      <c r="E440" s="2"/>
      <c r="F440" s="2"/>
      <c r="O440" s="2"/>
    </row>
    <row r="441" spans="2:15" s="1" customFormat="1" x14ac:dyDescent="0.25">
      <c r="B441" s="12"/>
      <c r="D441" s="23"/>
      <c r="E441" s="2"/>
      <c r="F441" s="2"/>
      <c r="O441" s="2"/>
    </row>
    <row r="442" spans="2:15" s="1" customFormat="1" x14ac:dyDescent="0.25">
      <c r="B442" s="12"/>
      <c r="D442" s="23"/>
      <c r="E442" s="2"/>
      <c r="F442" s="2"/>
      <c r="O442" s="2"/>
    </row>
    <row r="443" spans="2:15" s="1" customFormat="1" x14ac:dyDescent="0.25">
      <c r="B443" s="12"/>
      <c r="D443" s="23"/>
      <c r="E443" s="2"/>
      <c r="F443" s="2"/>
      <c r="O443" s="2"/>
    </row>
    <row r="444" spans="2:15" s="1" customFormat="1" x14ac:dyDescent="0.25">
      <c r="B444" s="12"/>
      <c r="D444" s="23"/>
      <c r="E444" s="2"/>
      <c r="F444" s="2"/>
      <c r="O444" s="2"/>
    </row>
    <row r="445" spans="2:15" s="1" customFormat="1" x14ac:dyDescent="0.25">
      <c r="B445" s="12"/>
      <c r="D445" s="23"/>
      <c r="E445" s="2"/>
      <c r="F445" s="2"/>
      <c r="O445" s="2"/>
    </row>
    <row r="446" spans="2:15" s="1" customFormat="1" x14ac:dyDescent="0.25">
      <c r="B446" s="12"/>
      <c r="D446" s="23"/>
      <c r="E446" s="2"/>
      <c r="F446" s="2"/>
      <c r="O446" s="2"/>
    </row>
    <row r="447" spans="2:15" s="1" customFormat="1" x14ac:dyDescent="0.25">
      <c r="B447" s="12"/>
      <c r="D447" s="23"/>
      <c r="E447" s="2"/>
      <c r="F447" s="2"/>
      <c r="O447" s="2"/>
    </row>
    <row r="448" spans="2:15" s="1" customFormat="1" x14ac:dyDescent="0.25">
      <c r="B448" s="12"/>
      <c r="D448" s="23"/>
      <c r="E448" s="2"/>
      <c r="F448" s="2"/>
      <c r="O448" s="2"/>
    </row>
    <row r="449" spans="2:15" s="1" customFormat="1" x14ac:dyDescent="0.25">
      <c r="B449" s="12"/>
      <c r="D449" s="23"/>
      <c r="E449" s="2"/>
      <c r="F449" s="2"/>
      <c r="O449" s="2"/>
    </row>
    <row r="450" spans="2:15" s="1" customFormat="1" x14ac:dyDescent="0.25">
      <c r="B450" s="12"/>
      <c r="D450" s="23"/>
      <c r="E450" s="2"/>
      <c r="F450" s="2"/>
      <c r="O450" s="2"/>
    </row>
    <row r="451" spans="2:15" s="1" customFormat="1" x14ac:dyDescent="0.25">
      <c r="B451" s="12"/>
      <c r="D451" s="23"/>
      <c r="E451" s="2"/>
      <c r="F451" s="2"/>
      <c r="O451" s="2"/>
    </row>
    <row r="452" spans="2:15" s="1" customFormat="1" x14ac:dyDescent="0.25">
      <c r="B452" s="12"/>
      <c r="D452" s="23"/>
      <c r="E452" s="2"/>
      <c r="F452" s="2"/>
      <c r="O452" s="2"/>
    </row>
    <row r="453" spans="2:15" s="1" customFormat="1" x14ac:dyDescent="0.25">
      <c r="B453" s="12"/>
      <c r="D453" s="23"/>
      <c r="E453" s="2"/>
      <c r="F453" s="2"/>
      <c r="O453" s="2"/>
    </row>
    <row r="454" spans="2:15" s="1" customFormat="1" x14ac:dyDescent="0.25">
      <c r="B454" s="12"/>
      <c r="D454" s="23"/>
      <c r="E454" s="2"/>
      <c r="F454" s="2"/>
      <c r="O454" s="2"/>
    </row>
    <row r="455" spans="2:15" s="1" customFormat="1" x14ac:dyDescent="0.25">
      <c r="B455" s="12"/>
      <c r="D455" s="23"/>
      <c r="E455" s="2"/>
      <c r="F455" s="2"/>
      <c r="O455" s="2"/>
    </row>
    <row r="456" spans="2:15" s="1" customFormat="1" x14ac:dyDescent="0.25">
      <c r="B456" s="12"/>
      <c r="D456" s="23"/>
      <c r="E456" s="2"/>
      <c r="F456" s="2"/>
      <c r="O456" s="2"/>
    </row>
    <row r="457" spans="2:15" s="1" customFormat="1" x14ac:dyDescent="0.25">
      <c r="B457" s="12"/>
      <c r="D457" s="23"/>
      <c r="E457" s="2"/>
      <c r="F457" s="2"/>
      <c r="O457" s="2"/>
    </row>
    <row r="458" spans="2:15" s="1" customFormat="1" x14ac:dyDescent="0.25">
      <c r="B458" s="12"/>
      <c r="D458" s="23"/>
      <c r="E458" s="2"/>
      <c r="F458" s="2"/>
      <c r="O458" s="2"/>
    </row>
    <row r="459" spans="2:15" s="1" customFormat="1" x14ac:dyDescent="0.25">
      <c r="B459" s="12"/>
      <c r="D459" s="23"/>
      <c r="E459" s="2"/>
      <c r="F459" s="2"/>
      <c r="O459" s="2"/>
    </row>
    <row r="460" spans="2:15" s="1" customFormat="1" x14ac:dyDescent="0.25">
      <c r="B460" s="12"/>
      <c r="D460" s="23"/>
      <c r="E460" s="2"/>
      <c r="F460" s="2"/>
      <c r="O460" s="2"/>
    </row>
    <row r="461" spans="2:15" s="1" customFormat="1" x14ac:dyDescent="0.25">
      <c r="B461" s="12"/>
      <c r="D461" s="23"/>
      <c r="E461" s="2"/>
      <c r="F461" s="2"/>
      <c r="O461" s="2"/>
    </row>
    <row r="462" spans="2:15" s="1" customFormat="1" x14ac:dyDescent="0.25">
      <c r="B462" s="12"/>
      <c r="D462" s="23"/>
      <c r="E462" s="2"/>
      <c r="F462" s="2"/>
      <c r="O462" s="2"/>
    </row>
    <row r="463" spans="2:15" s="1" customFormat="1" x14ac:dyDescent="0.25">
      <c r="B463" s="12"/>
      <c r="D463" s="23"/>
      <c r="E463" s="2"/>
      <c r="F463" s="2"/>
      <c r="O463" s="2"/>
    </row>
    <row r="464" spans="2:15" s="1" customFormat="1" x14ac:dyDescent="0.25">
      <c r="B464" s="12"/>
      <c r="D464" s="23"/>
      <c r="E464" s="2"/>
      <c r="F464" s="2"/>
      <c r="O464" s="2"/>
    </row>
    <row r="465" spans="2:15" s="1" customFormat="1" x14ac:dyDescent="0.25">
      <c r="B465" s="12"/>
      <c r="D465" s="23"/>
      <c r="E465" s="2"/>
      <c r="F465" s="2"/>
      <c r="O465" s="2"/>
    </row>
    <row r="466" spans="2:15" s="1" customFormat="1" x14ac:dyDescent="0.25">
      <c r="B466" s="12"/>
      <c r="D466" s="23"/>
      <c r="E466" s="2"/>
      <c r="F466" s="2"/>
      <c r="O466" s="2"/>
    </row>
    <row r="467" spans="2:15" s="1" customFormat="1" x14ac:dyDescent="0.25">
      <c r="B467" s="12"/>
      <c r="D467" s="23"/>
      <c r="E467" s="2"/>
      <c r="F467" s="2"/>
      <c r="O467" s="2"/>
    </row>
    <row r="468" spans="2:15" s="1" customFormat="1" x14ac:dyDescent="0.25">
      <c r="B468" s="12"/>
      <c r="D468" s="23"/>
      <c r="E468" s="2"/>
      <c r="F468" s="2"/>
      <c r="O468" s="2"/>
    </row>
    <row r="469" spans="2:15" s="1" customFormat="1" x14ac:dyDescent="0.25">
      <c r="B469" s="12"/>
      <c r="D469" s="23"/>
      <c r="E469" s="2"/>
      <c r="F469" s="2"/>
      <c r="O469" s="2"/>
    </row>
    <row r="470" spans="2:15" s="1" customFormat="1" x14ac:dyDescent="0.25">
      <c r="B470" s="12"/>
      <c r="D470" s="23"/>
      <c r="E470" s="2"/>
      <c r="F470" s="2"/>
      <c r="O470" s="2"/>
    </row>
    <row r="471" spans="2:15" s="1" customFormat="1" x14ac:dyDescent="0.25">
      <c r="B471" s="12"/>
      <c r="D471" s="23"/>
      <c r="E471" s="2"/>
      <c r="F471" s="2"/>
      <c r="O471" s="2"/>
    </row>
    <row r="472" spans="2:15" s="1" customFormat="1" x14ac:dyDescent="0.25">
      <c r="B472" s="12"/>
      <c r="D472" s="23"/>
      <c r="E472" s="2"/>
      <c r="F472" s="2"/>
      <c r="O472" s="2"/>
    </row>
    <row r="473" spans="2:15" s="1" customFormat="1" x14ac:dyDescent="0.25">
      <c r="B473" s="12"/>
      <c r="D473" s="23"/>
      <c r="E473" s="2"/>
      <c r="F473" s="2"/>
      <c r="O473" s="2"/>
    </row>
    <row r="474" spans="2:15" s="1" customFormat="1" x14ac:dyDescent="0.25">
      <c r="B474" s="12"/>
      <c r="D474" s="23"/>
      <c r="E474" s="2"/>
      <c r="F474" s="2"/>
      <c r="O474" s="2"/>
    </row>
    <row r="475" spans="2:15" s="1" customFormat="1" x14ac:dyDescent="0.25">
      <c r="B475" s="12"/>
      <c r="D475" s="23"/>
      <c r="E475" s="2"/>
      <c r="F475" s="2"/>
      <c r="O475" s="2"/>
    </row>
    <row r="476" spans="2:15" s="1" customFormat="1" x14ac:dyDescent="0.25">
      <c r="B476" s="12"/>
      <c r="D476" s="23"/>
      <c r="E476" s="2"/>
      <c r="F476" s="2"/>
      <c r="O476" s="2"/>
    </row>
    <row r="477" spans="2:15" s="1" customFormat="1" x14ac:dyDescent="0.25">
      <c r="B477" s="12"/>
      <c r="D477" s="23"/>
      <c r="E477" s="2"/>
      <c r="F477" s="2"/>
      <c r="O477" s="2"/>
    </row>
    <row r="478" spans="2:15" s="1" customFormat="1" x14ac:dyDescent="0.25">
      <c r="B478" s="12"/>
      <c r="D478" s="23"/>
      <c r="E478" s="2"/>
      <c r="F478" s="2"/>
      <c r="O478" s="2"/>
    </row>
    <row r="479" spans="2:15" s="1" customFormat="1" x14ac:dyDescent="0.25">
      <c r="B479" s="12"/>
      <c r="D479" s="23"/>
      <c r="E479" s="2"/>
      <c r="F479" s="2"/>
      <c r="O479" s="2"/>
    </row>
    <row r="480" spans="2:15" s="1" customFormat="1" x14ac:dyDescent="0.25">
      <c r="B480" s="12"/>
      <c r="D480" s="23"/>
      <c r="E480" s="2"/>
      <c r="F480" s="2"/>
      <c r="O480" s="2"/>
    </row>
    <row r="481" spans="2:15" s="1" customFormat="1" x14ac:dyDescent="0.25">
      <c r="B481" s="12"/>
      <c r="D481" s="23"/>
      <c r="E481" s="2"/>
      <c r="F481" s="2"/>
      <c r="O481" s="2"/>
    </row>
    <row r="482" spans="2:15" s="1" customFormat="1" x14ac:dyDescent="0.25">
      <c r="B482" s="12"/>
      <c r="D482" s="23"/>
      <c r="E482" s="2"/>
      <c r="F482" s="2"/>
      <c r="O482" s="2"/>
    </row>
    <row r="483" spans="2:15" s="1" customFormat="1" x14ac:dyDescent="0.25">
      <c r="B483" s="12"/>
      <c r="D483" s="23"/>
      <c r="E483" s="2"/>
      <c r="F483" s="2"/>
      <c r="O483" s="2"/>
    </row>
    <row r="484" spans="2:15" s="1" customFormat="1" x14ac:dyDescent="0.25">
      <c r="B484" s="12"/>
      <c r="D484" s="23"/>
      <c r="E484" s="2"/>
      <c r="F484" s="2"/>
      <c r="O484" s="2"/>
    </row>
    <row r="485" spans="2:15" s="1" customFormat="1" x14ac:dyDescent="0.25">
      <c r="B485" s="12"/>
      <c r="D485" s="23"/>
      <c r="E485" s="2"/>
      <c r="F485" s="2"/>
      <c r="O485" s="2"/>
    </row>
    <row r="486" spans="2:15" s="1" customFormat="1" x14ac:dyDescent="0.25">
      <c r="B486" s="12"/>
      <c r="D486" s="23"/>
      <c r="E486" s="2"/>
      <c r="F486" s="2"/>
      <c r="O486" s="2"/>
    </row>
    <row r="487" spans="2:15" s="1" customFormat="1" x14ac:dyDescent="0.25">
      <c r="B487" s="12"/>
      <c r="D487" s="23"/>
      <c r="E487" s="2"/>
      <c r="F487" s="2"/>
      <c r="O487" s="2"/>
    </row>
    <row r="488" spans="2:15" s="1" customFormat="1" x14ac:dyDescent="0.25">
      <c r="B488" s="12"/>
      <c r="D488" s="23"/>
      <c r="E488" s="2"/>
      <c r="F488" s="2"/>
      <c r="O488" s="2"/>
    </row>
    <row r="489" spans="2:15" s="1" customFormat="1" x14ac:dyDescent="0.25">
      <c r="B489" s="12"/>
      <c r="D489" s="23"/>
      <c r="E489" s="2"/>
      <c r="F489" s="2"/>
      <c r="O489" s="2"/>
    </row>
    <row r="490" spans="2:15" s="1" customFormat="1" x14ac:dyDescent="0.25">
      <c r="B490" s="12"/>
      <c r="D490" s="23"/>
      <c r="E490" s="2"/>
      <c r="F490" s="2"/>
      <c r="O490" s="2"/>
    </row>
    <row r="491" spans="2:15" s="1" customFormat="1" x14ac:dyDescent="0.25">
      <c r="B491" s="12"/>
      <c r="D491" s="23"/>
      <c r="E491" s="2"/>
      <c r="F491" s="2"/>
      <c r="O491" s="2"/>
    </row>
    <row r="492" spans="2:15" s="1" customFormat="1" x14ac:dyDescent="0.25">
      <c r="B492" s="12"/>
      <c r="D492" s="23"/>
      <c r="E492" s="2"/>
      <c r="F492" s="2"/>
      <c r="O492" s="2"/>
    </row>
    <row r="493" spans="2:15" s="1" customFormat="1" x14ac:dyDescent="0.25">
      <c r="B493" s="12"/>
      <c r="D493" s="23"/>
      <c r="E493" s="2"/>
      <c r="F493" s="2"/>
      <c r="O493" s="2"/>
    </row>
    <row r="494" spans="2:15" s="1" customFormat="1" x14ac:dyDescent="0.25">
      <c r="B494" s="12"/>
      <c r="D494" s="23"/>
      <c r="E494" s="2"/>
      <c r="F494" s="2"/>
      <c r="O494" s="2"/>
    </row>
    <row r="495" spans="2:15" s="1" customFormat="1" x14ac:dyDescent="0.25">
      <c r="B495" s="12"/>
      <c r="D495" s="23"/>
      <c r="E495" s="2"/>
      <c r="F495" s="2"/>
      <c r="O495" s="2"/>
    </row>
    <row r="496" spans="2:15" s="1" customFormat="1" x14ac:dyDescent="0.25">
      <c r="B496" s="12"/>
      <c r="D496" s="23"/>
      <c r="E496" s="2"/>
      <c r="F496" s="2"/>
      <c r="O496" s="2"/>
    </row>
    <row r="497" spans="2:15" s="1" customFormat="1" x14ac:dyDescent="0.25">
      <c r="B497" s="12"/>
      <c r="D497" s="23"/>
      <c r="E497" s="2"/>
      <c r="F497" s="2"/>
      <c r="O497" s="2"/>
    </row>
    <row r="498" spans="2:15" s="1" customFormat="1" x14ac:dyDescent="0.25">
      <c r="B498" s="12"/>
      <c r="D498" s="23"/>
      <c r="E498" s="2"/>
      <c r="F498" s="2"/>
      <c r="O498" s="2"/>
    </row>
    <row r="499" spans="2:15" s="1" customFormat="1" x14ac:dyDescent="0.25">
      <c r="B499" s="12"/>
      <c r="D499" s="23"/>
      <c r="E499" s="2"/>
      <c r="F499" s="2"/>
      <c r="O499" s="2"/>
    </row>
    <row r="500" spans="2:15" s="1" customFormat="1" x14ac:dyDescent="0.25">
      <c r="B500" s="12"/>
      <c r="D500" s="23"/>
      <c r="E500" s="2"/>
      <c r="F500" s="2"/>
      <c r="O500" s="2"/>
    </row>
    <row r="501" spans="2:15" s="1" customFormat="1" x14ac:dyDescent="0.25">
      <c r="B501" s="12"/>
      <c r="D501" s="23"/>
      <c r="E501" s="2"/>
      <c r="F501" s="2"/>
      <c r="O501" s="2"/>
    </row>
    <row r="502" spans="2:15" s="1" customFormat="1" x14ac:dyDescent="0.25">
      <c r="B502" s="12"/>
      <c r="D502" s="23"/>
      <c r="E502" s="2"/>
      <c r="F502" s="2"/>
      <c r="O502" s="2"/>
    </row>
    <row r="503" spans="2:15" s="1" customFormat="1" x14ac:dyDescent="0.25">
      <c r="B503" s="12"/>
      <c r="D503" s="23"/>
      <c r="E503" s="2"/>
      <c r="F503" s="2"/>
      <c r="O503" s="2"/>
    </row>
    <row r="504" spans="2:15" s="1" customFormat="1" x14ac:dyDescent="0.25">
      <c r="B504" s="12"/>
      <c r="D504" s="23"/>
      <c r="E504" s="2"/>
      <c r="F504" s="2"/>
      <c r="O504" s="2"/>
    </row>
    <row r="505" spans="2:15" s="1" customFormat="1" x14ac:dyDescent="0.25">
      <c r="B505" s="12"/>
      <c r="D505" s="23"/>
      <c r="E505" s="2"/>
      <c r="F505" s="2"/>
      <c r="O505" s="2"/>
    </row>
    <row r="506" spans="2:15" s="1" customFormat="1" x14ac:dyDescent="0.25">
      <c r="B506" s="12"/>
      <c r="D506" s="23"/>
      <c r="E506" s="2"/>
      <c r="F506" s="2"/>
      <c r="O506" s="2"/>
    </row>
    <row r="507" spans="2:15" s="1" customFormat="1" x14ac:dyDescent="0.25">
      <c r="B507" s="12"/>
      <c r="D507" s="23"/>
      <c r="E507" s="2"/>
      <c r="F507" s="2"/>
      <c r="O507" s="2"/>
    </row>
    <row r="508" spans="2:15" s="1" customFormat="1" x14ac:dyDescent="0.25">
      <c r="B508" s="12"/>
      <c r="D508" s="23"/>
      <c r="E508" s="2"/>
      <c r="F508" s="2"/>
      <c r="O508" s="2"/>
    </row>
    <row r="509" spans="2:15" s="1" customFormat="1" x14ac:dyDescent="0.25">
      <c r="B509" s="12"/>
      <c r="D509" s="23"/>
      <c r="E509" s="2"/>
      <c r="F509" s="2"/>
      <c r="O509" s="2"/>
    </row>
    <row r="510" spans="2:15" s="1" customFormat="1" x14ac:dyDescent="0.25">
      <c r="B510" s="12"/>
      <c r="D510" s="23"/>
      <c r="E510" s="2"/>
      <c r="F510" s="2"/>
      <c r="O510" s="2"/>
    </row>
    <row r="511" spans="2:15" s="1" customFormat="1" x14ac:dyDescent="0.25">
      <c r="B511" s="12"/>
      <c r="D511" s="23"/>
      <c r="E511" s="2"/>
      <c r="F511" s="2"/>
      <c r="O511" s="2"/>
    </row>
    <row r="512" spans="2:15" s="1" customFormat="1" x14ac:dyDescent="0.25">
      <c r="B512" s="12"/>
      <c r="D512" s="23"/>
      <c r="E512" s="2"/>
      <c r="F512" s="2"/>
      <c r="O512" s="2"/>
    </row>
    <row r="513" spans="2:15" s="1" customFormat="1" x14ac:dyDescent="0.25">
      <c r="B513" s="12"/>
      <c r="D513" s="23"/>
      <c r="E513" s="2"/>
      <c r="F513" s="2"/>
      <c r="O513" s="2"/>
    </row>
    <row r="514" spans="2:15" s="1" customFormat="1" x14ac:dyDescent="0.25">
      <c r="B514" s="12"/>
      <c r="D514" s="23"/>
      <c r="E514" s="2"/>
      <c r="F514" s="2"/>
      <c r="O514" s="2"/>
    </row>
    <row r="515" spans="2:15" s="1" customFormat="1" x14ac:dyDescent="0.25">
      <c r="B515" s="12"/>
      <c r="D515" s="23"/>
      <c r="E515" s="2"/>
      <c r="F515" s="2"/>
      <c r="O515" s="2"/>
    </row>
    <row r="516" spans="2:15" s="1" customFormat="1" x14ac:dyDescent="0.25">
      <c r="B516" s="12"/>
      <c r="D516" s="23"/>
      <c r="E516" s="2"/>
      <c r="F516" s="2"/>
      <c r="O516" s="2"/>
    </row>
    <row r="517" spans="2:15" s="1" customFormat="1" x14ac:dyDescent="0.25">
      <c r="B517" s="12"/>
      <c r="D517" s="23"/>
      <c r="E517" s="2"/>
      <c r="F517" s="2"/>
      <c r="O517" s="2"/>
    </row>
    <row r="518" spans="2:15" s="1" customFormat="1" x14ac:dyDescent="0.25">
      <c r="B518" s="12"/>
      <c r="D518" s="23"/>
      <c r="E518" s="2"/>
      <c r="F518" s="2"/>
      <c r="O518" s="2"/>
    </row>
    <row r="519" spans="2:15" s="1" customFormat="1" x14ac:dyDescent="0.25">
      <c r="B519" s="12"/>
      <c r="D519" s="23"/>
      <c r="E519" s="2"/>
      <c r="F519" s="2"/>
      <c r="O519" s="2"/>
    </row>
    <row r="520" spans="2:15" s="1" customFormat="1" x14ac:dyDescent="0.25">
      <c r="B520" s="12"/>
      <c r="D520" s="23"/>
      <c r="E520" s="2"/>
      <c r="F520" s="2"/>
      <c r="O520" s="2"/>
    </row>
    <row r="521" spans="2:15" s="1" customFormat="1" x14ac:dyDescent="0.25">
      <c r="B521" s="12"/>
      <c r="D521" s="23"/>
      <c r="E521" s="2"/>
      <c r="F521" s="2"/>
      <c r="O521" s="2"/>
    </row>
    <row r="522" spans="2:15" s="1" customFormat="1" x14ac:dyDescent="0.25">
      <c r="B522" s="12"/>
      <c r="D522" s="23"/>
      <c r="E522" s="2"/>
      <c r="F522" s="2"/>
      <c r="O522" s="2"/>
    </row>
    <row r="523" spans="2:15" s="1" customFormat="1" x14ac:dyDescent="0.25">
      <c r="B523" s="12"/>
      <c r="D523" s="23"/>
      <c r="E523" s="2"/>
      <c r="F523" s="2"/>
      <c r="O523" s="2"/>
    </row>
    <row r="524" spans="2:15" s="1" customFormat="1" x14ac:dyDescent="0.25">
      <c r="B524" s="12"/>
      <c r="D524" s="23"/>
      <c r="E524" s="2"/>
      <c r="F524" s="2"/>
      <c r="O524" s="2"/>
    </row>
    <row r="525" spans="2:15" s="1" customFormat="1" x14ac:dyDescent="0.25">
      <c r="B525" s="12"/>
      <c r="D525" s="23"/>
      <c r="E525" s="2"/>
      <c r="F525" s="2"/>
      <c r="O525" s="2"/>
    </row>
    <row r="526" spans="2:15" s="1" customFormat="1" x14ac:dyDescent="0.25">
      <c r="B526" s="12"/>
      <c r="D526" s="23"/>
      <c r="E526" s="2"/>
      <c r="F526" s="2"/>
      <c r="O526" s="2"/>
    </row>
    <row r="527" spans="2:15" s="1" customFormat="1" x14ac:dyDescent="0.25">
      <c r="B527" s="12"/>
      <c r="D527" s="23"/>
      <c r="E527" s="2"/>
      <c r="F527" s="2"/>
      <c r="O527" s="2"/>
    </row>
    <row r="528" spans="2:15" s="1" customFormat="1" x14ac:dyDescent="0.25">
      <c r="B528" s="12"/>
      <c r="D528" s="23"/>
      <c r="E528" s="2"/>
      <c r="F528" s="2"/>
      <c r="O528" s="2"/>
    </row>
    <row r="529" spans="2:15" s="1" customFormat="1" x14ac:dyDescent="0.25">
      <c r="B529" s="12"/>
      <c r="D529" s="23"/>
      <c r="E529" s="2"/>
      <c r="F529" s="2"/>
      <c r="O529" s="2"/>
    </row>
    <row r="530" spans="2:15" s="1" customFormat="1" x14ac:dyDescent="0.25">
      <c r="B530" s="12"/>
      <c r="D530" s="23"/>
      <c r="E530" s="2"/>
      <c r="F530" s="2"/>
      <c r="O530" s="2"/>
    </row>
    <row r="531" spans="2:15" s="1" customFormat="1" x14ac:dyDescent="0.25">
      <c r="B531" s="12"/>
      <c r="D531" s="23"/>
      <c r="E531" s="2"/>
      <c r="F531" s="2"/>
      <c r="O531" s="2"/>
    </row>
    <row r="532" spans="2:15" s="1" customFormat="1" x14ac:dyDescent="0.25">
      <c r="B532" s="12"/>
      <c r="D532" s="23"/>
      <c r="E532" s="2"/>
      <c r="F532" s="2"/>
      <c r="O532" s="2"/>
    </row>
    <row r="533" spans="2:15" s="1" customFormat="1" x14ac:dyDescent="0.25">
      <c r="B533" s="12"/>
      <c r="D533" s="23"/>
      <c r="E533" s="2"/>
      <c r="F533" s="2"/>
      <c r="O533" s="2"/>
    </row>
    <row r="534" spans="2:15" s="1" customFormat="1" x14ac:dyDescent="0.25">
      <c r="B534" s="12"/>
      <c r="D534" s="23"/>
      <c r="E534" s="2"/>
      <c r="F534" s="2"/>
      <c r="O534" s="2"/>
    </row>
    <row r="535" spans="2:15" s="1" customFormat="1" x14ac:dyDescent="0.25">
      <c r="B535" s="12"/>
      <c r="D535" s="23"/>
      <c r="E535" s="2"/>
      <c r="F535" s="2"/>
      <c r="O535" s="2"/>
    </row>
    <row r="536" spans="2:15" s="1" customFormat="1" x14ac:dyDescent="0.25">
      <c r="B536" s="12"/>
      <c r="D536" s="23"/>
      <c r="E536" s="2"/>
      <c r="F536" s="2"/>
      <c r="O536" s="2"/>
    </row>
    <row r="537" spans="2:15" s="1" customFormat="1" x14ac:dyDescent="0.25">
      <c r="B537" s="12"/>
      <c r="D537" s="23"/>
      <c r="E537" s="2"/>
      <c r="F537" s="2"/>
      <c r="O537" s="2"/>
    </row>
    <row r="538" spans="2:15" s="1" customFormat="1" x14ac:dyDescent="0.25">
      <c r="B538" s="12"/>
      <c r="D538" s="23"/>
      <c r="E538" s="2"/>
      <c r="F538" s="2"/>
      <c r="O538" s="2"/>
    </row>
    <row r="539" spans="2:15" s="1" customFormat="1" x14ac:dyDescent="0.25">
      <c r="B539" s="12"/>
      <c r="D539" s="23"/>
      <c r="E539" s="2"/>
      <c r="F539" s="2"/>
      <c r="O539" s="2"/>
    </row>
    <row r="540" spans="2:15" s="1" customFormat="1" x14ac:dyDescent="0.25">
      <c r="B540" s="12"/>
      <c r="D540" s="23"/>
      <c r="E540" s="2"/>
      <c r="F540" s="2"/>
      <c r="O540" s="2"/>
    </row>
    <row r="541" spans="2:15" s="1" customFormat="1" x14ac:dyDescent="0.25">
      <c r="B541" s="12"/>
      <c r="D541" s="23"/>
      <c r="E541" s="2"/>
      <c r="F541" s="2"/>
      <c r="O541" s="2"/>
    </row>
    <row r="542" spans="2:15" s="1" customFormat="1" x14ac:dyDescent="0.25">
      <c r="B542" s="12"/>
      <c r="D542" s="23"/>
      <c r="E542" s="2"/>
      <c r="F542" s="2"/>
      <c r="O542" s="2"/>
    </row>
    <row r="543" spans="2:15" s="1" customFormat="1" x14ac:dyDescent="0.25">
      <c r="B543" s="12"/>
      <c r="D543" s="23"/>
      <c r="E543" s="2"/>
      <c r="F543" s="2"/>
      <c r="O543" s="2"/>
    </row>
    <row r="544" spans="2:15" s="1" customFormat="1" x14ac:dyDescent="0.25">
      <c r="B544" s="12"/>
      <c r="D544" s="23"/>
      <c r="E544" s="2"/>
      <c r="F544" s="2"/>
      <c r="O544" s="2"/>
    </row>
    <row r="545" spans="2:15" s="1" customFormat="1" x14ac:dyDescent="0.25">
      <c r="B545" s="12"/>
      <c r="D545" s="23"/>
      <c r="E545" s="2"/>
      <c r="F545" s="2"/>
      <c r="O545" s="2"/>
    </row>
    <row r="546" spans="2:15" s="1" customFormat="1" x14ac:dyDescent="0.25">
      <c r="B546" s="12"/>
      <c r="D546" s="23"/>
      <c r="E546" s="2"/>
      <c r="F546" s="2"/>
      <c r="O546" s="2"/>
    </row>
    <row r="547" spans="2:15" s="1" customFormat="1" x14ac:dyDescent="0.25">
      <c r="B547" s="12"/>
      <c r="D547" s="23"/>
      <c r="E547" s="2"/>
      <c r="F547" s="2"/>
      <c r="O547" s="2"/>
    </row>
    <row r="548" spans="2:15" s="1" customFormat="1" x14ac:dyDescent="0.25">
      <c r="B548" s="12"/>
      <c r="D548" s="23"/>
      <c r="E548" s="2"/>
      <c r="F548" s="2"/>
      <c r="O548" s="2"/>
    </row>
    <row r="549" spans="2:15" s="1" customFormat="1" x14ac:dyDescent="0.25">
      <c r="B549" s="12"/>
      <c r="D549" s="23"/>
      <c r="E549" s="2"/>
      <c r="F549" s="2"/>
      <c r="O549" s="2"/>
    </row>
    <row r="550" spans="2:15" s="1" customFormat="1" x14ac:dyDescent="0.25">
      <c r="B550" s="12"/>
      <c r="D550" s="23"/>
      <c r="E550" s="2"/>
      <c r="F550" s="2"/>
      <c r="O550" s="2"/>
    </row>
    <row r="551" spans="2:15" s="1" customFormat="1" x14ac:dyDescent="0.25">
      <c r="B551" s="12"/>
      <c r="D551" s="23"/>
      <c r="E551" s="2"/>
      <c r="F551" s="2"/>
      <c r="O551" s="2"/>
    </row>
    <row r="552" spans="2:15" s="1" customFormat="1" x14ac:dyDescent="0.25">
      <c r="B552" s="12"/>
      <c r="D552" s="23"/>
      <c r="E552" s="2"/>
      <c r="F552" s="2"/>
      <c r="O552" s="2"/>
    </row>
    <row r="553" spans="2:15" s="1" customFormat="1" x14ac:dyDescent="0.25">
      <c r="B553" s="12"/>
      <c r="D553" s="23"/>
      <c r="E553" s="2"/>
      <c r="F553" s="2"/>
      <c r="O553" s="2"/>
    </row>
    <row r="554" spans="2:15" s="1" customFormat="1" x14ac:dyDescent="0.25">
      <c r="B554" s="12"/>
      <c r="D554" s="23"/>
      <c r="E554" s="2"/>
      <c r="F554" s="2"/>
      <c r="O554" s="2"/>
    </row>
    <row r="555" spans="2:15" s="1" customFormat="1" x14ac:dyDescent="0.25">
      <c r="B555" s="12"/>
      <c r="D555" s="23"/>
      <c r="E555" s="2"/>
      <c r="F555" s="2"/>
      <c r="O555" s="2"/>
    </row>
    <row r="556" spans="2:15" s="1" customFormat="1" x14ac:dyDescent="0.25">
      <c r="B556" s="12"/>
      <c r="D556" s="23"/>
      <c r="E556" s="2"/>
      <c r="F556" s="2"/>
      <c r="O556" s="2"/>
    </row>
    <row r="557" spans="2:15" s="1" customFormat="1" x14ac:dyDescent="0.25">
      <c r="B557" s="12"/>
      <c r="D557" s="23"/>
      <c r="E557" s="2"/>
      <c r="F557" s="2"/>
      <c r="O557" s="2"/>
    </row>
    <row r="558" spans="2:15" s="1" customFormat="1" x14ac:dyDescent="0.25">
      <c r="B558" s="12"/>
      <c r="D558" s="23"/>
      <c r="E558" s="2"/>
      <c r="F558" s="2"/>
      <c r="O558" s="2"/>
    </row>
    <row r="559" spans="2:15" s="1" customFormat="1" x14ac:dyDescent="0.25">
      <c r="B559" s="12"/>
      <c r="D559" s="23"/>
      <c r="E559" s="2"/>
      <c r="F559" s="2"/>
      <c r="O559" s="2"/>
    </row>
    <row r="560" spans="2:15" s="1" customFormat="1" x14ac:dyDescent="0.25">
      <c r="B560" s="12"/>
      <c r="D560" s="23"/>
      <c r="E560" s="2"/>
      <c r="F560" s="2"/>
      <c r="O560" s="2"/>
    </row>
    <row r="561" spans="2:15" s="1" customFormat="1" x14ac:dyDescent="0.25">
      <c r="B561" s="12"/>
      <c r="D561" s="23"/>
      <c r="E561" s="2"/>
      <c r="F561" s="2"/>
      <c r="O561" s="2"/>
    </row>
    <row r="562" spans="2:15" s="1" customFormat="1" x14ac:dyDescent="0.25">
      <c r="B562" s="12"/>
      <c r="D562" s="23"/>
      <c r="E562" s="2"/>
      <c r="F562" s="2"/>
      <c r="O562" s="2"/>
    </row>
    <row r="563" spans="2:15" s="1" customFormat="1" x14ac:dyDescent="0.25">
      <c r="B563" s="12"/>
      <c r="D563" s="23"/>
      <c r="E563" s="2"/>
      <c r="F563" s="2"/>
      <c r="O563" s="2"/>
    </row>
    <row r="564" spans="2:15" s="1" customFormat="1" x14ac:dyDescent="0.25">
      <c r="B564" s="12"/>
      <c r="D564" s="23"/>
      <c r="E564" s="2"/>
      <c r="F564" s="2"/>
      <c r="O564" s="2"/>
    </row>
    <row r="565" spans="2:15" s="1" customFormat="1" x14ac:dyDescent="0.25">
      <c r="B565" s="12"/>
      <c r="D565" s="23"/>
      <c r="E565" s="2"/>
      <c r="F565" s="2"/>
      <c r="O565" s="2"/>
    </row>
    <row r="566" spans="2:15" s="1" customFormat="1" x14ac:dyDescent="0.25">
      <c r="B566" s="12"/>
      <c r="D566" s="23"/>
      <c r="E566" s="2"/>
      <c r="F566" s="2"/>
      <c r="O566" s="2"/>
    </row>
    <row r="567" spans="2:15" s="1" customFormat="1" x14ac:dyDescent="0.25">
      <c r="B567" s="12"/>
      <c r="D567" s="23"/>
      <c r="E567" s="2"/>
      <c r="F567" s="2"/>
      <c r="O567" s="2"/>
    </row>
    <row r="568" spans="2:15" s="1" customFormat="1" x14ac:dyDescent="0.25">
      <c r="B568" s="12"/>
      <c r="D568" s="23"/>
      <c r="E568" s="2"/>
      <c r="F568" s="2"/>
      <c r="O568" s="2"/>
    </row>
    <row r="569" spans="2:15" s="1" customFormat="1" x14ac:dyDescent="0.25">
      <c r="B569" s="12"/>
      <c r="D569" s="23"/>
      <c r="E569" s="2"/>
      <c r="F569" s="2"/>
      <c r="O569" s="2"/>
    </row>
    <row r="570" spans="2:15" s="1" customFormat="1" x14ac:dyDescent="0.25">
      <c r="B570" s="12"/>
      <c r="D570" s="23"/>
      <c r="E570" s="2"/>
      <c r="F570" s="2"/>
      <c r="O570" s="2"/>
    </row>
    <row r="571" spans="2:15" s="1" customFormat="1" x14ac:dyDescent="0.25">
      <c r="B571" s="12"/>
      <c r="D571" s="23"/>
      <c r="E571" s="2"/>
      <c r="F571" s="2"/>
      <c r="O571" s="2"/>
    </row>
    <row r="572" spans="2:15" s="1" customFormat="1" x14ac:dyDescent="0.25">
      <c r="B572" s="12"/>
      <c r="D572" s="23"/>
      <c r="E572" s="2"/>
      <c r="F572" s="2"/>
      <c r="O572" s="2"/>
    </row>
    <row r="573" spans="2:15" s="1" customFormat="1" x14ac:dyDescent="0.25">
      <c r="B573" s="12"/>
      <c r="D573" s="23"/>
      <c r="E573" s="2"/>
      <c r="F573" s="2"/>
      <c r="O573" s="2"/>
    </row>
    <row r="574" spans="2:15" s="1" customFormat="1" x14ac:dyDescent="0.25">
      <c r="B574" s="12"/>
      <c r="D574" s="23"/>
      <c r="E574" s="2"/>
      <c r="F574" s="2"/>
      <c r="O574" s="2"/>
    </row>
    <row r="575" spans="2:15" s="1" customFormat="1" x14ac:dyDescent="0.25">
      <c r="B575" s="12"/>
      <c r="D575" s="23"/>
      <c r="E575" s="2"/>
      <c r="F575" s="2"/>
      <c r="O575" s="2"/>
    </row>
    <row r="576" spans="2:15" s="1" customFormat="1" x14ac:dyDescent="0.25">
      <c r="B576" s="12"/>
      <c r="D576" s="23"/>
      <c r="E576" s="2"/>
      <c r="F576" s="2"/>
      <c r="O576" s="2"/>
    </row>
    <row r="577" spans="2:15" s="1" customFormat="1" x14ac:dyDescent="0.25">
      <c r="B577" s="12"/>
      <c r="D577" s="23"/>
      <c r="E577" s="2"/>
      <c r="F577" s="2"/>
      <c r="O577" s="2"/>
    </row>
    <row r="578" spans="2:15" s="1" customFormat="1" x14ac:dyDescent="0.25">
      <c r="B578" s="12"/>
      <c r="D578" s="23"/>
      <c r="E578" s="2"/>
      <c r="F578" s="2"/>
      <c r="O578" s="2"/>
    </row>
    <row r="579" spans="2:15" s="1" customFormat="1" x14ac:dyDescent="0.25">
      <c r="B579" s="12"/>
      <c r="D579" s="23"/>
      <c r="E579" s="2"/>
      <c r="F579" s="2"/>
      <c r="O579" s="2"/>
    </row>
    <row r="580" spans="2:15" s="1" customFormat="1" x14ac:dyDescent="0.25">
      <c r="B580" s="12"/>
      <c r="D580" s="23"/>
      <c r="E580" s="2"/>
      <c r="F580" s="2"/>
      <c r="O580" s="2"/>
    </row>
    <row r="581" spans="2:15" s="1" customFormat="1" x14ac:dyDescent="0.25">
      <c r="B581" s="12"/>
      <c r="D581" s="23"/>
      <c r="E581" s="2"/>
      <c r="F581" s="2"/>
      <c r="O581" s="2"/>
    </row>
    <row r="582" spans="2:15" s="1" customFormat="1" x14ac:dyDescent="0.25">
      <c r="B582" s="12"/>
      <c r="D582" s="23"/>
      <c r="E582" s="2"/>
      <c r="F582" s="2"/>
      <c r="O582" s="2"/>
    </row>
    <row r="583" spans="2:15" s="1" customFormat="1" x14ac:dyDescent="0.25">
      <c r="B583" s="12"/>
      <c r="D583" s="23"/>
      <c r="E583" s="2"/>
      <c r="F583" s="2"/>
      <c r="O583" s="2"/>
    </row>
    <row r="584" spans="2:15" s="1" customFormat="1" x14ac:dyDescent="0.25">
      <c r="B584" s="12"/>
      <c r="D584" s="23"/>
      <c r="E584" s="2"/>
      <c r="F584" s="2"/>
      <c r="O584" s="2"/>
    </row>
    <row r="585" spans="2:15" s="1" customFormat="1" x14ac:dyDescent="0.25">
      <c r="B585" s="12"/>
      <c r="D585" s="23"/>
      <c r="E585" s="2"/>
      <c r="F585" s="2"/>
      <c r="O585" s="2"/>
    </row>
    <row r="586" spans="2:15" s="1" customFormat="1" x14ac:dyDescent="0.25">
      <c r="B586" s="12"/>
      <c r="D586" s="23"/>
      <c r="E586" s="2"/>
      <c r="F586" s="2"/>
      <c r="O586" s="2"/>
    </row>
    <row r="587" spans="2:15" s="1" customFormat="1" x14ac:dyDescent="0.25">
      <c r="B587" s="12"/>
      <c r="D587" s="23"/>
      <c r="E587" s="2"/>
      <c r="F587" s="2"/>
      <c r="O587" s="2"/>
    </row>
    <row r="588" spans="2:15" s="1" customFormat="1" x14ac:dyDescent="0.25">
      <c r="B588" s="12"/>
      <c r="D588" s="23"/>
      <c r="E588" s="2"/>
      <c r="F588" s="2"/>
      <c r="O588" s="2"/>
    </row>
    <row r="589" spans="2:15" s="1" customFormat="1" x14ac:dyDescent="0.25">
      <c r="B589" s="12"/>
      <c r="D589" s="23"/>
      <c r="E589" s="2"/>
      <c r="F589" s="2"/>
      <c r="O589" s="2"/>
    </row>
    <row r="590" spans="2:15" s="1" customFormat="1" x14ac:dyDescent="0.25">
      <c r="B590" s="12"/>
      <c r="D590" s="23"/>
      <c r="E590" s="2"/>
      <c r="F590" s="2"/>
      <c r="O590" s="2"/>
    </row>
    <row r="591" spans="2:15" s="1" customFormat="1" x14ac:dyDescent="0.25">
      <c r="B591" s="12"/>
      <c r="D591" s="23"/>
      <c r="E591" s="2"/>
      <c r="F591" s="2"/>
      <c r="O591" s="2"/>
    </row>
    <row r="592" spans="2:15" s="1" customFormat="1" x14ac:dyDescent="0.25">
      <c r="B592" s="12"/>
      <c r="D592" s="23"/>
      <c r="E592" s="2"/>
      <c r="F592" s="2"/>
      <c r="O592" s="2"/>
    </row>
    <row r="593" spans="2:15" s="1" customFormat="1" x14ac:dyDescent="0.25">
      <c r="B593" s="12"/>
      <c r="D593" s="23"/>
      <c r="E593" s="2"/>
      <c r="F593" s="2"/>
      <c r="O593" s="2"/>
    </row>
    <row r="594" spans="2:15" s="1" customFormat="1" x14ac:dyDescent="0.25">
      <c r="B594" s="12"/>
      <c r="D594" s="23"/>
      <c r="E594" s="2"/>
      <c r="F594" s="2"/>
      <c r="O594" s="2"/>
    </row>
    <row r="595" spans="2:15" s="1" customFormat="1" x14ac:dyDescent="0.25">
      <c r="B595" s="12"/>
      <c r="D595" s="23"/>
      <c r="E595" s="2"/>
      <c r="F595" s="2"/>
      <c r="O595" s="2"/>
    </row>
    <row r="596" spans="2:15" s="1" customFormat="1" x14ac:dyDescent="0.25">
      <c r="B596" s="12"/>
      <c r="D596" s="23"/>
      <c r="E596" s="2"/>
      <c r="F596" s="2"/>
      <c r="O596" s="2"/>
    </row>
    <row r="597" spans="2:15" s="1" customFormat="1" x14ac:dyDescent="0.25">
      <c r="B597" s="12"/>
      <c r="D597" s="23"/>
      <c r="E597" s="2"/>
      <c r="F597" s="2"/>
      <c r="O597" s="2"/>
    </row>
    <row r="598" spans="2:15" s="1" customFormat="1" x14ac:dyDescent="0.25">
      <c r="B598" s="12"/>
      <c r="D598" s="23"/>
      <c r="E598" s="2"/>
      <c r="F598" s="2"/>
      <c r="O598" s="2"/>
    </row>
    <row r="599" spans="2:15" s="1" customFormat="1" x14ac:dyDescent="0.25">
      <c r="B599" s="12"/>
      <c r="D599" s="23"/>
      <c r="E599" s="2"/>
      <c r="F599" s="2"/>
      <c r="O599" s="2"/>
    </row>
    <row r="600" spans="2:15" s="1" customFormat="1" x14ac:dyDescent="0.25">
      <c r="B600" s="12"/>
      <c r="D600" s="23"/>
      <c r="E600" s="2"/>
      <c r="F600" s="2"/>
      <c r="O600" s="2"/>
    </row>
    <row r="601" spans="2:15" s="1" customFormat="1" x14ac:dyDescent="0.25">
      <c r="B601" s="12"/>
      <c r="D601" s="23"/>
      <c r="E601" s="2"/>
      <c r="F601" s="2"/>
      <c r="O601" s="2"/>
    </row>
    <row r="602" spans="2:15" s="1" customFormat="1" x14ac:dyDescent="0.25">
      <c r="B602" s="12"/>
      <c r="D602" s="23"/>
      <c r="E602" s="2"/>
      <c r="F602" s="2"/>
      <c r="O602" s="2"/>
    </row>
    <row r="603" spans="2:15" s="1" customFormat="1" x14ac:dyDescent="0.25">
      <c r="B603" s="12"/>
      <c r="D603" s="23"/>
      <c r="E603" s="2"/>
      <c r="F603" s="2"/>
      <c r="O603" s="2"/>
    </row>
    <row r="604" spans="2:15" s="1" customFormat="1" x14ac:dyDescent="0.25">
      <c r="B604" s="12"/>
      <c r="D604" s="23"/>
      <c r="E604" s="2"/>
      <c r="F604" s="2"/>
      <c r="O604" s="2"/>
    </row>
    <row r="605" spans="2:15" s="1" customFormat="1" x14ac:dyDescent="0.25">
      <c r="B605" s="12"/>
      <c r="D605" s="23"/>
      <c r="E605" s="2"/>
      <c r="F605" s="2"/>
      <c r="O605" s="2"/>
    </row>
    <row r="606" spans="2:15" s="1" customFormat="1" x14ac:dyDescent="0.25">
      <c r="B606" s="12"/>
      <c r="D606" s="23"/>
      <c r="E606" s="2"/>
      <c r="F606" s="2"/>
      <c r="O606" s="2"/>
    </row>
    <row r="607" spans="2:15" s="1" customFormat="1" x14ac:dyDescent="0.25">
      <c r="B607" s="12"/>
      <c r="D607" s="23"/>
      <c r="E607" s="2"/>
      <c r="F607" s="2"/>
      <c r="O607" s="2"/>
    </row>
    <row r="608" spans="2:15" s="1" customFormat="1" x14ac:dyDescent="0.25">
      <c r="B608" s="12"/>
      <c r="D608" s="23"/>
      <c r="E608" s="2"/>
      <c r="F608" s="2"/>
      <c r="O608" s="2"/>
    </row>
    <row r="609" spans="2:15" s="1" customFormat="1" x14ac:dyDescent="0.25">
      <c r="B609" s="12"/>
      <c r="D609" s="23"/>
      <c r="E609" s="2"/>
      <c r="F609" s="2"/>
      <c r="O609" s="2"/>
    </row>
    <row r="610" spans="2:15" s="1" customFormat="1" x14ac:dyDescent="0.25">
      <c r="B610" s="12"/>
      <c r="D610" s="23"/>
      <c r="E610" s="2"/>
      <c r="F610" s="2"/>
      <c r="O610" s="2"/>
    </row>
    <row r="611" spans="2:15" s="1" customFormat="1" x14ac:dyDescent="0.25">
      <c r="B611" s="12"/>
      <c r="D611" s="23"/>
      <c r="E611" s="2"/>
      <c r="F611" s="2"/>
      <c r="O611" s="2"/>
    </row>
    <row r="612" spans="2:15" s="1" customFormat="1" x14ac:dyDescent="0.25">
      <c r="B612" s="12"/>
      <c r="D612" s="23"/>
      <c r="E612" s="2"/>
      <c r="F612" s="2"/>
      <c r="O612" s="2"/>
    </row>
    <row r="613" spans="2:15" s="1" customFormat="1" x14ac:dyDescent="0.25">
      <c r="B613" s="12"/>
      <c r="D613" s="23"/>
      <c r="E613" s="2"/>
      <c r="F613" s="2"/>
      <c r="O613" s="2"/>
    </row>
    <row r="614" spans="2:15" s="1" customFormat="1" x14ac:dyDescent="0.25">
      <c r="B614" s="12"/>
      <c r="D614" s="23"/>
      <c r="E614" s="2"/>
      <c r="F614" s="2"/>
      <c r="O614" s="2"/>
    </row>
    <row r="615" spans="2:15" s="1" customFormat="1" x14ac:dyDescent="0.25">
      <c r="B615" s="12"/>
      <c r="D615" s="23"/>
      <c r="E615" s="2"/>
      <c r="F615" s="2"/>
      <c r="O615" s="2"/>
    </row>
    <row r="616" spans="2:15" s="1" customFormat="1" x14ac:dyDescent="0.25">
      <c r="B616" s="12"/>
      <c r="D616" s="23"/>
      <c r="E616" s="2"/>
      <c r="F616" s="2"/>
      <c r="O616" s="2"/>
    </row>
    <row r="617" spans="2:15" s="1" customFormat="1" x14ac:dyDescent="0.25">
      <c r="B617" s="12"/>
      <c r="D617" s="23"/>
      <c r="E617" s="2"/>
      <c r="F617" s="2"/>
      <c r="O617" s="2"/>
    </row>
    <row r="618" spans="2:15" s="1" customFormat="1" x14ac:dyDescent="0.25">
      <c r="B618" s="12"/>
      <c r="D618" s="23"/>
      <c r="E618" s="2"/>
      <c r="F618" s="2"/>
      <c r="O618" s="2"/>
    </row>
    <row r="619" spans="2:15" s="1" customFormat="1" x14ac:dyDescent="0.25">
      <c r="B619" s="12"/>
      <c r="D619" s="23"/>
      <c r="E619" s="2"/>
      <c r="F619" s="2"/>
      <c r="O619" s="2"/>
    </row>
    <row r="620" spans="2:15" s="1" customFormat="1" x14ac:dyDescent="0.25">
      <c r="B620" s="12"/>
      <c r="D620" s="23"/>
      <c r="E620" s="2"/>
      <c r="F620" s="2"/>
      <c r="O620" s="2"/>
    </row>
    <row r="621" spans="2:15" s="1" customFormat="1" x14ac:dyDescent="0.25">
      <c r="B621" s="12"/>
      <c r="D621" s="23"/>
      <c r="E621" s="2"/>
      <c r="F621" s="2"/>
      <c r="O621" s="2"/>
    </row>
    <row r="622" spans="2:15" s="1" customFormat="1" x14ac:dyDescent="0.25">
      <c r="B622" s="12"/>
      <c r="D622" s="23"/>
      <c r="E622" s="2"/>
      <c r="F622" s="2"/>
      <c r="O622" s="2"/>
    </row>
    <row r="623" spans="2:15" s="1" customFormat="1" x14ac:dyDescent="0.25">
      <c r="B623" s="12"/>
      <c r="D623" s="23"/>
      <c r="E623" s="2"/>
      <c r="F623" s="2"/>
      <c r="O623" s="2"/>
    </row>
    <row r="624" spans="2:15" s="1" customFormat="1" x14ac:dyDescent="0.25">
      <c r="B624" s="12"/>
      <c r="D624" s="23"/>
      <c r="E624" s="2"/>
      <c r="F624" s="2"/>
      <c r="O624" s="2"/>
    </row>
    <row r="625" spans="2:15" s="1" customFormat="1" x14ac:dyDescent="0.25">
      <c r="B625" s="12"/>
      <c r="D625" s="23"/>
      <c r="E625" s="2"/>
      <c r="F625" s="2"/>
      <c r="O625" s="2"/>
    </row>
    <row r="626" spans="2:15" s="1" customFormat="1" x14ac:dyDescent="0.25">
      <c r="B626" s="12"/>
      <c r="D626" s="23"/>
      <c r="E626" s="2"/>
      <c r="F626" s="2"/>
      <c r="O626" s="2"/>
    </row>
    <row r="627" spans="2:15" s="1" customFormat="1" x14ac:dyDescent="0.25">
      <c r="B627" s="12"/>
      <c r="D627" s="23"/>
      <c r="E627" s="2"/>
      <c r="F627" s="2"/>
      <c r="O627" s="2"/>
    </row>
    <row r="628" spans="2:15" s="1" customFormat="1" x14ac:dyDescent="0.25">
      <c r="B628" s="12"/>
      <c r="D628" s="23"/>
      <c r="E628" s="2"/>
      <c r="F628" s="2"/>
      <c r="O628" s="2"/>
    </row>
    <row r="629" spans="2:15" s="1" customFormat="1" x14ac:dyDescent="0.25">
      <c r="B629" s="12"/>
      <c r="D629" s="23"/>
      <c r="E629" s="2"/>
      <c r="F629" s="2"/>
      <c r="O629" s="2"/>
    </row>
    <row r="630" spans="2:15" s="1" customFormat="1" x14ac:dyDescent="0.25">
      <c r="B630" s="12"/>
      <c r="D630" s="23"/>
      <c r="E630" s="2"/>
      <c r="F630" s="2"/>
      <c r="O630" s="2"/>
    </row>
    <row r="631" spans="2:15" s="1" customFormat="1" x14ac:dyDescent="0.25">
      <c r="B631" s="12"/>
      <c r="D631" s="23"/>
      <c r="E631" s="2"/>
      <c r="F631" s="2"/>
      <c r="O631" s="2"/>
    </row>
    <row r="632" spans="2:15" s="1" customFormat="1" x14ac:dyDescent="0.25">
      <c r="B632" s="12"/>
      <c r="D632" s="23"/>
      <c r="E632" s="2"/>
      <c r="F632" s="2"/>
      <c r="O632" s="2"/>
    </row>
    <row r="633" spans="2:15" s="1" customFormat="1" x14ac:dyDescent="0.25">
      <c r="B633" s="12"/>
      <c r="D633" s="23"/>
      <c r="E633" s="2"/>
      <c r="F633" s="2"/>
      <c r="O633" s="2"/>
    </row>
    <row r="634" spans="2:15" s="1" customFormat="1" x14ac:dyDescent="0.25">
      <c r="B634" s="12"/>
      <c r="D634" s="23"/>
      <c r="E634" s="2"/>
      <c r="F634" s="2"/>
      <c r="O634" s="2"/>
    </row>
    <row r="635" spans="2:15" s="1" customFormat="1" x14ac:dyDescent="0.25">
      <c r="B635" s="12"/>
      <c r="D635" s="23"/>
      <c r="E635" s="2"/>
      <c r="F635" s="2"/>
      <c r="O635" s="2"/>
    </row>
    <row r="636" spans="2:15" s="1" customFormat="1" x14ac:dyDescent="0.25">
      <c r="B636" s="12"/>
      <c r="D636" s="23"/>
      <c r="E636" s="2"/>
      <c r="F636" s="2"/>
      <c r="O636" s="2"/>
    </row>
    <row r="637" spans="2:15" s="1" customFormat="1" x14ac:dyDescent="0.25">
      <c r="B637" s="12"/>
      <c r="D637" s="23"/>
      <c r="E637" s="2"/>
      <c r="F637" s="2"/>
      <c r="O637" s="2"/>
    </row>
    <row r="638" spans="2:15" s="1" customFormat="1" x14ac:dyDescent="0.25">
      <c r="B638" s="12"/>
      <c r="D638" s="23"/>
      <c r="E638" s="2"/>
      <c r="F638" s="2"/>
      <c r="O638" s="2"/>
    </row>
    <row r="639" spans="2:15" s="1" customFormat="1" x14ac:dyDescent="0.25">
      <c r="B639" s="12"/>
      <c r="D639" s="23"/>
      <c r="E639" s="2"/>
      <c r="F639" s="2"/>
      <c r="O639" s="2"/>
    </row>
    <row r="640" spans="2:15" s="1" customFormat="1" x14ac:dyDescent="0.25">
      <c r="B640" s="12"/>
      <c r="D640" s="23"/>
      <c r="E640" s="2"/>
      <c r="F640" s="2"/>
      <c r="O640" s="2"/>
    </row>
    <row r="641" spans="2:15" s="1" customFormat="1" x14ac:dyDescent="0.25">
      <c r="B641" s="12"/>
      <c r="D641" s="23"/>
      <c r="E641" s="2"/>
      <c r="F641" s="2"/>
      <c r="O641" s="2"/>
    </row>
    <row r="642" spans="2:15" s="1" customFormat="1" x14ac:dyDescent="0.25">
      <c r="B642" s="12"/>
      <c r="D642" s="23"/>
      <c r="E642" s="2"/>
      <c r="F642" s="2"/>
      <c r="O642" s="2"/>
    </row>
    <row r="643" spans="2:15" s="1" customFormat="1" x14ac:dyDescent="0.25">
      <c r="B643" s="12"/>
      <c r="D643" s="23"/>
      <c r="E643" s="2"/>
      <c r="F643" s="2"/>
      <c r="O643" s="2"/>
    </row>
    <row r="644" spans="2:15" s="1" customFormat="1" x14ac:dyDescent="0.25">
      <c r="B644" s="12"/>
      <c r="D644" s="23"/>
      <c r="E644" s="2"/>
      <c r="F644" s="2"/>
      <c r="O644" s="2"/>
    </row>
    <row r="645" spans="2:15" s="1" customFormat="1" x14ac:dyDescent="0.25">
      <c r="B645" s="12"/>
      <c r="D645" s="23"/>
      <c r="E645" s="2"/>
      <c r="F645" s="2"/>
      <c r="O645" s="2"/>
    </row>
    <row r="646" spans="2:15" s="1" customFormat="1" x14ac:dyDescent="0.25">
      <c r="B646" s="12"/>
      <c r="D646" s="23"/>
      <c r="E646" s="2"/>
      <c r="F646" s="2"/>
      <c r="O646" s="2"/>
    </row>
    <row r="647" spans="2:15" s="1" customFormat="1" x14ac:dyDescent="0.25">
      <c r="B647" s="12"/>
      <c r="D647" s="23"/>
      <c r="E647" s="2"/>
      <c r="F647" s="2"/>
      <c r="O647" s="2"/>
    </row>
    <row r="648" spans="2:15" s="1" customFormat="1" x14ac:dyDescent="0.25">
      <c r="B648" s="12"/>
      <c r="D648" s="23"/>
      <c r="E648" s="2"/>
      <c r="F648" s="2"/>
      <c r="O648" s="2"/>
    </row>
    <row r="649" spans="2:15" s="1" customFormat="1" x14ac:dyDescent="0.25">
      <c r="B649" s="12"/>
      <c r="D649" s="23"/>
      <c r="E649" s="2"/>
      <c r="F649" s="2"/>
      <c r="O649" s="2"/>
    </row>
    <row r="650" spans="2:15" s="1" customFormat="1" x14ac:dyDescent="0.25">
      <c r="B650" s="12"/>
      <c r="D650" s="23"/>
      <c r="E650" s="2"/>
      <c r="F650" s="2"/>
      <c r="O650" s="2"/>
    </row>
    <row r="651" spans="2:15" s="1" customFormat="1" x14ac:dyDescent="0.25">
      <c r="B651" s="12"/>
      <c r="D651" s="23"/>
      <c r="E651" s="2"/>
      <c r="F651" s="2"/>
      <c r="O651" s="2"/>
    </row>
    <row r="652" spans="2:15" s="1" customFormat="1" x14ac:dyDescent="0.25">
      <c r="B652" s="12"/>
      <c r="D652" s="23"/>
      <c r="E652" s="2"/>
      <c r="F652" s="2"/>
      <c r="O652" s="2"/>
    </row>
    <row r="653" spans="2:15" s="1" customFormat="1" x14ac:dyDescent="0.25">
      <c r="B653" s="12"/>
      <c r="D653" s="23"/>
      <c r="E653" s="2"/>
      <c r="F653" s="2"/>
      <c r="O653" s="2"/>
    </row>
    <row r="654" spans="2:15" s="1" customFormat="1" x14ac:dyDescent="0.25">
      <c r="B654" s="12"/>
      <c r="D654" s="23"/>
      <c r="E654" s="2"/>
      <c r="F654" s="2"/>
      <c r="O654" s="2"/>
    </row>
    <row r="655" spans="2:15" s="1" customFormat="1" x14ac:dyDescent="0.25">
      <c r="B655" s="12"/>
      <c r="D655" s="23"/>
      <c r="E655" s="2"/>
      <c r="F655" s="2"/>
      <c r="O655" s="2"/>
    </row>
    <row r="656" spans="2:15" s="1" customFormat="1" x14ac:dyDescent="0.25">
      <c r="B656" s="12"/>
      <c r="D656" s="23"/>
      <c r="E656" s="2"/>
      <c r="F656" s="2"/>
      <c r="O656" s="2"/>
    </row>
    <row r="657" spans="2:15" s="1" customFormat="1" x14ac:dyDescent="0.25">
      <c r="B657" s="12"/>
      <c r="D657" s="23"/>
      <c r="E657" s="2"/>
      <c r="F657" s="2"/>
      <c r="O657" s="2"/>
    </row>
    <row r="658" spans="2:15" s="1" customFormat="1" x14ac:dyDescent="0.25">
      <c r="B658" s="12"/>
      <c r="D658" s="23"/>
      <c r="E658" s="2"/>
      <c r="F658" s="2"/>
      <c r="O658" s="2"/>
    </row>
    <row r="659" spans="2:15" s="1" customFormat="1" x14ac:dyDescent="0.25">
      <c r="B659" s="12"/>
      <c r="D659" s="23"/>
      <c r="E659" s="2"/>
      <c r="F659" s="2"/>
      <c r="O659" s="2"/>
    </row>
    <row r="660" spans="2:15" s="1" customFormat="1" x14ac:dyDescent="0.25">
      <c r="B660" s="12"/>
      <c r="D660" s="23"/>
      <c r="E660" s="2"/>
      <c r="F660" s="2"/>
      <c r="O660" s="2"/>
    </row>
    <row r="661" spans="2:15" s="1" customFormat="1" x14ac:dyDescent="0.25">
      <c r="B661" s="12"/>
      <c r="D661" s="23"/>
      <c r="E661" s="2"/>
      <c r="F661" s="2"/>
      <c r="O661" s="2"/>
    </row>
    <row r="662" spans="2:15" s="1" customFormat="1" x14ac:dyDescent="0.25">
      <c r="B662" s="12"/>
      <c r="D662" s="23"/>
      <c r="E662" s="2"/>
      <c r="F662" s="2"/>
      <c r="O662" s="2"/>
    </row>
    <row r="663" spans="2:15" s="1" customFormat="1" x14ac:dyDescent="0.25">
      <c r="B663" s="12"/>
      <c r="D663" s="23"/>
      <c r="E663" s="2"/>
      <c r="F663" s="2"/>
      <c r="O663" s="2"/>
    </row>
    <row r="664" spans="2:15" s="1" customFormat="1" x14ac:dyDescent="0.25">
      <c r="B664" s="12"/>
      <c r="D664" s="23"/>
      <c r="E664" s="2"/>
      <c r="F664" s="2"/>
      <c r="O664" s="2"/>
    </row>
    <row r="665" spans="2:15" s="1" customFormat="1" x14ac:dyDescent="0.25">
      <c r="B665" s="12"/>
      <c r="D665" s="23"/>
      <c r="E665" s="2"/>
      <c r="F665" s="2"/>
      <c r="O665" s="2"/>
    </row>
    <row r="666" spans="2:15" s="1" customFormat="1" x14ac:dyDescent="0.25">
      <c r="B666" s="12"/>
      <c r="D666" s="23"/>
      <c r="E666" s="2"/>
      <c r="F666" s="2"/>
      <c r="O666" s="2"/>
    </row>
    <row r="667" spans="2:15" s="1" customFormat="1" x14ac:dyDescent="0.25">
      <c r="B667" s="12"/>
      <c r="D667" s="23"/>
      <c r="E667" s="2"/>
      <c r="F667" s="2"/>
      <c r="O667" s="2"/>
    </row>
    <row r="668" spans="2:15" s="1" customFormat="1" x14ac:dyDescent="0.25">
      <c r="B668" s="12"/>
      <c r="D668" s="23"/>
      <c r="E668" s="2"/>
      <c r="F668" s="2"/>
      <c r="O668" s="2"/>
    </row>
    <row r="669" spans="2:15" s="1" customFormat="1" x14ac:dyDescent="0.25">
      <c r="B669" s="12"/>
      <c r="D669" s="23"/>
      <c r="E669" s="2"/>
      <c r="F669" s="2"/>
      <c r="O669" s="2"/>
    </row>
    <row r="670" spans="2:15" s="1" customFormat="1" x14ac:dyDescent="0.25">
      <c r="B670" s="12"/>
      <c r="D670" s="23"/>
      <c r="E670" s="2"/>
      <c r="F670" s="2"/>
      <c r="O670" s="2"/>
    </row>
    <row r="671" spans="2:15" s="1" customFormat="1" x14ac:dyDescent="0.25">
      <c r="B671" s="12"/>
      <c r="D671" s="23"/>
      <c r="E671" s="2"/>
      <c r="F671" s="2"/>
      <c r="O671" s="2"/>
    </row>
    <row r="672" spans="2:15" s="1" customFormat="1" x14ac:dyDescent="0.25">
      <c r="B672" s="12"/>
      <c r="D672" s="23"/>
      <c r="E672" s="2"/>
      <c r="F672" s="2"/>
      <c r="O672" s="2"/>
    </row>
    <row r="673" spans="2:15" s="1" customFormat="1" x14ac:dyDescent="0.25">
      <c r="B673" s="12"/>
      <c r="D673" s="23"/>
      <c r="E673" s="2"/>
      <c r="F673" s="2"/>
      <c r="O673" s="2"/>
    </row>
    <row r="674" spans="2:15" s="1" customFormat="1" x14ac:dyDescent="0.25">
      <c r="B674" s="12"/>
      <c r="D674" s="23"/>
      <c r="E674" s="2"/>
      <c r="F674" s="2"/>
      <c r="O674" s="2"/>
    </row>
    <row r="675" spans="2:15" s="1" customFormat="1" x14ac:dyDescent="0.25">
      <c r="B675" s="12"/>
      <c r="D675" s="23"/>
      <c r="E675" s="2"/>
      <c r="F675" s="2"/>
      <c r="O675" s="2"/>
    </row>
    <row r="676" spans="2:15" s="1" customFormat="1" x14ac:dyDescent="0.25">
      <c r="B676" s="12"/>
      <c r="D676" s="23"/>
      <c r="E676" s="2"/>
      <c r="F676" s="2"/>
      <c r="O676" s="2"/>
    </row>
    <row r="677" spans="2:15" s="1" customFormat="1" x14ac:dyDescent="0.25">
      <c r="B677" s="12"/>
      <c r="D677" s="23"/>
      <c r="E677" s="2"/>
      <c r="F677" s="2"/>
      <c r="O677" s="2"/>
    </row>
    <row r="678" spans="2:15" s="1" customFormat="1" x14ac:dyDescent="0.25">
      <c r="B678" s="12"/>
      <c r="D678" s="23"/>
      <c r="E678" s="2"/>
      <c r="F678" s="2"/>
      <c r="O678" s="2"/>
    </row>
    <row r="679" spans="2:15" s="1" customFormat="1" x14ac:dyDescent="0.25">
      <c r="B679" s="12"/>
      <c r="D679" s="23"/>
      <c r="E679" s="2"/>
      <c r="F679" s="2"/>
      <c r="O679" s="2"/>
    </row>
    <row r="680" spans="2:15" s="1" customFormat="1" x14ac:dyDescent="0.25">
      <c r="B680" s="12"/>
      <c r="D680" s="23"/>
      <c r="E680" s="2"/>
      <c r="F680" s="2"/>
      <c r="O680" s="2"/>
    </row>
    <row r="681" spans="2:15" s="1" customFormat="1" x14ac:dyDescent="0.25">
      <c r="B681" s="12"/>
      <c r="D681" s="23"/>
      <c r="E681" s="2"/>
      <c r="F681" s="2"/>
      <c r="O681" s="2"/>
    </row>
    <row r="682" spans="2:15" s="1" customFormat="1" x14ac:dyDescent="0.25">
      <c r="B682" s="12"/>
      <c r="D682" s="23"/>
      <c r="E682" s="2"/>
      <c r="F682" s="2"/>
      <c r="O682" s="2"/>
    </row>
    <row r="683" spans="2:15" s="1" customFormat="1" x14ac:dyDescent="0.25">
      <c r="B683" s="12"/>
      <c r="D683" s="23"/>
      <c r="E683" s="2"/>
      <c r="F683" s="2"/>
      <c r="O683" s="2"/>
    </row>
    <row r="684" spans="2:15" s="1" customFormat="1" x14ac:dyDescent="0.25">
      <c r="B684" s="12"/>
      <c r="D684" s="23"/>
      <c r="E684" s="2"/>
      <c r="F684" s="2"/>
      <c r="O684" s="2"/>
    </row>
    <row r="685" spans="2:15" s="1" customFormat="1" x14ac:dyDescent="0.25">
      <c r="B685" s="12"/>
      <c r="D685" s="23"/>
      <c r="E685" s="2"/>
      <c r="F685" s="2"/>
      <c r="O685" s="2"/>
    </row>
    <row r="686" spans="2:15" s="1" customFormat="1" x14ac:dyDescent="0.25">
      <c r="B686" s="12"/>
      <c r="D686" s="23"/>
      <c r="E686" s="2"/>
      <c r="F686" s="2"/>
      <c r="O686" s="2"/>
    </row>
    <row r="687" spans="2:15" s="1" customFormat="1" x14ac:dyDescent="0.25">
      <c r="B687" s="12"/>
      <c r="D687" s="23"/>
      <c r="E687" s="2"/>
      <c r="F687" s="2"/>
      <c r="O687" s="2"/>
    </row>
    <row r="688" spans="2:15" s="1" customFormat="1" x14ac:dyDescent="0.25">
      <c r="B688" s="12"/>
      <c r="D688" s="23"/>
      <c r="E688" s="2"/>
      <c r="F688" s="2"/>
      <c r="O688" s="2"/>
    </row>
    <row r="689" spans="2:15" s="1" customFormat="1" x14ac:dyDescent="0.25">
      <c r="B689" s="12"/>
      <c r="D689" s="23"/>
      <c r="E689" s="2"/>
      <c r="F689" s="2"/>
      <c r="O689" s="2"/>
    </row>
    <row r="690" spans="2:15" s="1" customFormat="1" x14ac:dyDescent="0.25">
      <c r="B690" s="12"/>
      <c r="D690" s="23"/>
      <c r="E690" s="2"/>
      <c r="F690" s="2"/>
      <c r="O690" s="2"/>
    </row>
    <row r="691" spans="2:15" s="1" customFormat="1" x14ac:dyDescent="0.25">
      <c r="B691" s="12"/>
      <c r="D691" s="23"/>
      <c r="E691" s="2"/>
      <c r="F691" s="2"/>
      <c r="O691" s="2"/>
    </row>
    <row r="692" spans="2:15" s="1" customFormat="1" x14ac:dyDescent="0.25">
      <c r="B692" s="12"/>
      <c r="D692" s="23"/>
      <c r="E692" s="2"/>
      <c r="F692" s="2"/>
      <c r="O692" s="2"/>
    </row>
    <row r="693" spans="2:15" s="1" customFormat="1" x14ac:dyDescent="0.25">
      <c r="B693" s="12"/>
      <c r="D693" s="23"/>
      <c r="E693" s="2"/>
      <c r="F693" s="2"/>
      <c r="O693" s="2"/>
    </row>
    <row r="694" spans="2:15" s="1" customFormat="1" x14ac:dyDescent="0.25">
      <c r="B694" s="12"/>
      <c r="D694" s="23"/>
      <c r="E694" s="2"/>
      <c r="F694" s="2"/>
      <c r="O694" s="2"/>
    </row>
    <row r="695" spans="2:15" s="1" customFormat="1" x14ac:dyDescent="0.25">
      <c r="B695" s="12"/>
      <c r="D695" s="23"/>
      <c r="E695" s="2"/>
      <c r="F695" s="2"/>
      <c r="O695" s="2"/>
    </row>
    <row r="696" spans="2:15" s="1" customFormat="1" x14ac:dyDescent="0.25">
      <c r="B696" s="12"/>
      <c r="D696" s="23"/>
      <c r="E696" s="2"/>
      <c r="F696" s="2"/>
      <c r="O696" s="2"/>
    </row>
    <row r="697" spans="2:15" s="1" customFormat="1" x14ac:dyDescent="0.25">
      <c r="B697" s="12"/>
      <c r="D697" s="23"/>
      <c r="E697" s="2"/>
      <c r="F697" s="2"/>
      <c r="O697" s="2"/>
    </row>
    <row r="698" spans="2:15" s="1" customFormat="1" x14ac:dyDescent="0.25">
      <c r="B698" s="12"/>
      <c r="D698" s="23"/>
      <c r="E698" s="2"/>
      <c r="F698" s="2"/>
      <c r="O698" s="2"/>
    </row>
    <row r="699" spans="2:15" s="1" customFormat="1" x14ac:dyDescent="0.25">
      <c r="B699" s="12"/>
      <c r="D699" s="23"/>
      <c r="E699" s="2"/>
      <c r="F699" s="2"/>
      <c r="O699" s="2"/>
    </row>
    <row r="700" spans="2:15" s="1" customFormat="1" x14ac:dyDescent="0.25">
      <c r="B700" s="12"/>
      <c r="D700" s="23"/>
      <c r="E700" s="2"/>
      <c r="F700" s="2"/>
      <c r="O700" s="2"/>
    </row>
    <row r="701" spans="2:15" s="1" customFormat="1" x14ac:dyDescent="0.25">
      <c r="B701" s="12"/>
      <c r="D701" s="23"/>
      <c r="E701" s="2"/>
      <c r="F701" s="2"/>
      <c r="O701" s="2"/>
    </row>
    <row r="702" spans="2:15" s="1" customFormat="1" x14ac:dyDescent="0.25">
      <c r="B702" s="12"/>
      <c r="D702" s="23"/>
      <c r="E702" s="2"/>
      <c r="F702" s="2"/>
      <c r="O702" s="2"/>
    </row>
    <row r="703" spans="2:15" s="1" customFormat="1" x14ac:dyDescent="0.25">
      <c r="B703" s="12"/>
      <c r="D703" s="23"/>
      <c r="E703" s="2"/>
      <c r="F703" s="2"/>
      <c r="O703" s="2"/>
    </row>
    <row r="704" spans="2:15" s="1" customFormat="1" x14ac:dyDescent="0.25">
      <c r="B704" s="12"/>
      <c r="D704" s="23"/>
      <c r="E704" s="2"/>
      <c r="F704" s="2"/>
      <c r="O704" s="2"/>
    </row>
    <row r="705" spans="2:15" s="1" customFormat="1" x14ac:dyDescent="0.25">
      <c r="B705" s="12"/>
      <c r="D705" s="23"/>
      <c r="E705" s="2"/>
      <c r="F705" s="2"/>
      <c r="O705" s="2"/>
    </row>
    <row r="706" spans="2:15" s="1" customFormat="1" x14ac:dyDescent="0.25">
      <c r="B706" s="12"/>
      <c r="D706" s="23"/>
      <c r="E706" s="2"/>
      <c r="F706" s="2"/>
      <c r="O706" s="2"/>
    </row>
    <row r="707" spans="2:15" s="1" customFormat="1" x14ac:dyDescent="0.25">
      <c r="B707" s="12"/>
      <c r="D707" s="23"/>
      <c r="E707" s="2"/>
      <c r="F707" s="2"/>
      <c r="O707" s="2"/>
    </row>
    <row r="708" spans="2:15" s="1" customFormat="1" x14ac:dyDescent="0.25">
      <c r="B708" s="12"/>
      <c r="D708" s="23"/>
      <c r="E708" s="2"/>
      <c r="F708" s="2"/>
      <c r="O708" s="2"/>
    </row>
    <row r="709" spans="2:15" s="1" customFormat="1" x14ac:dyDescent="0.25">
      <c r="B709" s="12"/>
      <c r="D709" s="23"/>
      <c r="E709" s="2"/>
      <c r="F709" s="2"/>
      <c r="O709" s="2"/>
    </row>
    <row r="710" spans="2:15" s="1" customFormat="1" x14ac:dyDescent="0.25">
      <c r="B710" s="12"/>
      <c r="D710" s="23"/>
      <c r="E710" s="2"/>
      <c r="F710" s="2"/>
      <c r="O710" s="2"/>
    </row>
    <row r="711" spans="2:15" s="1" customFormat="1" x14ac:dyDescent="0.25">
      <c r="B711" s="12"/>
      <c r="D711" s="23"/>
      <c r="E711" s="2"/>
      <c r="F711" s="2"/>
      <c r="O711" s="2"/>
    </row>
    <row r="712" spans="2:15" s="1" customFormat="1" x14ac:dyDescent="0.25">
      <c r="B712" s="12"/>
      <c r="D712" s="23"/>
      <c r="E712" s="2"/>
      <c r="F712" s="2"/>
      <c r="O712" s="2"/>
    </row>
    <row r="713" spans="2:15" s="1" customFormat="1" x14ac:dyDescent="0.25">
      <c r="B713" s="12"/>
      <c r="D713" s="23"/>
      <c r="E713" s="2"/>
      <c r="F713" s="2"/>
      <c r="O713" s="2"/>
    </row>
    <row r="714" spans="2:15" s="1" customFormat="1" x14ac:dyDescent="0.25">
      <c r="B714" s="12"/>
      <c r="D714" s="23"/>
      <c r="E714" s="2"/>
      <c r="F714" s="2"/>
      <c r="O714" s="2"/>
    </row>
    <row r="715" spans="2:15" s="1" customFormat="1" x14ac:dyDescent="0.25">
      <c r="B715" s="12"/>
      <c r="D715" s="23"/>
      <c r="E715" s="2"/>
      <c r="F715" s="2"/>
      <c r="O715" s="2"/>
    </row>
    <row r="716" spans="2:15" s="1" customFormat="1" x14ac:dyDescent="0.25">
      <c r="B716" s="12"/>
      <c r="D716" s="23"/>
      <c r="E716" s="2"/>
      <c r="F716" s="2"/>
      <c r="O716" s="2"/>
    </row>
    <row r="717" spans="2:15" s="1" customFormat="1" x14ac:dyDescent="0.25">
      <c r="B717" s="12"/>
      <c r="D717" s="23"/>
      <c r="E717" s="2"/>
      <c r="F717" s="2"/>
      <c r="O717" s="2"/>
    </row>
    <row r="718" spans="2:15" s="1" customFormat="1" x14ac:dyDescent="0.25">
      <c r="B718" s="12"/>
      <c r="D718" s="23"/>
      <c r="E718" s="2"/>
      <c r="F718" s="2"/>
      <c r="O718" s="2"/>
    </row>
    <row r="719" spans="2:15" s="1" customFormat="1" x14ac:dyDescent="0.25">
      <c r="B719" s="12"/>
      <c r="D719" s="23"/>
      <c r="E719" s="2"/>
      <c r="F719" s="2"/>
      <c r="O719" s="2"/>
    </row>
    <row r="720" spans="2:15" s="1" customFormat="1" x14ac:dyDescent="0.25">
      <c r="B720" s="12"/>
      <c r="D720" s="23"/>
      <c r="E720" s="2"/>
      <c r="F720" s="2"/>
      <c r="O720" s="2"/>
    </row>
    <row r="721" spans="2:15" s="1" customFormat="1" x14ac:dyDescent="0.25">
      <c r="B721" s="12"/>
      <c r="D721" s="23"/>
      <c r="E721" s="2"/>
      <c r="F721" s="2"/>
      <c r="O721" s="2"/>
    </row>
    <row r="722" spans="2:15" s="1" customFormat="1" x14ac:dyDescent="0.25">
      <c r="B722" s="12"/>
      <c r="D722" s="23"/>
      <c r="E722" s="2"/>
      <c r="F722" s="2"/>
      <c r="O722" s="2"/>
    </row>
    <row r="723" spans="2:15" s="1" customFormat="1" x14ac:dyDescent="0.25">
      <c r="B723" s="12"/>
      <c r="D723" s="23"/>
      <c r="E723" s="2"/>
      <c r="F723" s="2"/>
      <c r="O723" s="2"/>
    </row>
    <row r="724" spans="2:15" s="1" customFormat="1" x14ac:dyDescent="0.25">
      <c r="B724" s="12"/>
      <c r="D724" s="23"/>
      <c r="E724" s="2"/>
      <c r="F724" s="2"/>
      <c r="O724" s="2"/>
    </row>
    <row r="725" spans="2:15" s="1" customFormat="1" x14ac:dyDescent="0.25">
      <c r="B725" s="12"/>
      <c r="D725" s="23"/>
      <c r="E725" s="2"/>
      <c r="F725" s="2"/>
      <c r="O725" s="2"/>
    </row>
    <row r="726" spans="2:15" s="1" customFormat="1" x14ac:dyDescent="0.25">
      <c r="B726" s="12"/>
      <c r="D726" s="23"/>
      <c r="E726" s="2"/>
      <c r="F726" s="2"/>
      <c r="O726" s="2"/>
    </row>
    <row r="727" spans="2:15" s="1" customFormat="1" x14ac:dyDescent="0.25">
      <c r="B727" s="12"/>
      <c r="D727" s="23"/>
      <c r="E727" s="2"/>
      <c r="F727" s="2"/>
      <c r="O727" s="2"/>
    </row>
    <row r="728" spans="2:15" s="1" customFormat="1" x14ac:dyDescent="0.25">
      <c r="B728" s="12"/>
      <c r="D728" s="23"/>
      <c r="E728" s="2"/>
      <c r="F728" s="2"/>
      <c r="O728" s="2"/>
    </row>
    <row r="729" spans="2:15" s="1" customFormat="1" x14ac:dyDescent="0.25">
      <c r="B729" s="12"/>
      <c r="D729" s="23"/>
      <c r="E729" s="2"/>
      <c r="F729" s="2"/>
      <c r="O729" s="2"/>
    </row>
    <row r="730" spans="2:15" s="1" customFormat="1" x14ac:dyDescent="0.25">
      <c r="B730" s="12"/>
      <c r="D730" s="23"/>
      <c r="E730" s="2"/>
      <c r="F730" s="2"/>
      <c r="O730" s="2"/>
    </row>
    <row r="731" spans="2:15" s="1" customFormat="1" x14ac:dyDescent="0.25">
      <c r="B731" s="12"/>
      <c r="D731" s="23"/>
      <c r="E731" s="2"/>
      <c r="F731" s="2"/>
      <c r="O731" s="2"/>
    </row>
    <row r="732" spans="2:15" s="1" customFormat="1" x14ac:dyDescent="0.25">
      <c r="B732" s="12"/>
      <c r="D732" s="23"/>
      <c r="E732" s="2"/>
      <c r="F732" s="2"/>
      <c r="O732" s="2"/>
    </row>
    <row r="733" spans="2:15" s="1" customFormat="1" x14ac:dyDescent="0.25">
      <c r="B733" s="12"/>
      <c r="D733" s="23"/>
      <c r="E733" s="2"/>
      <c r="F733" s="2"/>
      <c r="O733" s="2"/>
    </row>
    <row r="734" spans="2:15" s="1" customFormat="1" x14ac:dyDescent="0.25">
      <c r="B734" s="12"/>
      <c r="D734" s="23"/>
      <c r="E734" s="2"/>
      <c r="F734" s="2"/>
      <c r="O734" s="2"/>
    </row>
    <row r="735" spans="2:15" s="1" customFormat="1" x14ac:dyDescent="0.25">
      <c r="B735" s="12"/>
      <c r="D735" s="23"/>
      <c r="E735" s="2"/>
      <c r="F735" s="2"/>
      <c r="O735" s="2"/>
    </row>
    <row r="736" spans="2:15" s="1" customFormat="1" x14ac:dyDescent="0.25">
      <c r="B736" s="12"/>
      <c r="D736" s="23"/>
      <c r="E736" s="2"/>
      <c r="F736" s="2"/>
      <c r="O736" s="2"/>
    </row>
    <row r="737" spans="2:15" s="1" customFormat="1" x14ac:dyDescent="0.25">
      <c r="B737" s="12"/>
      <c r="D737" s="23"/>
      <c r="E737" s="2"/>
      <c r="F737" s="2"/>
      <c r="O737" s="2"/>
    </row>
    <row r="738" spans="2:15" s="1" customFormat="1" x14ac:dyDescent="0.25">
      <c r="B738" s="12"/>
      <c r="D738" s="23"/>
      <c r="E738" s="2"/>
      <c r="F738" s="2"/>
      <c r="O738" s="2"/>
    </row>
    <row r="739" spans="2:15" s="1" customFormat="1" x14ac:dyDescent="0.25">
      <c r="B739" s="12"/>
      <c r="D739" s="23"/>
      <c r="E739" s="2"/>
      <c r="F739" s="2"/>
      <c r="O739" s="2"/>
    </row>
    <row r="740" spans="2:15" s="1" customFormat="1" x14ac:dyDescent="0.25">
      <c r="B740" s="12"/>
      <c r="D740" s="23"/>
      <c r="E740" s="2"/>
      <c r="F740" s="2"/>
      <c r="O740" s="2"/>
    </row>
    <row r="741" spans="2:15" s="1" customFormat="1" x14ac:dyDescent="0.25">
      <c r="B741" s="12"/>
      <c r="D741" s="23"/>
      <c r="E741" s="2"/>
      <c r="F741" s="2"/>
      <c r="O741" s="2"/>
    </row>
    <row r="742" spans="2:15" s="1" customFormat="1" x14ac:dyDescent="0.25">
      <c r="B742" s="12"/>
      <c r="D742" s="23"/>
      <c r="E742" s="2"/>
      <c r="F742" s="2"/>
      <c r="O742" s="2"/>
    </row>
    <row r="743" spans="2:15" s="1" customFormat="1" x14ac:dyDescent="0.25">
      <c r="B743" s="12"/>
      <c r="D743" s="23"/>
      <c r="E743" s="2"/>
      <c r="F743" s="2"/>
      <c r="O743" s="2"/>
    </row>
    <row r="744" spans="2:15" s="1" customFormat="1" x14ac:dyDescent="0.25">
      <c r="B744" s="12"/>
      <c r="D744" s="23"/>
      <c r="E744" s="2"/>
      <c r="F744" s="2"/>
      <c r="O744" s="2"/>
    </row>
    <row r="745" spans="2:15" s="1" customFormat="1" x14ac:dyDescent="0.25">
      <c r="B745" s="12"/>
      <c r="D745" s="23"/>
      <c r="E745" s="2"/>
      <c r="F745" s="2"/>
      <c r="O745" s="2"/>
    </row>
    <row r="746" spans="2:15" s="1" customFormat="1" x14ac:dyDescent="0.25">
      <c r="B746" s="12"/>
      <c r="D746" s="23"/>
      <c r="E746" s="2"/>
      <c r="F746" s="2"/>
      <c r="O746" s="2"/>
    </row>
    <row r="747" spans="2:15" s="1" customFormat="1" x14ac:dyDescent="0.25">
      <c r="B747" s="12"/>
      <c r="D747" s="23"/>
      <c r="E747" s="2"/>
      <c r="F747" s="2"/>
      <c r="O747" s="2"/>
    </row>
    <row r="748" spans="2:15" s="1" customFormat="1" x14ac:dyDescent="0.25">
      <c r="B748" s="12"/>
      <c r="D748" s="23"/>
      <c r="E748" s="2"/>
      <c r="F748" s="2"/>
      <c r="O748" s="2"/>
    </row>
    <row r="749" spans="2:15" s="1" customFormat="1" x14ac:dyDescent="0.25">
      <c r="B749" s="12"/>
      <c r="D749" s="23"/>
      <c r="E749" s="2"/>
      <c r="F749" s="2"/>
      <c r="O749" s="2"/>
    </row>
    <row r="750" spans="2:15" s="1" customFormat="1" x14ac:dyDescent="0.25">
      <c r="B750" s="12"/>
      <c r="D750" s="23"/>
      <c r="E750" s="2"/>
      <c r="F750" s="2"/>
      <c r="O750" s="2"/>
    </row>
    <row r="751" spans="2:15" s="1" customFormat="1" x14ac:dyDescent="0.25">
      <c r="B751" s="12"/>
      <c r="D751" s="23"/>
      <c r="E751" s="2"/>
      <c r="F751" s="2"/>
      <c r="O751" s="2"/>
    </row>
    <row r="752" spans="2:15" s="1" customFormat="1" x14ac:dyDescent="0.25">
      <c r="B752" s="12"/>
      <c r="D752" s="23"/>
      <c r="E752" s="2"/>
      <c r="F752" s="2"/>
      <c r="O752" s="2"/>
    </row>
    <row r="753" spans="2:15" s="1" customFormat="1" x14ac:dyDescent="0.25">
      <c r="B753" s="12"/>
      <c r="D753" s="23"/>
      <c r="E753" s="2"/>
      <c r="F753" s="2"/>
      <c r="O753" s="2"/>
    </row>
    <row r="754" spans="2:15" s="1" customFormat="1" x14ac:dyDescent="0.25">
      <c r="B754" s="12"/>
      <c r="D754" s="23"/>
      <c r="E754" s="2"/>
      <c r="F754" s="2"/>
      <c r="O754" s="2"/>
    </row>
    <row r="755" spans="2:15" s="1" customFormat="1" x14ac:dyDescent="0.25">
      <c r="B755" s="12"/>
      <c r="D755" s="23"/>
      <c r="E755" s="2"/>
      <c r="F755" s="2"/>
      <c r="O755" s="2"/>
    </row>
    <row r="756" spans="2:15" s="1" customFormat="1" x14ac:dyDescent="0.25">
      <c r="B756" s="12"/>
      <c r="D756" s="23"/>
      <c r="E756" s="2"/>
      <c r="F756" s="2"/>
      <c r="O756" s="2"/>
    </row>
    <row r="757" spans="2:15" s="1" customFormat="1" x14ac:dyDescent="0.25">
      <c r="B757" s="12"/>
      <c r="D757" s="23"/>
      <c r="E757" s="2"/>
      <c r="F757" s="2"/>
      <c r="O757" s="2"/>
    </row>
    <row r="758" spans="2:15" s="1" customFormat="1" x14ac:dyDescent="0.25">
      <c r="B758" s="12"/>
      <c r="D758" s="23"/>
      <c r="E758" s="2"/>
      <c r="F758" s="2"/>
      <c r="O758" s="2"/>
    </row>
    <row r="759" spans="2:15" s="1" customFormat="1" x14ac:dyDescent="0.25">
      <c r="B759" s="12"/>
      <c r="D759" s="23"/>
      <c r="E759" s="2"/>
      <c r="F759" s="2"/>
      <c r="O759" s="2"/>
    </row>
    <row r="760" spans="2:15" s="1" customFormat="1" x14ac:dyDescent="0.25">
      <c r="B760" s="12"/>
      <c r="D760" s="23"/>
      <c r="E760" s="2"/>
      <c r="F760" s="2"/>
      <c r="O760" s="2"/>
    </row>
    <row r="761" spans="2:15" s="1" customFormat="1" x14ac:dyDescent="0.25">
      <c r="B761" s="12"/>
      <c r="D761" s="23"/>
      <c r="E761" s="2"/>
      <c r="F761" s="2"/>
      <c r="O761" s="2"/>
    </row>
    <row r="762" spans="2:15" s="1" customFormat="1" x14ac:dyDescent="0.25">
      <c r="B762" s="12"/>
      <c r="D762" s="23"/>
      <c r="E762" s="2"/>
      <c r="F762" s="2"/>
      <c r="O762" s="2"/>
    </row>
    <row r="763" spans="2:15" s="1" customFormat="1" x14ac:dyDescent="0.25">
      <c r="B763" s="12"/>
      <c r="D763" s="23"/>
      <c r="E763" s="2"/>
      <c r="F763" s="2"/>
      <c r="O763" s="2"/>
    </row>
    <row r="764" spans="2:15" s="1" customFormat="1" x14ac:dyDescent="0.25">
      <c r="B764" s="12"/>
      <c r="D764" s="23"/>
      <c r="E764" s="2"/>
      <c r="F764" s="2"/>
      <c r="O764" s="2"/>
    </row>
    <row r="765" spans="2:15" s="1" customFormat="1" x14ac:dyDescent="0.25">
      <c r="B765" s="12"/>
      <c r="D765" s="23"/>
      <c r="E765" s="2"/>
      <c r="F765" s="2"/>
      <c r="O765" s="2"/>
    </row>
    <row r="766" spans="2:15" s="1" customFormat="1" x14ac:dyDescent="0.25">
      <c r="B766" s="12"/>
      <c r="D766" s="23"/>
      <c r="E766" s="2"/>
      <c r="F766" s="2"/>
      <c r="O766" s="2"/>
    </row>
    <row r="767" spans="2:15" s="1" customFormat="1" x14ac:dyDescent="0.25">
      <c r="B767" s="12"/>
      <c r="D767" s="23"/>
      <c r="E767" s="2"/>
      <c r="F767" s="2"/>
      <c r="O767" s="2"/>
    </row>
    <row r="768" spans="2:15" s="1" customFormat="1" x14ac:dyDescent="0.25">
      <c r="B768" s="12"/>
      <c r="D768" s="23"/>
      <c r="E768" s="2"/>
      <c r="F768" s="2"/>
      <c r="O768" s="2"/>
    </row>
    <row r="769" spans="2:15" s="1" customFormat="1" x14ac:dyDescent="0.25">
      <c r="B769" s="12"/>
      <c r="D769" s="23"/>
      <c r="E769" s="2"/>
      <c r="F769" s="2"/>
      <c r="O769" s="2"/>
    </row>
    <row r="770" spans="2:15" s="1" customFormat="1" x14ac:dyDescent="0.25">
      <c r="B770" s="12"/>
      <c r="D770" s="23"/>
      <c r="E770" s="2"/>
      <c r="F770" s="2"/>
      <c r="O770" s="2"/>
    </row>
    <row r="771" spans="2:15" s="1" customFormat="1" x14ac:dyDescent="0.25">
      <c r="B771" s="12"/>
      <c r="D771" s="23"/>
      <c r="E771" s="2"/>
      <c r="F771" s="2"/>
      <c r="O771" s="2"/>
    </row>
    <row r="772" spans="2:15" s="1" customFormat="1" x14ac:dyDescent="0.25">
      <c r="B772" s="12"/>
      <c r="D772" s="23"/>
      <c r="E772" s="2"/>
      <c r="F772" s="2"/>
      <c r="O772" s="2"/>
    </row>
    <row r="773" spans="2:15" s="1" customFormat="1" x14ac:dyDescent="0.25">
      <c r="B773" s="12"/>
      <c r="D773" s="23"/>
      <c r="E773" s="2"/>
      <c r="F773" s="2"/>
      <c r="O773" s="2"/>
    </row>
    <row r="774" spans="2:15" s="1" customFormat="1" x14ac:dyDescent="0.25">
      <c r="B774" s="12"/>
      <c r="D774" s="23"/>
      <c r="E774" s="2"/>
      <c r="F774" s="2"/>
      <c r="O774" s="2"/>
    </row>
    <row r="775" spans="2:15" s="1" customFormat="1" x14ac:dyDescent="0.25">
      <c r="B775" s="12"/>
      <c r="D775" s="23"/>
      <c r="E775" s="2"/>
      <c r="F775" s="2"/>
      <c r="O775" s="2"/>
    </row>
    <row r="776" spans="2:15" s="1" customFormat="1" x14ac:dyDescent="0.25">
      <c r="B776" s="12"/>
      <c r="D776" s="23"/>
      <c r="E776" s="2"/>
      <c r="F776" s="2"/>
      <c r="O776" s="2"/>
    </row>
    <row r="777" spans="2:15" s="1" customFormat="1" x14ac:dyDescent="0.25">
      <c r="B777" s="12"/>
      <c r="D777" s="23"/>
      <c r="E777" s="2"/>
      <c r="F777" s="2"/>
      <c r="O777" s="2"/>
    </row>
    <row r="778" spans="2:15" s="1" customFormat="1" x14ac:dyDescent="0.25">
      <c r="B778" s="12"/>
      <c r="D778" s="23"/>
      <c r="E778" s="2"/>
      <c r="F778" s="2"/>
      <c r="O778" s="2"/>
    </row>
    <row r="779" spans="2:15" s="1" customFormat="1" x14ac:dyDescent="0.25">
      <c r="B779" s="12"/>
      <c r="D779" s="23"/>
      <c r="E779" s="2"/>
      <c r="F779" s="2"/>
      <c r="O779" s="2"/>
    </row>
    <row r="780" spans="2:15" s="1" customFormat="1" x14ac:dyDescent="0.25">
      <c r="B780" s="12"/>
      <c r="D780" s="23"/>
      <c r="E780" s="2"/>
      <c r="F780" s="2"/>
      <c r="O780" s="2"/>
    </row>
    <row r="781" spans="2:15" s="1" customFormat="1" x14ac:dyDescent="0.25">
      <c r="B781" s="12"/>
      <c r="D781" s="23"/>
      <c r="E781" s="2"/>
      <c r="F781" s="2"/>
      <c r="O781" s="2"/>
    </row>
    <row r="782" spans="2:15" s="1" customFormat="1" x14ac:dyDescent="0.25">
      <c r="B782" s="12"/>
      <c r="D782" s="23"/>
      <c r="E782" s="2"/>
      <c r="F782" s="2"/>
      <c r="O782" s="2"/>
    </row>
    <row r="783" spans="2:15" s="1" customFormat="1" x14ac:dyDescent="0.25">
      <c r="B783" s="12"/>
      <c r="D783" s="23"/>
      <c r="E783" s="2"/>
      <c r="F783" s="2"/>
      <c r="O783" s="2"/>
    </row>
    <row r="784" spans="2:15" s="1" customFormat="1" x14ac:dyDescent="0.25">
      <c r="B784" s="12"/>
      <c r="D784" s="23"/>
      <c r="E784" s="2"/>
      <c r="F784" s="2"/>
      <c r="O784" s="2"/>
    </row>
    <row r="785" spans="2:15" s="1" customFormat="1" x14ac:dyDescent="0.25">
      <c r="B785" s="12"/>
      <c r="D785" s="23"/>
      <c r="E785" s="2"/>
      <c r="F785" s="2"/>
      <c r="O785" s="2"/>
    </row>
    <row r="786" spans="2:15" s="1" customFormat="1" x14ac:dyDescent="0.25">
      <c r="B786" s="12"/>
      <c r="D786" s="23"/>
      <c r="E786" s="2"/>
      <c r="F786" s="2"/>
      <c r="O786" s="2"/>
    </row>
    <row r="787" spans="2:15" s="1" customFormat="1" x14ac:dyDescent="0.25">
      <c r="B787" s="12"/>
      <c r="D787" s="23"/>
      <c r="E787" s="2"/>
      <c r="F787" s="2"/>
      <c r="O787" s="2"/>
    </row>
    <row r="788" spans="2:15" s="1" customFormat="1" x14ac:dyDescent="0.25">
      <c r="B788" s="12"/>
      <c r="D788" s="23"/>
      <c r="E788" s="2"/>
      <c r="F788" s="2"/>
      <c r="O788" s="2"/>
    </row>
    <row r="789" spans="2:15" s="1" customFormat="1" x14ac:dyDescent="0.25">
      <c r="B789" s="12"/>
      <c r="D789" s="23"/>
      <c r="E789" s="2"/>
      <c r="F789" s="2"/>
      <c r="O789" s="2"/>
    </row>
    <row r="790" spans="2:15" s="1" customFormat="1" x14ac:dyDescent="0.25">
      <c r="B790" s="12"/>
      <c r="D790" s="23"/>
      <c r="E790" s="2"/>
      <c r="F790" s="2"/>
      <c r="O790" s="2"/>
    </row>
    <row r="791" spans="2:15" s="1" customFormat="1" x14ac:dyDescent="0.25">
      <c r="B791" s="12"/>
      <c r="D791" s="23"/>
      <c r="E791" s="2"/>
      <c r="F791" s="2"/>
      <c r="O791" s="2"/>
    </row>
    <row r="792" spans="2:15" s="1" customFormat="1" x14ac:dyDescent="0.25">
      <c r="B792" s="12"/>
      <c r="D792" s="23"/>
      <c r="E792" s="2"/>
      <c r="F792" s="2"/>
      <c r="O792" s="2"/>
    </row>
    <row r="793" spans="2:15" s="1" customFormat="1" x14ac:dyDescent="0.25">
      <c r="B793" s="12"/>
      <c r="D793" s="23"/>
      <c r="E793" s="2"/>
      <c r="F793" s="2"/>
      <c r="O793" s="2"/>
    </row>
    <row r="794" spans="2:15" s="1" customFormat="1" x14ac:dyDescent="0.25">
      <c r="B794" s="12"/>
      <c r="D794" s="23"/>
      <c r="E794" s="2"/>
      <c r="F794" s="2"/>
      <c r="O794" s="2"/>
    </row>
    <row r="795" spans="2:15" s="1" customFormat="1" x14ac:dyDescent="0.25">
      <c r="B795" s="12"/>
      <c r="D795" s="23"/>
      <c r="E795" s="2"/>
      <c r="F795" s="2"/>
      <c r="O795" s="2"/>
    </row>
    <row r="796" spans="2:15" s="1" customFormat="1" x14ac:dyDescent="0.25">
      <c r="B796" s="12"/>
      <c r="D796" s="23"/>
      <c r="E796" s="2"/>
      <c r="F796" s="2"/>
      <c r="O796" s="2"/>
    </row>
    <row r="797" spans="2:15" s="1" customFormat="1" x14ac:dyDescent="0.25">
      <c r="B797" s="12"/>
      <c r="D797" s="23"/>
      <c r="E797" s="2"/>
      <c r="F797" s="2"/>
      <c r="O797" s="2"/>
    </row>
    <row r="798" spans="2:15" s="1" customFormat="1" x14ac:dyDescent="0.25">
      <c r="B798" s="12"/>
      <c r="D798" s="23"/>
      <c r="E798" s="2"/>
      <c r="F798" s="2"/>
      <c r="O798" s="2"/>
    </row>
    <row r="799" spans="2:15" s="1" customFormat="1" x14ac:dyDescent="0.25">
      <c r="B799" s="12"/>
      <c r="D799" s="23"/>
      <c r="E799" s="2"/>
      <c r="F799" s="2"/>
      <c r="O799" s="2"/>
    </row>
    <row r="800" spans="2:15" s="1" customFormat="1" x14ac:dyDescent="0.25">
      <c r="B800" s="12"/>
      <c r="D800" s="23"/>
      <c r="E800" s="2"/>
      <c r="F800" s="2"/>
      <c r="O800" s="2"/>
    </row>
    <row r="801" spans="2:15" s="1" customFormat="1" x14ac:dyDescent="0.25">
      <c r="B801" s="12"/>
      <c r="D801" s="23"/>
      <c r="E801" s="2"/>
      <c r="F801" s="2"/>
      <c r="O801" s="2"/>
    </row>
    <row r="802" spans="2:15" s="1" customFormat="1" x14ac:dyDescent="0.25">
      <c r="B802" s="12"/>
      <c r="D802" s="23"/>
      <c r="E802" s="2"/>
      <c r="F802" s="2"/>
      <c r="O802" s="2"/>
    </row>
    <row r="803" spans="2:15" s="1" customFormat="1" x14ac:dyDescent="0.25">
      <c r="B803" s="12"/>
      <c r="D803" s="23"/>
      <c r="E803" s="2"/>
      <c r="F803" s="2"/>
      <c r="O803" s="2"/>
    </row>
    <row r="804" spans="2:15" s="1" customFormat="1" x14ac:dyDescent="0.25">
      <c r="B804" s="12"/>
      <c r="D804" s="23"/>
      <c r="E804" s="2"/>
      <c r="F804" s="2"/>
      <c r="O804" s="2"/>
    </row>
    <row r="805" spans="2:15" s="1" customFormat="1" x14ac:dyDescent="0.25">
      <c r="B805" s="12"/>
      <c r="D805" s="23"/>
      <c r="E805" s="2"/>
      <c r="F805" s="2"/>
      <c r="O805" s="2"/>
    </row>
    <row r="806" spans="2:15" s="1" customFormat="1" x14ac:dyDescent="0.25">
      <c r="B806" s="12"/>
      <c r="D806" s="23"/>
      <c r="E806" s="2"/>
      <c r="F806" s="2"/>
      <c r="O806" s="2"/>
    </row>
    <row r="807" spans="2:15" s="1" customFormat="1" x14ac:dyDescent="0.25">
      <c r="B807" s="12"/>
      <c r="D807" s="23"/>
      <c r="E807" s="2"/>
      <c r="F807" s="2"/>
      <c r="O807" s="2"/>
    </row>
    <row r="808" spans="2:15" s="1" customFormat="1" x14ac:dyDescent="0.25">
      <c r="B808" s="12"/>
      <c r="D808" s="23"/>
      <c r="E808" s="2"/>
      <c r="F808" s="2"/>
      <c r="O808" s="2"/>
    </row>
    <row r="809" spans="2:15" s="1" customFormat="1" x14ac:dyDescent="0.25">
      <c r="B809" s="12"/>
      <c r="D809" s="23"/>
      <c r="E809" s="2"/>
      <c r="F809" s="2"/>
      <c r="O809" s="2"/>
    </row>
    <row r="810" spans="2:15" s="1" customFormat="1" x14ac:dyDescent="0.25">
      <c r="B810" s="12"/>
      <c r="D810" s="23"/>
      <c r="E810" s="2"/>
      <c r="F810" s="2"/>
      <c r="O810" s="2"/>
    </row>
    <row r="811" spans="2:15" s="1" customFormat="1" x14ac:dyDescent="0.25">
      <c r="B811" s="12"/>
      <c r="D811" s="23"/>
      <c r="E811" s="2"/>
      <c r="F811" s="2"/>
      <c r="O811" s="2"/>
    </row>
    <row r="812" spans="2:15" s="1" customFormat="1" x14ac:dyDescent="0.25">
      <c r="B812" s="12"/>
      <c r="D812" s="23"/>
      <c r="E812" s="2"/>
      <c r="F812" s="2"/>
      <c r="O812" s="2"/>
    </row>
    <row r="813" spans="2:15" s="1" customFormat="1" x14ac:dyDescent="0.25">
      <c r="B813" s="12"/>
      <c r="D813" s="23"/>
      <c r="E813" s="2"/>
      <c r="F813" s="2"/>
      <c r="O813" s="2"/>
    </row>
    <row r="814" spans="2:15" s="1" customFormat="1" x14ac:dyDescent="0.25">
      <c r="B814" s="12"/>
      <c r="D814" s="23"/>
      <c r="E814" s="2"/>
      <c r="F814" s="2"/>
      <c r="O814" s="2"/>
    </row>
    <row r="815" spans="2:15" s="1" customFormat="1" x14ac:dyDescent="0.25">
      <c r="B815" s="12"/>
      <c r="D815" s="23"/>
      <c r="E815" s="2"/>
      <c r="F815" s="2"/>
      <c r="O815" s="2"/>
    </row>
    <row r="816" spans="2:15" s="1" customFormat="1" x14ac:dyDescent="0.25">
      <c r="B816" s="12"/>
      <c r="D816" s="23"/>
      <c r="E816" s="2"/>
      <c r="F816" s="2"/>
      <c r="O816" s="2"/>
    </row>
    <row r="817" spans="2:15" s="1" customFormat="1" x14ac:dyDescent="0.25">
      <c r="B817" s="12"/>
      <c r="D817" s="23"/>
      <c r="E817" s="2"/>
      <c r="F817" s="2"/>
      <c r="O817" s="2"/>
    </row>
    <row r="818" spans="2:15" s="1" customFormat="1" x14ac:dyDescent="0.25">
      <c r="B818" s="12"/>
      <c r="D818" s="23"/>
      <c r="E818" s="2"/>
      <c r="F818" s="2"/>
      <c r="O818" s="2"/>
    </row>
    <row r="819" spans="2:15" s="1" customFormat="1" x14ac:dyDescent="0.25">
      <c r="B819" s="12"/>
      <c r="D819" s="23"/>
      <c r="E819" s="2"/>
      <c r="F819" s="2"/>
      <c r="O819" s="2"/>
    </row>
    <row r="820" spans="2:15" s="1" customFormat="1" x14ac:dyDescent="0.25">
      <c r="B820" s="12"/>
      <c r="D820" s="23"/>
      <c r="E820" s="2"/>
      <c r="F820" s="2"/>
      <c r="O820" s="2"/>
    </row>
    <row r="821" spans="2:15" s="1" customFormat="1" x14ac:dyDescent="0.25">
      <c r="B821" s="12"/>
      <c r="D821" s="23"/>
      <c r="E821" s="2"/>
      <c r="F821" s="2"/>
      <c r="O821" s="2"/>
    </row>
    <row r="822" spans="2:15" s="1" customFormat="1" x14ac:dyDescent="0.25">
      <c r="B822" s="12"/>
      <c r="D822" s="23"/>
      <c r="E822" s="2"/>
      <c r="F822" s="2"/>
      <c r="O822" s="2"/>
    </row>
    <row r="823" spans="2:15" s="1" customFormat="1" x14ac:dyDescent="0.25">
      <c r="B823" s="12"/>
      <c r="D823" s="23"/>
      <c r="E823" s="2"/>
      <c r="F823" s="2"/>
      <c r="O823" s="2"/>
    </row>
    <row r="824" spans="2:15" s="1" customFormat="1" x14ac:dyDescent="0.25">
      <c r="B824" s="12"/>
      <c r="D824" s="23"/>
      <c r="E824" s="2"/>
      <c r="F824" s="2"/>
      <c r="O824" s="2"/>
    </row>
    <row r="825" spans="2:15" s="1" customFormat="1" x14ac:dyDescent="0.25">
      <c r="B825" s="12"/>
      <c r="D825" s="23"/>
      <c r="E825" s="2"/>
      <c r="F825" s="2"/>
      <c r="O825" s="2"/>
    </row>
    <row r="826" spans="2:15" s="1" customFormat="1" x14ac:dyDescent="0.25">
      <c r="B826" s="12"/>
      <c r="D826" s="23"/>
      <c r="E826" s="2"/>
      <c r="F826" s="2"/>
      <c r="O826" s="2"/>
    </row>
    <row r="827" spans="2:15" s="1" customFormat="1" x14ac:dyDescent="0.25">
      <c r="B827" s="12"/>
      <c r="D827" s="23"/>
      <c r="E827" s="2"/>
      <c r="F827" s="2"/>
      <c r="O827" s="2"/>
    </row>
    <row r="828" spans="2:15" s="1" customFormat="1" x14ac:dyDescent="0.25">
      <c r="B828" s="12"/>
      <c r="D828" s="23"/>
      <c r="E828" s="2"/>
      <c r="F828" s="2"/>
      <c r="O828" s="2"/>
    </row>
    <row r="829" spans="2:15" s="1" customFormat="1" x14ac:dyDescent="0.25">
      <c r="B829" s="12"/>
      <c r="D829" s="23"/>
      <c r="E829" s="2"/>
      <c r="F829" s="2"/>
      <c r="O829" s="2"/>
    </row>
    <row r="830" spans="2:15" s="1" customFormat="1" x14ac:dyDescent="0.25">
      <c r="B830" s="12"/>
      <c r="D830" s="23"/>
      <c r="E830" s="2"/>
      <c r="F830" s="2"/>
      <c r="O830" s="2"/>
    </row>
    <row r="831" spans="2:15" s="1" customFormat="1" x14ac:dyDescent="0.25">
      <c r="B831" s="12"/>
      <c r="D831" s="23"/>
      <c r="E831" s="2"/>
      <c r="F831" s="2"/>
      <c r="O831" s="2"/>
    </row>
    <row r="832" spans="2:15" s="1" customFormat="1" x14ac:dyDescent="0.25">
      <c r="B832" s="12"/>
      <c r="D832" s="23"/>
      <c r="E832" s="2"/>
      <c r="F832" s="2"/>
      <c r="O832" s="2"/>
    </row>
    <row r="833" spans="2:15" s="1" customFormat="1" x14ac:dyDescent="0.25">
      <c r="B833" s="12"/>
      <c r="D833" s="23"/>
      <c r="E833" s="2"/>
      <c r="F833" s="2"/>
      <c r="O833" s="2"/>
    </row>
    <row r="834" spans="2:15" s="1" customFormat="1" x14ac:dyDescent="0.25">
      <c r="B834" s="12"/>
      <c r="D834" s="23"/>
      <c r="E834" s="2"/>
      <c r="F834" s="2"/>
      <c r="O834" s="2"/>
    </row>
    <row r="835" spans="2:15" s="1" customFormat="1" x14ac:dyDescent="0.25">
      <c r="B835" s="12"/>
      <c r="D835" s="23"/>
      <c r="E835" s="2"/>
      <c r="F835" s="2"/>
      <c r="O835" s="2"/>
    </row>
    <row r="836" spans="2:15" s="1" customFormat="1" x14ac:dyDescent="0.25">
      <c r="B836" s="12"/>
      <c r="D836" s="23"/>
      <c r="E836" s="2"/>
      <c r="F836" s="2"/>
      <c r="O836" s="2"/>
    </row>
    <row r="837" spans="2:15" s="1" customFormat="1" x14ac:dyDescent="0.25">
      <c r="B837" s="12"/>
      <c r="D837" s="23"/>
      <c r="E837" s="2"/>
      <c r="F837" s="2"/>
      <c r="O837" s="2"/>
    </row>
    <row r="838" spans="2:15" s="1" customFormat="1" x14ac:dyDescent="0.25">
      <c r="B838" s="12"/>
      <c r="D838" s="23"/>
      <c r="E838" s="2"/>
      <c r="F838" s="2"/>
      <c r="O838" s="2"/>
    </row>
    <row r="839" spans="2:15" s="1" customFormat="1" x14ac:dyDescent="0.25">
      <c r="B839" s="12"/>
      <c r="D839" s="23"/>
      <c r="E839" s="2"/>
      <c r="F839" s="2"/>
      <c r="O839" s="2"/>
    </row>
    <row r="840" spans="2:15" s="1" customFormat="1" x14ac:dyDescent="0.25">
      <c r="B840" s="12"/>
      <c r="D840" s="23"/>
      <c r="E840" s="2"/>
      <c r="F840" s="2"/>
      <c r="O840" s="2"/>
    </row>
    <row r="841" spans="2:15" s="1" customFormat="1" x14ac:dyDescent="0.25">
      <c r="B841" s="12"/>
      <c r="D841" s="23"/>
      <c r="E841" s="2"/>
      <c r="F841" s="2"/>
      <c r="O841" s="2"/>
    </row>
    <row r="842" spans="2:15" s="1" customFormat="1" x14ac:dyDescent="0.25">
      <c r="B842" s="12"/>
      <c r="D842" s="23"/>
      <c r="E842" s="2"/>
      <c r="F842" s="2"/>
      <c r="O842" s="2"/>
    </row>
    <row r="843" spans="2:15" s="1" customFormat="1" x14ac:dyDescent="0.25">
      <c r="B843" s="12"/>
      <c r="D843" s="23"/>
      <c r="E843" s="2"/>
      <c r="F843" s="2"/>
      <c r="O843" s="2"/>
    </row>
    <row r="844" spans="2:15" s="1" customFormat="1" x14ac:dyDescent="0.25">
      <c r="B844" s="12"/>
      <c r="D844" s="23"/>
      <c r="E844" s="2"/>
      <c r="F844" s="2"/>
      <c r="O844" s="2"/>
    </row>
    <row r="845" spans="2:15" s="1" customFormat="1" x14ac:dyDescent="0.25">
      <c r="B845" s="12"/>
      <c r="D845" s="23"/>
      <c r="E845" s="2"/>
      <c r="F845" s="2"/>
      <c r="O845" s="2"/>
    </row>
    <row r="846" spans="2:15" s="1" customFormat="1" x14ac:dyDescent="0.25">
      <c r="B846" s="12"/>
      <c r="D846" s="23"/>
      <c r="E846" s="2"/>
      <c r="F846" s="2"/>
      <c r="O846" s="2"/>
    </row>
    <row r="847" spans="2:15" s="1" customFormat="1" x14ac:dyDescent="0.25">
      <c r="B847" s="12"/>
      <c r="D847" s="23"/>
      <c r="E847" s="2"/>
      <c r="F847" s="2"/>
      <c r="O847" s="2"/>
    </row>
    <row r="848" spans="2:15" s="1" customFormat="1" x14ac:dyDescent="0.25">
      <c r="B848" s="12"/>
      <c r="D848" s="23"/>
      <c r="E848" s="2"/>
      <c r="F848" s="2"/>
      <c r="O848" s="2"/>
    </row>
    <row r="849" spans="2:15" s="1" customFormat="1" x14ac:dyDescent="0.25">
      <c r="B849" s="12"/>
      <c r="D849" s="23"/>
      <c r="E849" s="2"/>
      <c r="F849" s="2"/>
      <c r="O849" s="2"/>
    </row>
    <row r="850" spans="2:15" s="1" customFormat="1" x14ac:dyDescent="0.25">
      <c r="B850" s="12"/>
      <c r="D850" s="23"/>
      <c r="E850" s="2"/>
      <c r="F850" s="2"/>
      <c r="O850" s="2"/>
    </row>
    <row r="851" spans="2:15" s="1" customFormat="1" x14ac:dyDescent="0.25">
      <c r="B851" s="12"/>
      <c r="D851" s="23"/>
      <c r="E851" s="2"/>
      <c r="F851" s="2"/>
      <c r="O851" s="2"/>
    </row>
    <row r="852" spans="2:15" s="1" customFormat="1" x14ac:dyDescent="0.25">
      <c r="B852" s="12"/>
      <c r="D852" s="23"/>
      <c r="E852" s="2"/>
      <c r="F852" s="2"/>
      <c r="O852" s="2"/>
    </row>
    <row r="853" spans="2:15" s="1" customFormat="1" x14ac:dyDescent="0.25">
      <c r="B853" s="12"/>
      <c r="D853" s="23"/>
      <c r="E853" s="2"/>
      <c r="F853" s="2"/>
      <c r="O853" s="2"/>
    </row>
    <row r="854" spans="2:15" s="1" customFormat="1" x14ac:dyDescent="0.25">
      <c r="B854" s="12"/>
      <c r="D854" s="23"/>
      <c r="E854" s="2"/>
      <c r="F854" s="2"/>
      <c r="O854" s="2"/>
    </row>
    <row r="855" spans="2:15" s="1" customFormat="1" x14ac:dyDescent="0.25">
      <c r="B855" s="12"/>
      <c r="D855" s="23"/>
      <c r="E855" s="2"/>
      <c r="F855" s="2"/>
      <c r="O855" s="2"/>
    </row>
    <row r="856" spans="2:15" s="1" customFormat="1" x14ac:dyDescent="0.25">
      <c r="B856" s="12"/>
      <c r="D856" s="23"/>
      <c r="E856" s="2"/>
      <c r="F856" s="2"/>
      <c r="O856" s="2"/>
    </row>
    <row r="857" spans="2:15" s="1" customFormat="1" x14ac:dyDescent="0.25">
      <c r="B857" s="12"/>
      <c r="D857" s="23"/>
      <c r="E857" s="2"/>
      <c r="F857" s="2"/>
      <c r="O857" s="2"/>
    </row>
    <row r="858" spans="2:15" s="1" customFormat="1" x14ac:dyDescent="0.25">
      <c r="B858" s="12"/>
      <c r="D858" s="23"/>
      <c r="E858" s="2"/>
      <c r="F858" s="2"/>
      <c r="O858" s="2"/>
    </row>
    <row r="859" spans="2:15" s="1" customFormat="1" x14ac:dyDescent="0.25">
      <c r="B859" s="12"/>
      <c r="D859" s="23"/>
      <c r="E859" s="2"/>
      <c r="F859" s="2"/>
      <c r="O859" s="2"/>
    </row>
    <row r="860" spans="2:15" s="1" customFormat="1" x14ac:dyDescent="0.25">
      <c r="B860" s="12"/>
      <c r="D860" s="23"/>
      <c r="E860" s="2"/>
      <c r="F860" s="2"/>
      <c r="O860" s="2"/>
    </row>
    <row r="861" spans="2:15" s="1" customFormat="1" x14ac:dyDescent="0.25">
      <c r="B861" s="12"/>
      <c r="D861" s="23"/>
      <c r="E861" s="2"/>
      <c r="F861" s="2"/>
      <c r="O861" s="2"/>
    </row>
    <row r="862" spans="2:15" s="1" customFormat="1" x14ac:dyDescent="0.25">
      <c r="B862" s="12"/>
      <c r="D862" s="23"/>
      <c r="E862" s="2"/>
      <c r="F862" s="2"/>
      <c r="O862" s="2"/>
    </row>
    <row r="863" spans="2:15" s="1" customFormat="1" x14ac:dyDescent="0.25">
      <c r="B863" s="12"/>
      <c r="D863" s="23"/>
      <c r="E863" s="2"/>
      <c r="F863" s="2"/>
      <c r="O863" s="2"/>
    </row>
    <row r="864" spans="2:15" s="1" customFormat="1" x14ac:dyDescent="0.25">
      <c r="B864" s="12"/>
      <c r="D864" s="23"/>
      <c r="E864" s="2"/>
      <c r="F864" s="2"/>
      <c r="O864" s="2"/>
    </row>
    <row r="865" spans="2:15" s="1" customFormat="1" x14ac:dyDescent="0.25">
      <c r="B865" s="12"/>
      <c r="D865" s="23"/>
      <c r="E865" s="2"/>
      <c r="F865" s="2"/>
      <c r="O865" s="2"/>
    </row>
    <row r="866" spans="2:15" s="1" customFormat="1" x14ac:dyDescent="0.25">
      <c r="B866" s="12"/>
      <c r="D866" s="23"/>
      <c r="E866" s="2"/>
      <c r="F866" s="2"/>
      <c r="O866" s="2"/>
    </row>
    <row r="867" spans="2:15" s="1" customFormat="1" x14ac:dyDescent="0.25">
      <c r="B867" s="12"/>
      <c r="D867" s="23"/>
      <c r="E867" s="2"/>
      <c r="F867" s="2"/>
      <c r="O867" s="2"/>
    </row>
    <row r="868" spans="2:15" s="1" customFormat="1" x14ac:dyDescent="0.25">
      <c r="B868" s="12"/>
      <c r="D868" s="23"/>
      <c r="E868" s="2"/>
      <c r="F868" s="2"/>
      <c r="O868" s="2"/>
    </row>
    <row r="869" spans="2:15" s="1" customFormat="1" x14ac:dyDescent="0.25">
      <c r="B869" s="12"/>
      <c r="D869" s="23"/>
      <c r="E869" s="2"/>
      <c r="F869" s="2"/>
      <c r="O869" s="2"/>
    </row>
    <row r="870" spans="2:15" s="1" customFormat="1" x14ac:dyDescent="0.25">
      <c r="B870" s="12"/>
      <c r="D870" s="23"/>
      <c r="E870" s="2"/>
      <c r="F870" s="2"/>
      <c r="O870" s="2"/>
    </row>
    <row r="871" spans="2:15" s="1" customFormat="1" x14ac:dyDescent="0.25">
      <c r="B871" s="12"/>
      <c r="D871" s="23"/>
      <c r="E871" s="2"/>
      <c r="F871" s="2"/>
      <c r="O871" s="2"/>
    </row>
    <row r="872" spans="2:15" s="1" customFormat="1" x14ac:dyDescent="0.25">
      <c r="B872" s="12"/>
      <c r="D872" s="23"/>
      <c r="E872" s="2"/>
      <c r="F872" s="2"/>
      <c r="O872" s="2"/>
    </row>
    <row r="873" spans="2:15" s="1" customFormat="1" x14ac:dyDescent="0.25">
      <c r="B873" s="12"/>
      <c r="D873" s="23"/>
      <c r="E873" s="2"/>
      <c r="F873" s="2"/>
      <c r="O873" s="2"/>
    </row>
    <row r="874" spans="2:15" s="1" customFormat="1" x14ac:dyDescent="0.25">
      <c r="B874" s="12"/>
      <c r="D874" s="23"/>
      <c r="E874" s="2"/>
      <c r="F874" s="2"/>
      <c r="O874" s="2"/>
    </row>
    <row r="875" spans="2:15" s="1" customFormat="1" x14ac:dyDescent="0.25">
      <c r="B875" s="12"/>
      <c r="D875" s="23"/>
      <c r="E875" s="2"/>
      <c r="F875" s="2"/>
      <c r="O875" s="2"/>
    </row>
    <row r="876" spans="2:15" s="1" customFormat="1" x14ac:dyDescent="0.25">
      <c r="B876" s="12"/>
      <c r="D876" s="23"/>
      <c r="E876" s="2"/>
      <c r="F876" s="2"/>
      <c r="O876" s="2"/>
    </row>
    <row r="877" spans="2:15" s="1" customFormat="1" x14ac:dyDescent="0.25">
      <c r="B877" s="12"/>
      <c r="D877" s="23"/>
      <c r="E877" s="2"/>
      <c r="F877" s="2"/>
      <c r="O877" s="2"/>
    </row>
    <row r="878" spans="2:15" s="1" customFormat="1" x14ac:dyDescent="0.25">
      <c r="B878" s="12"/>
      <c r="D878" s="23"/>
      <c r="E878" s="2"/>
      <c r="F878" s="2"/>
      <c r="O878" s="2"/>
    </row>
    <row r="879" spans="2:15" s="1" customFormat="1" x14ac:dyDescent="0.25">
      <c r="B879" s="12"/>
      <c r="D879" s="23"/>
      <c r="E879" s="2"/>
      <c r="F879" s="2"/>
      <c r="O879" s="2"/>
    </row>
    <row r="880" spans="2:15" s="1" customFormat="1" x14ac:dyDescent="0.25">
      <c r="B880" s="12"/>
      <c r="D880" s="23"/>
      <c r="E880" s="2"/>
      <c r="F880" s="2"/>
      <c r="O880" s="2"/>
    </row>
    <row r="881" spans="2:15" s="1" customFormat="1" x14ac:dyDescent="0.25">
      <c r="B881" s="12"/>
      <c r="D881" s="23"/>
      <c r="E881" s="2"/>
      <c r="F881" s="2"/>
      <c r="O881" s="2"/>
    </row>
    <row r="882" spans="2:15" s="1" customFormat="1" x14ac:dyDescent="0.25">
      <c r="B882" s="12"/>
      <c r="D882" s="23"/>
      <c r="E882" s="2"/>
      <c r="F882" s="2"/>
      <c r="O882" s="2"/>
    </row>
    <row r="883" spans="2:15" s="1" customFormat="1" x14ac:dyDescent="0.25">
      <c r="B883" s="12"/>
      <c r="D883" s="23"/>
      <c r="E883" s="2"/>
      <c r="F883" s="2"/>
      <c r="O883" s="2"/>
    </row>
    <row r="884" spans="2:15" s="1" customFormat="1" x14ac:dyDescent="0.25">
      <c r="B884" s="12"/>
      <c r="D884" s="23"/>
      <c r="E884" s="2"/>
      <c r="F884" s="2"/>
      <c r="O884" s="2"/>
    </row>
    <row r="885" spans="2:15" s="1" customFormat="1" x14ac:dyDescent="0.25">
      <c r="B885" s="12"/>
      <c r="D885" s="23"/>
      <c r="E885" s="2"/>
      <c r="F885" s="2"/>
      <c r="O885" s="2"/>
    </row>
    <row r="886" spans="2:15" s="1" customFormat="1" x14ac:dyDescent="0.25">
      <c r="B886" s="12"/>
      <c r="D886" s="23"/>
      <c r="E886" s="2"/>
      <c r="F886" s="2"/>
      <c r="O886" s="2"/>
    </row>
    <row r="887" spans="2:15" s="1" customFormat="1" x14ac:dyDescent="0.25">
      <c r="B887" s="12"/>
      <c r="D887" s="23"/>
      <c r="E887" s="2"/>
      <c r="F887" s="2"/>
      <c r="O887" s="2"/>
    </row>
    <row r="888" spans="2:15" s="1" customFormat="1" x14ac:dyDescent="0.25">
      <c r="B888" s="12"/>
      <c r="D888" s="23"/>
      <c r="E888" s="2"/>
      <c r="F888" s="2"/>
      <c r="O888" s="2"/>
    </row>
    <row r="889" spans="2:15" s="1" customFormat="1" x14ac:dyDescent="0.25">
      <c r="B889" s="12"/>
      <c r="D889" s="23"/>
      <c r="E889" s="2"/>
      <c r="F889" s="2"/>
      <c r="O889" s="2"/>
    </row>
    <row r="890" spans="2:15" s="1" customFormat="1" x14ac:dyDescent="0.25">
      <c r="B890" s="12"/>
      <c r="D890" s="23"/>
      <c r="E890" s="2"/>
      <c r="F890" s="2"/>
      <c r="O890" s="2"/>
    </row>
    <row r="891" spans="2:15" s="1" customFormat="1" x14ac:dyDescent="0.25">
      <c r="B891" s="12"/>
      <c r="D891" s="23"/>
      <c r="E891" s="2"/>
      <c r="F891" s="2"/>
      <c r="O891" s="2"/>
    </row>
    <row r="892" spans="2:15" s="1" customFormat="1" x14ac:dyDescent="0.25">
      <c r="B892" s="12"/>
      <c r="D892" s="23"/>
      <c r="E892" s="2"/>
      <c r="F892" s="2"/>
      <c r="O892" s="2"/>
    </row>
    <row r="893" spans="2:15" s="1" customFormat="1" x14ac:dyDescent="0.25">
      <c r="B893" s="12"/>
      <c r="D893" s="23"/>
      <c r="E893" s="2"/>
      <c r="F893" s="2"/>
      <c r="O893" s="2"/>
    </row>
    <row r="894" spans="2:15" s="1" customFormat="1" x14ac:dyDescent="0.25">
      <c r="B894" s="12"/>
      <c r="D894" s="23"/>
      <c r="E894" s="2"/>
      <c r="F894" s="2"/>
      <c r="O894" s="2"/>
    </row>
    <row r="895" spans="2:15" s="1" customFormat="1" x14ac:dyDescent="0.25">
      <c r="B895" s="12"/>
      <c r="D895" s="23"/>
      <c r="E895" s="2"/>
      <c r="F895" s="2"/>
      <c r="O895" s="2"/>
    </row>
    <row r="896" spans="2:15" s="1" customFormat="1" x14ac:dyDescent="0.25">
      <c r="B896" s="12"/>
      <c r="D896" s="23"/>
      <c r="E896" s="2"/>
      <c r="F896" s="2"/>
      <c r="O896" s="2"/>
    </row>
    <row r="897" spans="2:15" s="1" customFormat="1" x14ac:dyDescent="0.25">
      <c r="B897" s="12"/>
      <c r="D897" s="23"/>
      <c r="E897" s="2"/>
      <c r="F897" s="2"/>
      <c r="O897" s="2"/>
    </row>
    <row r="898" spans="2:15" s="1" customFormat="1" x14ac:dyDescent="0.25">
      <c r="B898" s="12"/>
      <c r="D898" s="23"/>
      <c r="E898" s="2"/>
      <c r="F898" s="2"/>
      <c r="O898" s="2"/>
    </row>
    <row r="899" spans="2:15" s="1" customFormat="1" x14ac:dyDescent="0.25">
      <c r="B899" s="12"/>
      <c r="D899" s="23"/>
      <c r="E899" s="2"/>
      <c r="F899" s="2"/>
      <c r="O899" s="2"/>
    </row>
    <row r="900" spans="2:15" s="1" customFormat="1" x14ac:dyDescent="0.25">
      <c r="B900" s="12"/>
      <c r="D900" s="23"/>
      <c r="E900" s="2"/>
      <c r="F900" s="2"/>
      <c r="O900" s="2"/>
    </row>
    <row r="901" spans="2:15" s="1" customFormat="1" x14ac:dyDescent="0.25">
      <c r="B901" s="12"/>
      <c r="D901" s="23"/>
      <c r="E901" s="2"/>
      <c r="F901" s="2"/>
      <c r="O901" s="2"/>
    </row>
    <row r="902" spans="2:15" s="1" customFormat="1" x14ac:dyDescent="0.25">
      <c r="B902" s="12"/>
      <c r="D902" s="23"/>
      <c r="E902" s="2"/>
      <c r="F902" s="2"/>
      <c r="O902" s="2"/>
    </row>
    <row r="903" spans="2:15" s="1" customFormat="1" x14ac:dyDescent="0.25">
      <c r="B903" s="12"/>
      <c r="D903" s="23"/>
      <c r="E903" s="2"/>
      <c r="F903" s="2"/>
      <c r="O903" s="2"/>
    </row>
    <row r="904" spans="2:15" s="1" customFormat="1" x14ac:dyDescent="0.25">
      <c r="B904" s="12"/>
      <c r="D904" s="23"/>
      <c r="E904" s="2"/>
      <c r="F904" s="2"/>
      <c r="O904" s="2"/>
    </row>
    <row r="905" spans="2:15" s="1" customFormat="1" x14ac:dyDescent="0.25">
      <c r="B905" s="12"/>
      <c r="D905" s="23"/>
      <c r="E905" s="2"/>
      <c r="F905" s="2"/>
      <c r="O905" s="2"/>
    </row>
    <row r="906" spans="2:15" s="1" customFormat="1" x14ac:dyDescent="0.25">
      <c r="B906" s="12"/>
      <c r="D906" s="23"/>
      <c r="E906" s="2"/>
      <c r="F906" s="2"/>
      <c r="O906" s="2"/>
    </row>
    <row r="907" spans="2:15" s="1" customFormat="1" x14ac:dyDescent="0.25">
      <c r="B907" s="12"/>
      <c r="D907" s="23"/>
      <c r="E907" s="2"/>
      <c r="F907" s="2"/>
      <c r="O907" s="2"/>
    </row>
    <row r="908" spans="2:15" s="1" customFormat="1" x14ac:dyDescent="0.25">
      <c r="B908" s="12"/>
      <c r="D908" s="23"/>
      <c r="E908" s="2"/>
      <c r="F908" s="2"/>
      <c r="O908" s="2"/>
    </row>
    <row r="909" spans="2:15" s="1" customFormat="1" x14ac:dyDescent="0.25">
      <c r="B909" s="12"/>
      <c r="D909" s="23"/>
      <c r="E909" s="2"/>
      <c r="F909" s="2"/>
      <c r="O909" s="2"/>
    </row>
    <row r="910" spans="2:15" s="1" customFormat="1" x14ac:dyDescent="0.25">
      <c r="B910" s="12"/>
      <c r="D910" s="23"/>
      <c r="E910" s="2"/>
      <c r="F910" s="2"/>
      <c r="O910" s="2"/>
    </row>
    <row r="911" spans="2:15" s="1" customFormat="1" x14ac:dyDescent="0.25">
      <c r="B911" s="12"/>
      <c r="D911" s="23"/>
      <c r="E911" s="2"/>
      <c r="F911" s="2"/>
      <c r="O911" s="2"/>
    </row>
    <row r="912" spans="2:15" s="1" customFormat="1" x14ac:dyDescent="0.25">
      <c r="B912" s="12"/>
      <c r="D912" s="23"/>
      <c r="E912" s="2"/>
      <c r="F912" s="2"/>
      <c r="O912" s="2"/>
    </row>
    <row r="913" spans="2:15" s="1" customFormat="1" x14ac:dyDescent="0.25">
      <c r="B913" s="12"/>
      <c r="D913" s="23"/>
      <c r="E913" s="2"/>
      <c r="F913" s="2"/>
      <c r="O913" s="2"/>
    </row>
    <row r="914" spans="2:15" s="1" customFormat="1" x14ac:dyDescent="0.25">
      <c r="B914" s="12"/>
      <c r="D914" s="23"/>
      <c r="E914" s="2"/>
      <c r="F914" s="2"/>
      <c r="O914" s="2"/>
    </row>
    <row r="915" spans="2:15" s="1" customFormat="1" x14ac:dyDescent="0.25">
      <c r="B915" s="12"/>
      <c r="D915" s="23"/>
      <c r="E915" s="2"/>
      <c r="F915" s="2"/>
      <c r="O915" s="2"/>
    </row>
    <row r="916" spans="2:15" s="1" customFormat="1" x14ac:dyDescent="0.25">
      <c r="B916" s="12"/>
      <c r="D916" s="23"/>
      <c r="E916" s="2"/>
      <c r="F916" s="2"/>
      <c r="O916" s="2"/>
    </row>
    <row r="917" spans="2:15" s="1" customFormat="1" x14ac:dyDescent="0.25">
      <c r="B917" s="12"/>
      <c r="D917" s="23"/>
      <c r="E917" s="2"/>
      <c r="F917" s="2"/>
      <c r="O917" s="2"/>
    </row>
    <row r="918" spans="2:15" s="1" customFormat="1" x14ac:dyDescent="0.25">
      <c r="B918" s="12"/>
      <c r="D918" s="23"/>
      <c r="E918" s="2"/>
      <c r="F918" s="2"/>
      <c r="O918" s="2"/>
    </row>
    <row r="919" spans="2:15" s="1" customFormat="1" x14ac:dyDescent="0.25">
      <c r="B919" s="12"/>
      <c r="D919" s="23"/>
      <c r="E919" s="2"/>
      <c r="F919" s="2"/>
      <c r="O919" s="2"/>
    </row>
    <row r="920" spans="2:15" s="1" customFormat="1" x14ac:dyDescent="0.25">
      <c r="B920" s="12"/>
      <c r="D920" s="23"/>
      <c r="E920" s="2"/>
      <c r="F920" s="2"/>
      <c r="O920" s="2"/>
    </row>
    <row r="921" spans="2:15" s="1" customFormat="1" x14ac:dyDescent="0.25">
      <c r="B921" s="12"/>
      <c r="D921" s="23"/>
      <c r="E921" s="2"/>
      <c r="F921" s="2"/>
      <c r="O921" s="2"/>
    </row>
    <row r="922" spans="2:15" s="1" customFormat="1" x14ac:dyDescent="0.25">
      <c r="B922" s="12"/>
      <c r="D922" s="23"/>
      <c r="E922" s="2"/>
      <c r="F922" s="2"/>
      <c r="O922" s="2"/>
    </row>
    <row r="923" spans="2:15" s="1" customFormat="1" x14ac:dyDescent="0.25">
      <c r="B923" s="12"/>
      <c r="D923" s="23"/>
      <c r="E923" s="2"/>
      <c r="F923" s="2"/>
      <c r="O923" s="2"/>
    </row>
    <row r="924" spans="2:15" s="1" customFormat="1" x14ac:dyDescent="0.25">
      <c r="B924" s="12"/>
      <c r="D924" s="23"/>
      <c r="E924" s="2"/>
      <c r="F924" s="2"/>
      <c r="O924" s="2"/>
    </row>
    <row r="925" spans="2:15" s="1" customFormat="1" x14ac:dyDescent="0.25">
      <c r="B925" s="12"/>
      <c r="D925" s="23"/>
      <c r="E925" s="2"/>
      <c r="F925" s="2"/>
      <c r="O925" s="2"/>
    </row>
    <row r="926" spans="2:15" s="1" customFormat="1" x14ac:dyDescent="0.25">
      <c r="B926" s="12"/>
      <c r="D926" s="23"/>
      <c r="E926" s="2"/>
      <c r="F926" s="2"/>
      <c r="O926" s="2"/>
    </row>
    <row r="927" spans="2:15" s="1" customFormat="1" x14ac:dyDescent="0.25">
      <c r="B927" s="12"/>
      <c r="D927" s="23"/>
      <c r="E927" s="2"/>
      <c r="F927" s="2"/>
      <c r="O927" s="2"/>
    </row>
    <row r="928" spans="2:15" s="1" customFormat="1" x14ac:dyDescent="0.25">
      <c r="B928" s="12"/>
      <c r="D928" s="23"/>
      <c r="E928" s="2"/>
      <c r="F928" s="2"/>
      <c r="O928" s="2"/>
    </row>
    <row r="929" spans="2:15" s="1" customFormat="1" x14ac:dyDescent="0.25">
      <c r="B929" s="12"/>
      <c r="D929" s="23"/>
      <c r="E929" s="2"/>
      <c r="F929" s="2"/>
      <c r="O929" s="2"/>
    </row>
    <row r="930" spans="2:15" s="1" customFormat="1" x14ac:dyDescent="0.25">
      <c r="B930" s="12"/>
      <c r="D930" s="23"/>
      <c r="E930" s="2"/>
      <c r="F930" s="2"/>
      <c r="O930" s="2"/>
    </row>
    <row r="931" spans="2:15" s="1" customFormat="1" x14ac:dyDescent="0.25">
      <c r="B931" s="12"/>
      <c r="D931" s="23"/>
      <c r="E931" s="2"/>
      <c r="F931" s="2"/>
      <c r="O931" s="2"/>
    </row>
    <row r="932" spans="2:15" s="1" customFormat="1" x14ac:dyDescent="0.25">
      <c r="B932" s="12"/>
      <c r="D932" s="23"/>
      <c r="E932" s="2"/>
      <c r="F932" s="2"/>
      <c r="O932" s="2"/>
    </row>
    <row r="933" spans="2:15" s="1" customFormat="1" x14ac:dyDescent="0.25">
      <c r="B933" s="12"/>
      <c r="D933" s="23"/>
      <c r="E933" s="2"/>
      <c r="F933" s="2"/>
      <c r="O933" s="2"/>
    </row>
    <row r="934" spans="2:15" s="1" customFormat="1" x14ac:dyDescent="0.25">
      <c r="B934" s="12"/>
      <c r="D934" s="23"/>
      <c r="E934" s="2"/>
      <c r="F934" s="2"/>
      <c r="O934" s="2"/>
    </row>
    <row r="935" spans="2:15" s="1" customFormat="1" x14ac:dyDescent="0.25">
      <c r="B935" s="12"/>
      <c r="D935" s="23"/>
      <c r="E935" s="2"/>
      <c r="F935" s="2"/>
      <c r="O935" s="2"/>
    </row>
    <row r="936" spans="2:15" s="1" customFormat="1" x14ac:dyDescent="0.25">
      <c r="B936" s="12"/>
      <c r="D936" s="23"/>
      <c r="E936" s="2"/>
      <c r="F936" s="2"/>
      <c r="O936" s="2"/>
    </row>
    <row r="937" spans="2:15" s="1" customFormat="1" x14ac:dyDescent="0.25">
      <c r="B937" s="12"/>
      <c r="D937" s="23"/>
      <c r="E937" s="2"/>
      <c r="F937" s="2"/>
      <c r="O937" s="2"/>
    </row>
    <row r="938" spans="2:15" s="1" customFormat="1" x14ac:dyDescent="0.25">
      <c r="B938" s="12"/>
      <c r="D938" s="23"/>
      <c r="E938" s="2"/>
      <c r="F938" s="2"/>
      <c r="O938" s="2"/>
    </row>
    <row r="939" spans="2:15" s="1" customFormat="1" x14ac:dyDescent="0.25">
      <c r="B939" s="12"/>
      <c r="D939" s="23"/>
      <c r="E939" s="2"/>
      <c r="F939" s="2"/>
      <c r="O939" s="2"/>
    </row>
    <row r="940" spans="2:15" s="1" customFormat="1" x14ac:dyDescent="0.25">
      <c r="B940" s="12"/>
      <c r="D940" s="23"/>
      <c r="E940" s="2"/>
      <c r="F940" s="2"/>
      <c r="O940" s="2"/>
    </row>
    <row r="941" spans="2:15" s="1" customFormat="1" x14ac:dyDescent="0.25">
      <c r="B941" s="12"/>
      <c r="D941" s="23"/>
      <c r="E941" s="2"/>
      <c r="F941" s="2"/>
      <c r="O941" s="2"/>
    </row>
    <row r="942" spans="2:15" s="1" customFormat="1" x14ac:dyDescent="0.25">
      <c r="B942" s="12"/>
      <c r="D942" s="23"/>
      <c r="E942" s="2"/>
      <c r="F942" s="2"/>
      <c r="O942" s="2"/>
    </row>
    <row r="943" spans="2:15" s="1" customFormat="1" x14ac:dyDescent="0.25">
      <c r="B943" s="12"/>
      <c r="D943" s="23"/>
      <c r="E943" s="2"/>
      <c r="F943" s="2"/>
      <c r="O943" s="2"/>
    </row>
    <row r="944" spans="2:15" s="1" customFormat="1" x14ac:dyDescent="0.25">
      <c r="B944" s="12"/>
      <c r="D944" s="23"/>
      <c r="E944" s="2"/>
      <c r="F944" s="2"/>
      <c r="O944" s="2"/>
    </row>
    <row r="945" spans="2:15" s="1" customFormat="1" x14ac:dyDescent="0.25">
      <c r="B945" s="12"/>
      <c r="D945" s="23"/>
      <c r="E945" s="2"/>
      <c r="F945" s="2"/>
      <c r="O945" s="2"/>
    </row>
    <row r="946" spans="2:15" s="1" customFormat="1" x14ac:dyDescent="0.25">
      <c r="B946" s="12"/>
      <c r="D946" s="23"/>
      <c r="E946" s="2"/>
      <c r="F946" s="2"/>
      <c r="O946" s="2"/>
    </row>
    <row r="947" spans="2:15" s="1" customFormat="1" x14ac:dyDescent="0.25">
      <c r="B947" s="12"/>
      <c r="D947" s="23"/>
      <c r="E947" s="2"/>
      <c r="F947" s="2"/>
      <c r="O947" s="2"/>
    </row>
    <row r="948" spans="2:15" s="1" customFormat="1" x14ac:dyDescent="0.25">
      <c r="B948" s="12"/>
      <c r="D948" s="23"/>
      <c r="E948" s="2"/>
      <c r="F948" s="2"/>
      <c r="O948" s="2"/>
    </row>
    <row r="949" spans="2:15" s="1" customFormat="1" x14ac:dyDescent="0.25">
      <c r="B949" s="12"/>
      <c r="D949" s="23"/>
      <c r="E949" s="2"/>
      <c r="F949" s="2"/>
      <c r="O949" s="2"/>
    </row>
    <row r="950" spans="2:15" s="1" customFormat="1" x14ac:dyDescent="0.25">
      <c r="B950" s="12"/>
      <c r="D950" s="23"/>
      <c r="E950" s="2"/>
      <c r="F950" s="2"/>
      <c r="O950" s="2"/>
    </row>
    <row r="951" spans="2:15" s="1" customFormat="1" x14ac:dyDescent="0.25">
      <c r="B951" s="12"/>
      <c r="D951" s="23"/>
      <c r="E951" s="2"/>
      <c r="F951" s="2"/>
      <c r="O951" s="2"/>
    </row>
    <row r="952" spans="2:15" s="1" customFormat="1" x14ac:dyDescent="0.25">
      <c r="B952" s="12"/>
      <c r="D952" s="23"/>
      <c r="E952" s="2"/>
      <c r="F952" s="2"/>
      <c r="O952" s="2"/>
    </row>
    <row r="953" spans="2:15" s="1" customFormat="1" x14ac:dyDescent="0.25">
      <c r="B953" s="12"/>
      <c r="D953" s="23"/>
      <c r="E953" s="2"/>
      <c r="F953" s="2"/>
      <c r="O953" s="2"/>
    </row>
    <row r="954" spans="2:15" s="1" customFormat="1" x14ac:dyDescent="0.25">
      <c r="B954" s="12"/>
      <c r="D954" s="23"/>
      <c r="E954" s="2"/>
      <c r="F954" s="2"/>
      <c r="O954" s="2"/>
    </row>
    <row r="955" spans="2:15" s="1" customFormat="1" x14ac:dyDescent="0.25">
      <c r="B955" s="12"/>
      <c r="D955" s="23"/>
      <c r="E955" s="2"/>
      <c r="F955" s="2"/>
      <c r="O955" s="2"/>
    </row>
    <row r="956" spans="2:15" s="1" customFormat="1" x14ac:dyDescent="0.25">
      <c r="B956" s="12"/>
      <c r="D956" s="23"/>
      <c r="E956" s="2"/>
      <c r="F956" s="2"/>
      <c r="O956" s="2"/>
    </row>
    <row r="957" spans="2:15" s="1" customFormat="1" x14ac:dyDescent="0.25">
      <c r="B957" s="12"/>
      <c r="D957" s="23"/>
      <c r="E957" s="2"/>
      <c r="F957" s="2"/>
      <c r="O957" s="2"/>
    </row>
    <row r="958" spans="2:15" s="1" customFormat="1" x14ac:dyDescent="0.25">
      <c r="B958" s="12"/>
      <c r="D958" s="23"/>
      <c r="E958" s="2"/>
      <c r="F958" s="2"/>
      <c r="O958" s="2"/>
    </row>
    <row r="959" spans="2:15" s="1" customFormat="1" x14ac:dyDescent="0.25">
      <c r="B959" s="12"/>
      <c r="D959" s="23"/>
      <c r="E959" s="2"/>
      <c r="F959" s="2"/>
      <c r="O959" s="2"/>
    </row>
    <row r="960" spans="2:15" s="1" customFormat="1" x14ac:dyDescent="0.25">
      <c r="B960" s="12"/>
      <c r="D960" s="23"/>
      <c r="E960" s="2"/>
      <c r="F960" s="2"/>
      <c r="O960" s="2"/>
    </row>
    <row r="961" spans="2:15" s="1" customFormat="1" x14ac:dyDescent="0.25">
      <c r="B961" s="12"/>
      <c r="D961" s="23"/>
      <c r="E961" s="2"/>
      <c r="F961" s="2"/>
      <c r="O961" s="2"/>
    </row>
    <row r="962" spans="2:15" s="1" customFormat="1" x14ac:dyDescent="0.25">
      <c r="B962" s="12"/>
      <c r="D962" s="23"/>
      <c r="E962" s="2"/>
      <c r="F962" s="2"/>
      <c r="O962" s="2"/>
    </row>
    <row r="963" spans="2:15" s="1" customFormat="1" x14ac:dyDescent="0.25">
      <c r="B963" s="12"/>
      <c r="D963" s="23"/>
      <c r="E963" s="2"/>
      <c r="F963" s="2"/>
      <c r="O963" s="2"/>
    </row>
    <row r="964" spans="2:15" s="1" customFormat="1" x14ac:dyDescent="0.25">
      <c r="B964" s="12"/>
      <c r="D964" s="23"/>
      <c r="E964" s="2"/>
      <c r="F964" s="2"/>
      <c r="O964" s="2"/>
    </row>
    <row r="965" spans="2:15" s="1" customFormat="1" x14ac:dyDescent="0.25">
      <c r="B965" s="12"/>
      <c r="D965" s="23"/>
      <c r="E965" s="2"/>
      <c r="F965" s="2"/>
      <c r="O965" s="2"/>
    </row>
    <row r="966" spans="2:15" s="1" customFormat="1" x14ac:dyDescent="0.25">
      <c r="B966" s="12"/>
      <c r="D966" s="23"/>
      <c r="E966" s="2"/>
      <c r="F966" s="2"/>
      <c r="O966" s="2"/>
    </row>
    <row r="967" spans="2:15" s="1" customFormat="1" x14ac:dyDescent="0.25">
      <c r="B967" s="12"/>
      <c r="D967" s="23"/>
      <c r="E967" s="2"/>
      <c r="F967" s="2"/>
      <c r="O967" s="2"/>
    </row>
    <row r="968" spans="2:15" s="1" customFormat="1" x14ac:dyDescent="0.25">
      <c r="B968" s="12"/>
      <c r="D968" s="23"/>
      <c r="E968" s="2"/>
      <c r="F968" s="2"/>
      <c r="O968" s="2"/>
    </row>
    <row r="969" spans="2:15" s="1" customFormat="1" x14ac:dyDescent="0.25">
      <c r="B969" s="12"/>
      <c r="D969" s="23"/>
      <c r="E969" s="2"/>
      <c r="F969" s="2"/>
      <c r="O969" s="2"/>
    </row>
    <row r="970" spans="2:15" s="1" customFormat="1" x14ac:dyDescent="0.25">
      <c r="B970" s="12"/>
      <c r="D970" s="23"/>
      <c r="E970" s="2"/>
      <c r="F970" s="2"/>
      <c r="O970" s="2"/>
    </row>
    <row r="971" spans="2:15" s="1" customFormat="1" x14ac:dyDescent="0.25">
      <c r="B971" s="12"/>
      <c r="D971" s="23"/>
      <c r="E971" s="2"/>
      <c r="F971" s="2"/>
      <c r="O971" s="2"/>
    </row>
    <row r="972" spans="2:15" s="1" customFormat="1" x14ac:dyDescent="0.25">
      <c r="B972" s="12"/>
      <c r="D972" s="23"/>
      <c r="E972" s="2"/>
      <c r="F972" s="2"/>
      <c r="O972" s="2"/>
    </row>
    <row r="973" spans="2:15" s="1" customFormat="1" x14ac:dyDescent="0.25">
      <c r="B973" s="12"/>
      <c r="D973" s="23"/>
      <c r="E973" s="2"/>
      <c r="F973" s="2"/>
      <c r="O973" s="2"/>
    </row>
    <row r="974" spans="2:15" s="1" customFormat="1" x14ac:dyDescent="0.25">
      <c r="B974" s="12"/>
      <c r="D974" s="23"/>
      <c r="E974" s="2"/>
      <c r="F974" s="2"/>
      <c r="O974" s="2"/>
    </row>
    <row r="975" spans="2:15" s="1" customFormat="1" x14ac:dyDescent="0.25">
      <c r="B975" s="12"/>
      <c r="D975" s="23"/>
      <c r="E975" s="2"/>
      <c r="F975" s="2"/>
      <c r="O975" s="2"/>
    </row>
    <row r="976" spans="2:15" s="1" customFormat="1" x14ac:dyDescent="0.25">
      <c r="B976" s="12"/>
      <c r="D976" s="23"/>
      <c r="E976" s="2"/>
      <c r="F976" s="2"/>
      <c r="O976" s="2"/>
    </row>
    <row r="977" spans="2:15" s="1" customFormat="1" x14ac:dyDescent="0.25">
      <c r="B977" s="12"/>
      <c r="D977" s="23"/>
      <c r="E977" s="2"/>
      <c r="F977" s="2"/>
      <c r="O977" s="2"/>
    </row>
    <row r="978" spans="2:15" s="1" customFormat="1" x14ac:dyDescent="0.25">
      <c r="B978" s="12"/>
      <c r="D978" s="23"/>
      <c r="E978" s="2"/>
      <c r="F978" s="2"/>
      <c r="O978" s="2"/>
    </row>
    <row r="979" spans="2:15" s="1" customFormat="1" x14ac:dyDescent="0.25">
      <c r="B979" s="12"/>
      <c r="D979" s="23"/>
      <c r="E979" s="2"/>
      <c r="F979" s="2"/>
      <c r="O979" s="2"/>
    </row>
    <row r="980" spans="2:15" s="1" customFormat="1" x14ac:dyDescent="0.25">
      <c r="B980" s="12"/>
      <c r="D980" s="23"/>
      <c r="E980" s="2"/>
      <c r="F980" s="2"/>
      <c r="O980" s="2"/>
    </row>
    <row r="981" spans="2:15" s="1" customFormat="1" x14ac:dyDescent="0.25">
      <c r="B981" s="12"/>
      <c r="D981" s="23"/>
      <c r="E981" s="2"/>
      <c r="F981" s="2"/>
      <c r="O981" s="2"/>
    </row>
    <row r="982" spans="2:15" s="1" customFormat="1" x14ac:dyDescent="0.25">
      <c r="B982" s="12"/>
      <c r="D982" s="23"/>
      <c r="E982" s="2"/>
      <c r="F982" s="2"/>
      <c r="O982" s="2"/>
    </row>
    <row r="983" spans="2:15" s="1" customFormat="1" x14ac:dyDescent="0.25">
      <c r="B983" s="12"/>
      <c r="D983" s="23"/>
      <c r="E983" s="2"/>
      <c r="F983" s="2"/>
      <c r="O983" s="2"/>
    </row>
    <row r="984" spans="2:15" s="1" customFormat="1" x14ac:dyDescent="0.25">
      <c r="B984" s="12"/>
      <c r="D984" s="23"/>
      <c r="E984" s="2"/>
      <c r="F984" s="2"/>
      <c r="O984" s="2"/>
    </row>
    <row r="985" spans="2:15" s="1" customFormat="1" x14ac:dyDescent="0.25">
      <c r="B985" s="12"/>
      <c r="D985" s="23"/>
      <c r="E985" s="2"/>
      <c r="F985" s="2"/>
      <c r="O985" s="2"/>
    </row>
    <row r="986" spans="2:15" s="1" customFormat="1" x14ac:dyDescent="0.25">
      <c r="B986" s="12"/>
      <c r="D986" s="23"/>
      <c r="E986" s="2"/>
      <c r="F986" s="2"/>
      <c r="O986" s="2"/>
    </row>
    <row r="987" spans="2:15" s="1" customFormat="1" x14ac:dyDescent="0.25">
      <c r="B987" s="12"/>
      <c r="D987" s="23"/>
      <c r="E987" s="2"/>
      <c r="F987" s="2"/>
      <c r="O987" s="2"/>
    </row>
    <row r="988" spans="2:15" s="1" customFormat="1" x14ac:dyDescent="0.25">
      <c r="B988" s="12"/>
      <c r="D988" s="23"/>
      <c r="E988" s="2"/>
      <c r="F988" s="2"/>
      <c r="O988" s="2"/>
    </row>
    <row r="989" spans="2:15" s="1" customFormat="1" x14ac:dyDescent="0.25">
      <c r="B989" s="12"/>
      <c r="D989" s="23"/>
      <c r="E989" s="2"/>
      <c r="F989" s="2"/>
      <c r="O989" s="2"/>
    </row>
    <row r="990" spans="2:15" s="1" customFormat="1" x14ac:dyDescent="0.25">
      <c r="B990" s="12"/>
      <c r="D990" s="23"/>
      <c r="E990" s="2"/>
      <c r="F990" s="2"/>
      <c r="O990" s="2"/>
    </row>
    <row r="991" spans="2:15" s="1" customFormat="1" x14ac:dyDescent="0.25">
      <c r="B991" s="12"/>
      <c r="D991" s="23"/>
      <c r="E991" s="2"/>
      <c r="F991" s="2"/>
      <c r="O991" s="2"/>
    </row>
    <row r="992" spans="2:15" s="1" customFormat="1" x14ac:dyDescent="0.25">
      <c r="B992" s="12"/>
      <c r="D992" s="23"/>
      <c r="E992" s="2"/>
      <c r="F992" s="2"/>
      <c r="O992" s="2"/>
    </row>
    <row r="993" spans="2:15" s="1" customFormat="1" x14ac:dyDescent="0.25">
      <c r="B993" s="12"/>
      <c r="D993" s="23"/>
      <c r="E993" s="2"/>
      <c r="F993" s="2"/>
      <c r="O993" s="2"/>
    </row>
    <row r="994" spans="2:15" s="1" customFormat="1" x14ac:dyDescent="0.25">
      <c r="B994" s="12"/>
      <c r="D994" s="23"/>
      <c r="E994" s="2"/>
      <c r="F994" s="2"/>
      <c r="O994" s="2"/>
    </row>
    <row r="995" spans="2:15" s="1" customFormat="1" x14ac:dyDescent="0.25">
      <c r="B995" s="12"/>
      <c r="D995" s="23"/>
      <c r="E995" s="2"/>
      <c r="F995" s="2"/>
      <c r="O995" s="2"/>
    </row>
    <row r="996" spans="2:15" s="1" customFormat="1" x14ac:dyDescent="0.25">
      <c r="B996" s="12"/>
      <c r="D996" s="23"/>
      <c r="E996" s="2"/>
      <c r="F996" s="2"/>
      <c r="O996" s="2"/>
    </row>
    <row r="997" spans="2:15" s="1" customFormat="1" x14ac:dyDescent="0.25">
      <c r="B997" s="12"/>
      <c r="D997" s="23"/>
      <c r="E997" s="2"/>
      <c r="F997" s="2"/>
      <c r="O997" s="2"/>
    </row>
    <row r="998" spans="2:15" s="1" customFormat="1" x14ac:dyDescent="0.25">
      <c r="B998" s="12"/>
      <c r="D998" s="23"/>
      <c r="E998" s="2"/>
      <c r="F998" s="2"/>
      <c r="O998" s="2"/>
    </row>
    <row r="999" spans="2:15" s="1" customFormat="1" x14ac:dyDescent="0.25">
      <c r="B999" s="12"/>
      <c r="D999" s="23"/>
      <c r="E999" s="2"/>
      <c r="F999" s="2"/>
      <c r="O999" s="2"/>
    </row>
    <row r="1000" spans="2:15" s="1" customFormat="1" x14ac:dyDescent="0.25">
      <c r="B1000" s="12"/>
      <c r="D1000" s="23"/>
      <c r="E1000" s="2"/>
      <c r="F1000" s="2"/>
      <c r="O1000" s="2"/>
    </row>
    <row r="1001" spans="2:15" s="1" customFormat="1" x14ac:dyDescent="0.25">
      <c r="B1001" s="12"/>
      <c r="D1001" s="23"/>
      <c r="E1001" s="2"/>
      <c r="F1001" s="2"/>
      <c r="O1001" s="2"/>
    </row>
    <row r="1002" spans="2:15" s="1" customFormat="1" x14ac:dyDescent="0.25">
      <c r="B1002" s="12"/>
      <c r="D1002" s="23"/>
      <c r="E1002" s="2"/>
      <c r="F1002" s="2"/>
      <c r="O1002" s="2"/>
    </row>
    <row r="1003" spans="2:15" s="1" customFormat="1" x14ac:dyDescent="0.25">
      <c r="B1003" s="12"/>
      <c r="D1003" s="23"/>
      <c r="E1003" s="2"/>
      <c r="F1003" s="2"/>
      <c r="O1003" s="2"/>
    </row>
    <row r="1004" spans="2:15" s="1" customFormat="1" x14ac:dyDescent="0.25">
      <c r="B1004" s="12"/>
      <c r="D1004" s="23"/>
      <c r="E1004" s="2"/>
      <c r="F1004" s="2"/>
      <c r="O1004" s="2"/>
    </row>
    <row r="1005" spans="2:15" s="1" customFormat="1" x14ac:dyDescent="0.25">
      <c r="B1005" s="12"/>
      <c r="D1005" s="23"/>
      <c r="E1005" s="2"/>
      <c r="F1005" s="2"/>
      <c r="O1005" s="2"/>
    </row>
    <row r="1006" spans="2:15" s="1" customFormat="1" x14ac:dyDescent="0.25">
      <c r="B1006" s="12"/>
      <c r="D1006" s="23"/>
      <c r="E1006" s="2"/>
      <c r="F1006" s="2"/>
      <c r="O1006" s="2"/>
    </row>
    <row r="1007" spans="2:15" s="1" customFormat="1" x14ac:dyDescent="0.25">
      <c r="B1007" s="12"/>
      <c r="D1007" s="23"/>
      <c r="E1007" s="2"/>
      <c r="F1007" s="2"/>
      <c r="O1007" s="2"/>
    </row>
    <row r="1008" spans="2:15" s="1" customFormat="1" x14ac:dyDescent="0.25">
      <c r="B1008" s="12"/>
      <c r="D1008" s="23"/>
      <c r="E1008" s="2"/>
      <c r="F1008" s="2"/>
      <c r="O1008" s="2"/>
    </row>
    <row r="1009" spans="2:15" s="1" customFormat="1" x14ac:dyDescent="0.25">
      <c r="B1009" s="12"/>
      <c r="D1009" s="23"/>
      <c r="E1009" s="2"/>
      <c r="F1009" s="2"/>
      <c r="O1009" s="2"/>
    </row>
    <row r="1010" spans="2:15" s="1" customFormat="1" x14ac:dyDescent="0.25">
      <c r="B1010" s="12"/>
      <c r="D1010" s="23"/>
      <c r="E1010" s="2"/>
      <c r="F1010" s="2"/>
      <c r="O1010" s="2"/>
    </row>
    <row r="1011" spans="2:15" s="1" customFormat="1" x14ac:dyDescent="0.25">
      <c r="B1011" s="12"/>
      <c r="D1011" s="23"/>
      <c r="E1011" s="2"/>
      <c r="F1011" s="2"/>
      <c r="O1011" s="2"/>
    </row>
    <row r="1012" spans="2:15" s="1" customFormat="1" x14ac:dyDescent="0.25">
      <c r="B1012" s="12"/>
      <c r="D1012" s="23"/>
      <c r="E1012" s="2"/>
      <c r="F1012" s="2"/>
      <c r="O1012" s="2"/>
    </row>
    <row r="1013" spans="2:15" s="1" customFormat="1" x14ac:dyDescent="0.25">
      <c r="B1013" s="12"/>
      <c r="D1013" s="23"/>
      <c r="E1013" s="2"/>
      <c r="F1013" s="2"/>
      <c r="O1013" s="2"/>
    </row>
    <row r="1014" spans="2:15" s="1" customFormat="1" x14ac:dyDescent="0.25">
      <c r="B1014" s="12"/>
      <c r="D1014" s="23"/>
      <c r="E1014" s="2"/>
      <c r="F1014" s="2"/>
      <c r="O1014" s="2"/>
    </row>
    <row r="1015" spans="2:15" s="1" customFormat="1" x14ac:dyDescent="0.25">
      <c r="B1015" s="12"/>
      <c r="D1015" s="23"/>
      <c r="E1015" s="2"/>
      <c r="F1015" s="2"/>
      <c r="O1015" s="2"/>
    </row>
    <row r="1016" spans="2:15" s="1" customFormat="1" x14ac:dyDescent="0.25">
      <c r="B1016" s="12"/>
      <c r="D1016" s="23"/>
      <c r="E1016" s="2"/>
      <c r="F1016" s="2"/>
      <c r="O1016" s="2"/>
    </row>
    <row r="1017" spans="2:15" s="1" customFormat="1" x14ac:dyDescent="0.25">
      <c r="B1017" s="12"/>
      <c r="D1017" s="23"/>
      <c r="E1017" s="2"/>
      <c r="F1017" s="2"/>
      <c r="O1017" s="2"/>
    </row>
    <row r="1018" spans="2:15" s="1" customFormat="1" x14ac:dyDescent="0.25">
      <c r="B1018" s="12"/>
      <c r="D1018" s="23"/>
      <c r="E1018" s="2"/>
      <c r="F1018" s="2"/>
      <c r="O1018" s="2"/>
    </row>
    <row r="1019" spans="2:15" s="1" customFormat="1" x14ac:dyDescent="0.25">
      <c r="B1019" s="12"/>
      <c r="D1019" s="23"/>
      <c r="E1019" s="2"/>
      <c r="F1019" s="2"/>
      <c r="O1019" s="2"/>
    </row>
    <row r="1020" spans="2:15" s="1" customFormat="1" x14ac:dyDescent="0.25">
      <c r="B1020" s="12"/>
      <c r="D1020" s="23"/>
      <c r="E1020" s="2"/>
      <c r="F1020" s="2"/>
      <c r="O1020" s="2"/>
    </row>
    <row r="1021" spans="2:15" s="1" customFormat="1" x14ac:dyDescent="0.25">
      <c r="B1021" s="12"/>
      <c r="D1021" s="23"/>
      <c r="E1021" s="2"/>
      <c r="F1021" s="2"/>
      <c r="O1021" s="2"/>
    </row>
    <row r="1022" spans="2:15" s="1" customFormat="1" x14ac:dyDescent="0.25">
      <c r="B1022" s="12"/>
      <c r="D1022" s="23"/>
      <c r="E1022" s="2"/>
      <c r="F1022" s="2"/>
      <c r="O1022" s="2"/>
    </row>
    <row r="1023" spans="2:15" s="1" customFormat="1" x14ac:dyDescent="0.25">
      <c r="B1023" s="12"/>
      <c r="D1023" s="23"/>
      <c r="E1023" s="2"/>
      <c r="F1023" s="2"/>
      <c r="O1023" s="2"/>
    </row>
    <row r="1024" spans="2:15" s="1" customFormat="1" x14ac:dyDescent="0.25">
      <c r="B1024" s="12"/>
      <c r="D1024" s="23"/>
      <c r="E1024" s="2"/>
      <c r="F1024" s="2"/>
      <c r="O1024" s="2"/>
    </row>
    <row r="1025" spans="2:15" s="1" customFormat="1" x14ac:dyDescent="0.25">
      <c r="B1025" s="12"/>
      <c r="D1025" s="23"/>
      <c r="E1025" s="2"/>
      <c r="F1025" s="2"/>
      <c r="O1025" s="2"/>
    </row>
    <row r="1026" spans="2:15" s="1" customFormat="1" x14ac:dyDescent="0.25">
      <c r="B1026" s="12"/>
      <c r="D1026" s="23"/>
      <c r="E1026" s="2"/>
      <c r="F1026" s="2"/>
      <c r="O1026" s="2"/>
    </row>
    <row r="1027" spans="2:15" s="1" customFormat="1" x14ac:dyDescent="0.25">
      <c r="B1027" s="12"/>
      <c r="D1027" s="23"/>
      <c r="E1027" s="2"/>
      <c r="F1027" s="2"/>
      <c r="O1027" s="2"/>
    </row>
    <row r="1028" spans="2:15" s="1" customFormat="1" x14ac:dyDescent="0.25">
      <c r="B1028" s="12"/>
      <c r="D1028" s="23"/>
      <c r="E1028" s="2"/>
      <c r="F1028" s="2"/>
      <c r="O1028" s="2"/>
    </row>
    <row r="1029" spans="2:15" s="1" customFormat="1" x14ac:dyDescent="0.25">
      <c r="B1029" s="12"/>
      <c r="D1029" s="23"/>
      <c r="E1029" s="2"/>
      <c r="F1029" s="2"/>
      <c r="O1029" s="2"/>
    </row>
    <row r="1030" spans="2:15" s="1" customFormat="1" x14ac:dyDescent="0.25">
      <c r="B1030" s="12"/>
      <c r="D1030" s="23"/>
      <c r="E1030" s="2"/>
      <c r="F1030" s="2"/>
      <c r="O1030" s="2"/>
    </row>
    <row r="1031" spans="2:15" s="1" customFormat="1" x14ac:dyDescent="0.25">
      <c r="B1031" s="12"/>
      <c r="D1031" s="23"/>
      <c r="E1031" s="2"/>
      <c r="F1031" s="2"/>
      <c r="O1031" s="2"/>
    </row>
    <row r="1032" spans="2:15" s="1" customFormat="1" x14ac:dyDescent="0.25">
      <c r="B1032" s="12"/>
      <c r="D1032" s="23"/>
      <c r="E1032" s="2"/>
      <c r="F1032" s="2"/>
      <c r="O1032" s="2"/>
    </row>
    <row r="1033" spans="2:15" s="1" customFormat="1" x14ac:dyDescent="0.25">
      <c r="B1033" s="12"/>
      <c r="D1033" s="23"/>
      <c r="E1033" s="2"/>
      <c r="F1033" s="2"/>
      <c r="O1033" s="2"/>
    </row>
    <row r="1034" spans="2:15" s="1" customFormat="1" x14ac:dyDescent="0.25">
      <c r="B1034" s="12"/>
      <c r="D1034" s="23"/>
      <c r="E1034" s="2"/>
      <c r="F1034" s="2"/>
      <c r="O1034" s="2"/>
    </row>
    <row r="1035" spans="2:15" s="1" customFormat="1" x14ac:dyDescent="0.25">
      <c r="B1035" s="12"/>
      <c r="D1035" s="23"/>
      <c r="E1035" s="2"/>
      <c r="F1035" s="2"/>
      <c r="O1035" s="2"/>
    </row>
    <row r="1036" spans="2:15" s="1" customFormat="1" x14ac:dyDescent="0.25">
      <c r="B1036" s="12"/>
      <c r="D1036" s="23"/>
      <c r="E1036" s="2"/>
      <c r="F1036" s="2"/>
      <c r="O1036" s="2"/>
    </row>
    <row r="1037" spans="2:15" s="1" customFormat="1" x14ac:dyDescent="0.25">
      <c r="B1037" s="12"/>
      <c r="D1037" s="23"/>
      <c r="E1037" s="2"/>
      <c r="F1037" s="2"/>
      <c r="O1037" s="2"/>
    </row>
    <row r="1038" spans="2:15" s="1" customFormat="1" x14ac:dyDescent="0.25">
      <c r="B1038" s="12"/>
      <c r="D1038" s="23"/>
      <c r="E1038" s="2"/>
      <c r="F1038" s="2"/>
      <c r="O1038" s="2"/>
    </row>
    <row r="1039" spans="2:15" s="1" customFormat="1" x14ac:dyDescent="0.25">
      <c r="B1039" s="12"/>
      <c r="D1039" s="23"/>
      <c r="E1039" s="2"/>
      <c r="F1039" s="2"/>
      <c r="O1039" s="2"/>
    </row>
    <row r="1040" spans="2:15" s="1" customFormat="1" x14ac:dyDescent="0.25">
      <c r="B1040" s="12"/>
      <c r="D1040" s="23"/>
      <c r="E1040" s="2"/>
      <c r="F1040" s="2"/>
      <c r="O1040" s="2"/>
    </row>
    <row r="1041" spans="2:15" s="1" customFormat="1" x14ac:dyDescent="0.25">
      <c r="B1041" s="12"/>
      <c r="D1041" s="23"/>
      <c r="E1041" s="2"/>
      <c r="F1041" s="2"/>
      <c r="O1041" s="2"/>
    </row>
    <row r="1042" spans="2:15" s="1" customFormat="1" x14ac:dyDescent="0.25">
      <c r="B1042" s="12"/>
      <c r="D1042" s="23"/>
      <c r="E1042" s="2"/>
      <c r="F1042" s="2"/>
      <c r="O1042" s="2"/>
    </row>
    <row r="1043" spans="2:15" s="1" customFormat="1" x14ac:dyDescent="0.25">
      <c r="B1043" s="12"/>
      <c r="D1043" s="23"/>
      <c r="E1043" s="2"/>
      <c r="F1043" s="2"/>
      <c r="O1043" s="2"/>
    </row>
    <row r="1044" spans="2:15" s="1" customFormat="1" x14ac:dyDescent="0.25">
      <c r="B1044" s="12"/>
      <c r="D1044" s="23"/>
      <c r="E1044" s="2"/>
      <c r="F1044" s="2"/>
      <c r="O1044" s="2"/>
    </row>
    <row r="1045" spans="2:15" s="1" customFormat="1" x14ac:dyDescent="0.25">
      <c r="B1045" s="12"/>
      <c r="D1045" s="23"/>
      <c r="E1045" s="2"/>
      <c r="F1045" s="2"/>
      <c r="O1045" s="2"/>
    </row>
    <row r="1046" spans="2:15" s="1" customFormat="1" x14ac:dyDescent="0.25">
      <c r="B1046" s="12"/>
      <c r="D1046" s="23"/>
      <c r="E1046" s="2"/>
      <c r="F1046" s="2"/>
      <c r="O1046" s="2"/>
    </row>
    <row r="1047" spans="2:15" s="1" customFormat="1" x14ac:dyDescent="0.25">
      <c r="B1047" s="12"/>
      <c r="D1047" s="23"/>
      <c r="E1047" s="2"/>
      <c r="F1047" s="2"/>
      <c r="O1047" s="2"/>
    </row>
    <row r="1048" spans="2:15" s="1" customFormat="1" x14ac:dyDescent="0.25">
      <c r="B1048" s="12"/>
      <c r="D1048" s="23"/>
      <c r="E1048" s="2"/>
      <c r="F1048" s="2"/>
      <c r="O1048" s="2"/>
    </row>
    <row r="1049" spans="2:15" s="1" customFormat="1" x14ac:dyDescent="0.25">
      <c r="B1049" s="12"/>
      <c r="D1049" s="23"/>
      <c r="E1049" s="2"/>
      <c r="F1049" s="2"/>
      <c r="O1049" s="2"/>
    </row>
    <row r="1050" spans="2:15" s="1" customFormat="1" x14ac:dyDescent="0.25">
      <c r="B1050" s="12"/>
      <c r="D1050" s="23"/>
      <c r="E1050" s="2"/>
      <c r="F1050" s="2"/>
      <c r="O1050" s="2"/>
    </row>
    <row r="1051" spans="2:15" s="1" customFormat="1" x14ac:dyDescent="0.25">
      <c r="B1051" s="12"/>
      <c r="D1051" s="23"/>
      <c r="E1051" s="2"/>
      <c r="F1051" s="2"/>
      <c r="O1051" s="2"/>
    </row>
    <row r="1052" spans="2:15" s="1" customFormat="1" x14ac:dyDescent="0.25">
      <c r="B1052" s="12"/>
      <c r="D1052" s="23"/>
      <c r="E1052" s="2"/>
      <c r="F1052" s="2"/>
      <c r="O1052" s="2"/>
    </row>
    <row r="1053" spans="2:15" s="1" customFormat="1" x14ac:dyDescent="0.25">
      <c r="B1053" s="12"/>
      <c r="D1053" s="23"/>
      <c r="E1053" s="2"/>
      <c r="F1053" s="2"/>
      <c r="O1053" s="2"/>
    </row>
    <row r="1054" spans="2:15" s="1" customFormat="1" x14ac:dyDescent="0.25">
      <c r="B1054" s="12"/>
      <c r="D1054" s="23"/>
      <c r="E1054" s="2"/>
      <c r="F1054" s="2"/>
      <c r="O1054" s="2"/>
    </row>
    <row r="1055" spans="2:15" s="1" customFormat="1" x14ac:dyDescent="0.25">
      <c r="B1055" s="12"/>
      <c r="D1055" s="23"/>
      <c r="E1055" s="2"/>
      <c r="F1055" s="2"/>
      <c r="O1055" s="2"/>
    </row>
    <row r="1056" spans="2:15" s="1" customFormat="1" x14ac:dyDescent="0.25">
      <c r="B1056" s="12"/>
      <c r="D1056" s="23"/>
      <c r="E1056" s="2"/>
      <c r="F1056" s="2"/>
      <c r="O1056" s="2"/>
    </row>
    <row r="1057" spans="2:15" s="1" customFormat="1" x14ac:dyDescent="0.25">
      <c r="B1057" s="12"/>
      <c r="D1057" s="23"/>
      <c r="E1057" s="2"/>
      <c r="F1057" s="2"/>
      <c r="O1057" s="2"/>
    </row>
    <row r="1058" spans="2:15" s="1" customFormat="1" x14ac:dyDescent="0.25">
      <c r="B1058" s="12"/>
      <c r="D1058" s="23"/>
      <c r="E1058" s="2"/>
      <c r="F1058" s="2"/>
      <c r="O1058" s="2"/>
    </row>
    <row r="1059" spans="2:15" s="1" customFormat="1" x14ac:dyDescent="0.25">
      <c r="B1059" s="12"/>
      <c r="D1059" s="23"/>
      <c r="E1059" s="2"/>
      <c r="F1059" s="2"/>
      <c r="O1059" s="2"/>
    </row>
    <row r="1060" spans="2:15" s="1" customFormat="1" x14ac:dyDescent="0.25">
      <c r="B1060" s="12"/>
      <c r="D1060" s="23"/>
      <c r="E1060" s="2"/>
      <c r="F1060" s="2"/>
      <c r="O1060" s="2"/>
    </row>
    <row r="1061" spans="2:15" s="1" customFormat="1" x14ac:dyDescent="0.25">
      <c r="B1061" s="12"/>
      <c r="D1061" s="23"/>
      <c r="E1061" s="2"/>
      <c r="F1061" s="2"/>
      <c r="O1061" s="2"/>
    </row>
    <row r="1062" spans="2:15" s="1" customFormat="1" x14ac:dyDescent="0.25">
      <c r="B1062" s="12"/>
      <c r="D1062" s="23"/>
      <c r="E1062" s="2"/>
      <c r="F1062" s="2"/>
      <c r="O1062" s="2"/>
    </row>
    <row r="1063" spans="2:15" s="1" customFormat="1" x14ac:dyDescent="0.25">
      <c r="B1063" s="12"/>
      <c r="D1063" s="23"/>
      <c r="E1063" s="2"/>
      <c r="F1063" s="2"/>
      <c r="O1063" s="2"/>
    </row>
    <row r="1064" spans="2:15" s="1" customFormat="1" x14ac:dyDescent="0.25">
      <c r="B1064" s="12"/>
      <c r="D1064" s="23"/>
      <c r="E1064" s="2"/>
      <c r="F1064" s="2"/>
      <c r="O1064" s="2"/>
    </row>
    <row r="1065" spans="2:15" s="1" customFormat="1" x14ac:dyDescent="0.25">
      <c r="B1065" s="12"/>
      <c r="D1065" s="23"/>
      <c r="E1065" s="2"/>
      <c r="F1065" s="2"/>
      <c r="O1065" s="2"/>
    </row>
    <row r="1066" spans="2:15" s="1" customFormat="1" x14ac:dyDescent="0.25">
      <c r="B1066" s="12"/>
      <c r="D1066" s="23"/>
      <c r="E1066" s="2"/>
      <c r="F1066" s="2"/>
      <c r="O1066" s="2"/>
    </row>
    <row r="1067" spans="2:15" s="1" customFormat="1" x14ac:dyDescent="0.25">
      <c r="B1067" s="12"/>
      <c r="D1067" s="23"/>
      <c r="E1067" s="2"/>
      <c r="F1067" s="2"/>
      <c r="O1067" s="2"/>
    </row>
    <row r="1068" spans="2:15" s="1" customFormat="1" x14ac:dyDescent="0.25">
      <c r="B1068" s="12"/>
      <c r="D1068" s="23"/>
      <c r="E1068" s="2"/>
      <c r="F1068" s="2"/>
      <c r="O1068" s="2"/>
    </row>
    <row r="1069" spans="2:15" s="1" customFormat="1" x14ac:dyDescent="0.25">
      <c r="B1069" s="12"/>
      <c r="D1069" s="23"/>
      <c r="E1069" s="2"/>
      <c r="F1069" s="2"/>
      <c r="O1069" s="2"/>
    </row>
    <row r="1070" spans="2:15" s="1" customFormat="1" x14ac:dyDescent="0.25">
      <c r="B1070" s="12"/>
      <c r="D1070" s="23"/>
      <c r="E1070" s="2"/>
      <c r="F1070" s="2"/>
      <c r="O1070" s="2"/>
    </row>
    <row r="1071" spans="2:15" s="1" customFormat="1" x14ac:dyDescent="0.25">
      <c r="B1071" s="12"/>
      <c r="D1071" s="23"/>
      <c r="E1071" s="2"/>
      <c r="F1071" s="2"/>
      <c r="O1071" s="2"/>
    </row>
    <row r="1072" spans="2:15" s="1" customFormat="1" x14ac:dyDescent="0.25">
      <c r="B1072" s="12"/>
      <c r="D1072" s="23"/>
      <c r="E1072" s="2"/>
      <c r="F1072" s="2"/>
      <c r="O1072" s="2"/>
    </row>
    <row r="1073" spans="2:15" s="1" customFormat="1" x14ac:dyDescent="0.25">
      <c r="B1073" s="12"/>
      <c r="D1073" s="23"/>
      <c r="E1073" s="2"/>
      <c r="F1073" s="2"/>
      <c r="O1073" s="2"/>
    </row>
    <row r="1074" spans="2:15" s="1" customFormat="1" x14ac:dyDescent="0.25">
      <c r="B1074" s="12"/>
      <c r="D1074" s="23"/>
      <c r="E1074" s="2"/>
      <c r="F1074" s="2"/>
      <c r="O1074" s="2"/>
    </row>
    <row r="1075" spans="2:15" s="1" customFormat="1" x14ac:dyDescent="0.25">
      <c r="B1075" s="12"/>
      <c r="D1075" s="23"/>
      <c r="E1075" s="2"/>
      <c r="F1075" s="2"/>
      <c r="O1075" s="2"/>
    </row>
    <row r="1076" spans="2:15" s="1" customFormat="1" x14ac:dyDescent="0.25">
      <c r="B1076" s="12"/>
      <c r="D1076" s="23"/>
      <c r="E1076" s="2"/>
      <c r="F1076" s="2"/>
      <c r="O1076" s="2"/>
    </row>
    <row r="1077" spans="2:15" s="1" customFormat="1" x14ac:dyDescent="0.25">
      <c r="B1077" s="12"/>
      <c r="D1077" s="23"/>
      <c r="E1077" s="2"/>
      <c r="F1077" s="2"/>
      <c r="O1077" s="2"/>
    </row>
    <row r="1078" spans="2:15" s="1" customFormat="1" x14ac:dyDescent="0.25">
      <c r="B1078" s="12"/>
      <c r="D1078" s="23"/>
      <c r="E1078" s="2"/>
      <c r="F1078" s="2"/>
      <c r="O1078" s="2"/>
    </row>
    <row r="1079" spans="2:15" s="1" customFormat="1" x14ac:dyDescent="0.25">
      <c r="B1079" s="12"/>
      <c r="D1079" s="23"/>
      <c r="E1079" s="2"/>
      <c r="F1079" s="2"/>
      <c r="O1079" s="2"/>
    </row>
    <row r="1080" spans="2:15" s="1" customFormat="1" x14ac:dyDescent="0.25">
      <c r="B1080" s="12"/>
      <c r="D1080" s="23"/>
      <c r="E1080" s="2"/>
      <c r="F1080" s="2"/>
      <c r="O1080" s="2"/>
    </row>
    <row r="1081" spans="2:15" s="1" customFormat="1" x14ac:dyDescent="0.25">
      <c r="B1081" s="12"/>
      <c r="D1081" s="23"/>
      <c r="E1081" s="2"/>
      <c r="F1081" s="2"/>
      <c r="O1081" s="2"/>
    </row>
    <row r="1082" spans="2:15" s="1" customFormat="1" x14ac:dyDescent="0.25">
      <c r="B1082" s="12"/>
      <c r="D1082" s="23"/>
      <c r="E1082" s="2"/>
      <c r="F1082" s="2"/>
      <c r="O1082" s="2"/>
    </row>
    <row r="1083" spans="2:15" s="1" customFormat="1" x14ac:dyDescent="0.25">
      <c r="B1083" s="12"/>
      <c r="D1083" s="23"/>
      <c r="E1083" s="2"/>
      <c r="F1083" s="2"/>
      <c r="O1083" s="2"/>
    </row>
    <row r="1084" spans="2:15" s="1" customFormat="1" x14ac:dyDescent="0.25">
      <c r="B1084" s="12"/>
      <c r="D1084" s="23"/>
      <c r="E1084" s="2"/>
      <c r="F1084" s="2"/>
      <c r="O1084" s="2"/>
    </row>
    <row r="1085" spans="2:15" s="1" customFormat="1" x14ac:dyDescent="0.25">
      <c r="B1085" s="12"/>
      <c r="D1085" s="23"/>
      <c r="E1085" s="2"/>
      <c r="F1085" s="2"/>
      <c r="O1085" s="2"/>
    </row>
    <row r="1086" spans="2:15" s="1" customFormat="1" x14ac:dyDescent="0.25">
      <c r="B1086" s="12"/>
      <c r="D1086" s="23"/>
      <c r="E1086" s="2"/>
      <c r="F1086" s="2"/>
      <c r="O1086" s="2"/>
    </row>
    <row r="1087" spans="2:15" s="1" customFormat="1" x14ac:dyDescent="0.25">
      <c r="B1087" s="12"/>
      <c r="D1087" s="23"/>
      <c r="E1087" s="2"/>
      <c r="F1087" s="2"/>
      <c r="O1087" s="2"/>
    </row>
    <row r="1088" spans="2:15" s="1" customFormat="1" x14ac:dyDescent="0.25">
      <c r="B1088" s="12"/>
      <c r="D1088" s="23"/>
      <c r="E1088" s="2"/>
      <c r="F1088" s="2"/>
      <c r="O1088" s="2"/>
    </row>
    <row r="1089" spans="2:15" s="1" customFormat="1" x14ac:dyDescent="0.25">
      <c r="B1089" s="12"/>
      <c r="D1089" s="23"/>
      <c r="E1089" s="2"/>
      <c r="F1089" s="2"/>
      <c r="O1089" s="2"/>
    </row>
    <row r="1090" spans="2:15" s="1" customFormat="1" x14ac:dyDescent="0.25">
      <c r="B1090" s="12"/>
      <c r="D1090" s="23"/>
      <c r="E1090" s="2"/>
      <c r="F1090" s="2"/>
      <c r="O1090" s="2"/>
    </row>
    <row r="1091" spans="2:15" s="1" customFormat="1" x14ac:dyDescent="0.25">
      <c r="B1091" s="12"/>
      <c r="D1091" s="23"/>
      <c r="E1091" s="2"/>
      <c r="F1091" s="2"/>
      <c r="O1091" s="2"/>
    </row>
    <row r="1092" spans="2:15" s="1" customFormat="1" x14ac:dyDescent="0.25">
      <c r="B1092" s="12"/>
      <c r="D1092" s="23"/>
      <c r="E1092" s="2"/>
      <c r="F1092" s="2"/>
      <c r="O1092" s="2"/>
    </row>
    <row r="1093" spans="2:15" s="1" customFormat="1" x14ac:dyDescent="0.25">
      <c r="B1093" s="12"/>
      <c r="D1093" s="23"/>
      <c r="E1093" s="2"/>
      <c r="F1093" s="2"/>
      <c r="O1093" s="2"/>
    </row>
    <row r="1094" spans="2:15" s="1" customFormat="1" x14ac:dyDescent="0.25">
      <c r="B1094" s="12"/>
      <c r="D1094" s="23"/>
      <c r="E1094" s="2"/>
      <c r="F1094" s="2"/>
      <c r="O1094" s="2"/>
    </row>
    <row r="1095" spans="2:15" s="1" customFormat="1" x14ac:dyDescent="0.25">
      <c r="B1095" s="12"/>
      <c r="D1095" s="23"/>
      <c r="E1095" s="2"/>
      <c r="F1095" s="2"/>
      <c r="O1095" s="2"/>
    </row>
    <row r="1096" spans="2:15" s="1" customFormat="1" x14ac:dyDescent="0.25">
      <c r="B1096" s="12"/>
      <c r="D1096" s="23"/>
      <c r="E1096" s="2"/>
      <c r="F1096" s="2"/>
      <c r="O1096" s="2"/>
    </row>
    <row r="1097" spans="2:15" s="1" customFormat="1" x14ac:dyDescent="0.25">
      <c r="B1097" s="12"/>
      <c r="D1097" s="23"/>
      <c r="E1097" s="2"/>
      <c r="F1097" s="2"/>
      <c r="O1097" s="2"/>
    </row>
    <row r="1098" spans="2:15" s="1" customFormat="1" x14ac:dyDescent="0.25">
      <c r="B1098" s="12"/>
      <c r="D1098" s="23"/>
      <c r="E1098" s="2"/>
      <c r="F1098" s="2"/>
      <c r="O1098" s="2"/>
    </row>
    <row r="1099" spans="2:15" s="1" customFormat="1" x14ac:dyDescent="0.25">
      <c r="B1099" s="12"/>
      <c r="D1099" s="23"/>
      <c r="E1099" s="2"/>
      <c r="F1099" s="2"/>
      <c r="O1099" s="2"/>
    </row>
    <row r="1100" spans="2:15" s="1" customFormat="1" x14ac:dyDescent="0.25">
      <c r="B1100" s="12"/>
      <c r="D1100" s="23"/>
      <c r="E1100" s="2"/>
      <c r="F1100" s="2"/>
      <c r="O1100" s="2"/>
    </row>
    <row r="1101" spans="2:15" s="1" customFormat="1" x14ac:dyDescent="0.25">
      <c r="B1101" s="12"/>
      <c r="D1101" s="23"/>
      <c r="E1101" s="2"/>
      <c r="F1101" s="2"/>
      <c r="O1101" s="2"/>
    </row>
    <row r="1102" spans="2:15" s="1" customFormat="1" x14ac:dyDescent="0.25">
      <c r="B1102" s="12"/>
      <c r="D1102" s="23"/>
      <c r="E1102" s="2"/>
      <c r="F1102" s="2"/>
      <c r="O1102" s="2"/>
    </row>
    <row r="1103" spans="2:15" s="1" customFormat="1" x14ac:dyDescent="0.25">
      <c r="B1103" s="12"/>
      <c r="D1103" s="23"/>
      <c r="E1103" s="2"/>
      <c r="F1103" s="2"/>
      <c r="O1103" s="2"/>
    </row>
    <row r="1104" spans="2:15" s="1" customFormat="1" x14ac:dyDescent="0.25">
      <c r="B1104" s="12"/>
      <c r="D1104" s="23"/>
      <c r="E1104" s="2"/>
      <c r="F1104" s="2"/>
      <c r="O1104" s="2"/>
    </row>
    <row r="1105" spans="2:15" s="1" customFormat="1" x14ac:dyDescent="0.25">
      <c r="B1105" s="12"/>
      <c r="D1105" s="23"/>
      <c r="E1105" s="2"/>
      <c r="F1105" s="2"/>
      <c r="O1105" s="2"/>
    </row>
    <row r="1106" spans="2:15" s="1" customFormat="1" x14ac:dyDescent="0.25">
      <c r="B1106" s="12"/>
      <c r="D1106" s="23"/>
      <c r="E1106" s="2"/>
      <c r="F1106" s="2"/>
      <c r="O1106" s="2"/>
    </row>
    <row r="1107" spans="2:15" s="1" customFormat="1" x14ac:dyDescent="0.25">
      <c r="B1107" s="12"/>
      <c r="D1107" s="23"/>
      <c r="E1107" s="2"/>
      <c r="F1107" s="2"/>
      <c r="O1107" s="2"/>
    </row>
    <row r="1108" spans="2:15" s="1" customFormat="1" x14ac:dyDescent="0.25">
      <c r="B1108" s="12"/>
      <c r="D1108" s="23"/>
      <c r="E1108" s="2"/>
      <c r="F1108" s="2"/>
      <c r="O1108" s="2"/>
    </row>
    <row r="1109" spans="2:15" s="1" customFormat="1" x14ac:dyDescent="0.25">
      <c r="B1109" s="12"/>
      <c r="D1109" s="23"/>
      <c r="E1109" s="2"/>
      <c r="F1109" s="2"/>
      <c r="O1109" s="2"/>
    </row>
    <row r="1110" spans="2:15" s="1" customFormat="1" x14ac:dyDescent="0.25">
      <c r="B1110" s="12"/>
      <c r="D1110" s="23"/>
      <c r="E1110" s="2"/>
      <c r="F1110" s="2"/>
      <c r="O1110" s="2"/>
    </row>
    <row r="1111" spans="2:15" s="1" customFormat="1" x14ac:dyDescent="0.25">
      <c r="B1111" s="12"/>
      <c r="D1111" s="23"/>
      <c r="E1111" s="2"/>
      <c r="F1111" s="2"/>
      <c r="O1111" s="2"/>
    </row>
    <row r="1112" spans="2:15" s="1" customFormat="1" x14ac:dyDescent="0.25">
      <c r="B1112" s="12"/>
      <c r="D1112" s="23"/>
      <c r="E1112" s="2"/>
      <c r="F1112" s="2"/>
      <c r="O1112" s="2"/>
    </row>
    <row r="1113" spans="2:15" s="1" customFormat="1" x14ac:dyDescent="0.25">
      <c r="B1113" s="12"/>
      <c r="D1113" s="23"/>
      <c r="E1113" s="2"/>
      <c r="F1113" s="2"/>
      <c r="O1113" s="2"/>
    </row>
    <row r="1114" spans="2:15" s="1" customFormat="1" x14ac:dyDescent="0.25">
      <c r="B1114" s="12"/>
      <c r="D1114" s="23"/>
      <c r="E1114" s="2"/>
      <c r="F1114" s="2"/>
      <c r="O1114" s="2"/>
    </row>
    <row r="1115" spans="2:15" s="1" customFormat="1" x14ac:dyDescent="0.25">
      <c r="B1115" s="12"/>
      <c r="D1115" s="23"/>
      <c r="E1115" s="2"/>
      <c r="F1115" s="2"/>
      <c r="O1115" s="2"/>
    </row>
    <row r="1116" spans="2:15" s="1" customFormat="1" x14ac:dyDescent="0.25">
      <c r="B1116" s="12"/>
      <c r="D1116" s="23"/>
      <c r="E1116" s="2"/>
      <c r="F1116" s="2"/>
      <c r="O1116" s="2"/>
    </row>
    <row r="1117" spans="2:15" s="1" customFormat="1" x14ac:dyDescent="0.25">
      <c r="B1117" s="12"/>
      <c r="D1117" s="23"/>
      <c r="E1117" s="2"/>
      <c r="F1117" s="2"/>
      <c r="O1117" s="2"/>
    </row>
    <row r="1118" spans="2:15" s="1" customFormat="1" x14ac:dyDescent="0.25">
      <c r="B1118" s="12"/>
      <c r="D1118" s="23"/>
      <c r="E1118" s="2"/>
      <c r="F1118" s="2"/>
      <c r="O1118" s="2"/>
    </row>
    <row r="1119" spans="2:15" s="1" customFormat="1" x14ac:dyDescent="0.25">
      <c r="B1119" s="12"/>
      <c r="D1119" s="23"/>
      <c r="E1119" s="2"/>
      <c r="F1119" s="2"/>
      <c r="O1119" s="2"/>
    </row>
    <row r="1120" spans="2:15" s="1" customFormat="1" x14ac:dyDescent="0.25">
      <c r="B1120" s="12"/>
      <c r="D1120" s="23"/>
      <c r="E1120" s="2"/>
      <c r="F1120" s="2"/>
      <c r="O1120" s="2"/>
    </row>
    <row r="1121" spans="2:15" s="1" customFormat="1" x14ac:dyDescent="0.25">
      <c r="B1121" s="12"/>
      <c r="D1121" s="23"/>
      <c r="E1121" s="2"/>
      <c r="F1121" s="2"/>
      <c r="O1121" s="2"/>
    </row>
    <row r="1122" spans="2:15" s="1" customFormat="1" x14ac:dyDescent="0.25">
      <c r="B1122" s="12"/>
      <c r="D1122" s="23"/>
      <c r="E1122" s="2"/>
      <c r="F1122" s="2"/>
      <c r="O1122" s="2"/>
    </row>
    <row r="1123" spans="2:15" s="1" customFormat="1" x14ac:dyDescent="0.25">
      <c r="B1123" s="12"/>
      <c r="D1123" s="23"/>
      <c r="E1123" s="2"/>
      <c r="F1123" s="2"/>
      <c r="O1123" s="2"/>
    </row>
    <row r="1124" spans="2:15" s="1" customFormat="1" x14ac:dyDescent="0.25">
      <c r="B1124" s="12"/>
      <c r="D1124" s="23"/>
      <c r="E1124" s="2"/>
      <c r="F1124" s="2"/>
      <c r="O1124" s="2"/>
    </row>
    <row r="1125" spans="2:15" s="1" customFormat="1" x14ac:dyDescent="0.25">
      <c r="B1125" s="12"/>
      <c r="D1125" s="23"/>
      <c r="E1125" s="2"/>
      <c r="F1125" s="2"/>
      <c r="O1125" s="2"/>
    </row>
    <row r="1126" spans="2:15" s="1" customFormat="1" x14ac:dyDescent="0.25">
      <c r="B1126" s="12"/>
      <c r="D1126" s="23"/>
      <c r="E1126" s="2"/>
      <c r="F1126" s="2"/>
      <c r="O1126" s="2"/>
    </row>
    <row r="1127" spans="2:15" s="1" customFormat="1" x14ac:dyDescent="0.25">
      <c r="B1127" s="12"/>
      <c r="D1127" s="23"/>
      <c r="E1127" s="2"/>
      <c r="F1127" s="2"/>
      <c r="O1127" s="2"/>
    </row>
    <row r="1128" spans="2:15" s="1" customFormat="1" x14ac:dyDescent="0.25">
      <c r="B1128" s="12"/>
      <c r="D1128" s="23"/>
      <c r="E1128" s="2"/>
      <c r="F1128" s="2"/>
      <c r="O1128" s="2"/>
    </row>
    <row r="1129" spans="2:15" s="1" customFormat="1" x14ac:dyDescent="0.25">
      <c r="B1129" s="12"/>
      <c r="D1129" s="23"/>
      <c r="E1129" s="2"/>
      <c r="F1129" s="2"/>
      <c r="O1129" s="2"/>
    </row>
    <row r="1130" spans="2:15" s="1" customFormat="1" x14ac:dyDescent="0.25">
      <c r="B1130" s="12"/>
      <c r="D1130" s="23"/>
      <c r="E1130" s="2"/>
      <c r="F1130" s="2"/>
      <c r="O1130" s="2"/>
    </row>
    <row r="1131" spans="2:15" s="1" customFormat="1" x14ac:dyDescent="0.25">
      <c r="B1131" s="12"/>
      <c r="D1131" s="23"/>
      <c r="E1131" s="2"/>
      <c r="F1131" s="2"/>
      <c r="O1131" s="2"/>
    </row>
    <row r="1132" spans="2:15" s="1" customFormat="1" x14ac:dyDescent="0.25">
      <c r="B1132" s="12"/>
      <c r="D1132" s="23"/>
      <c r="E1132" s="2"/>
      <c r="F1132" s="2"/>
      <c r="O1132" s="2"/>
    </row>
    <row r="1133" spans="2:15" s="1" customFormat="1" x14ac:dyDescent="0.25">
      <c r="B1133" s="12"/>
      <c r="D1133" s="23"/>
      <c r="E1133" s="2"/>
      <c r="F1133" s="2"/>
      <c r="O1133" s="2"/>
    </row>
    <row r="1134" spans="2:15" s="1" customFormat="1" x14ac:dyDescent="0.25">
      <c r="B1134" s="12"/>
      <c r="D1134" s="23"/>
      <c r="E1134" s="2"/>
      <c r="F1134" s="2"/>
      <c r="O1134" s="2"/>
    </row>
    <row r="1135" spans="2:15" s="1" customFormat="1" x14ac:dyDescent="0.25">
      <c r="B1135" s="12"/>
      <c r="D1135" s="23"/>
      <c r="E1135" s="2"/>
      <c r="F1135" s="2"/>
      <c r="O1135" s="2"/>
    </row>
    <row r="1136" spans="2:15" s="1" customFormat="1" x14ac:dyDescent="0.25">
      <c r="B1136" s="12"/>
      <c r="D1136" s="23"/>
      <c r="E1136" s="2"/>
      <c r="F1136" s="2"/>
      <c r="O1136" s="2"/>
    </row>
    <row r="1137" spans="2:15" s="1" customFormat="1" x14ac:dyDescent="0.25">
      <c r="B1137" s="12"/>
      <c r="D1137" s="23"/>
      <c r="E1137" s="2"/>
      <c r="F1137" s="2"/>
      <c r="O1137" s="2"/>
    </row>
    <row r="1138" spans="2:15" s="1" customFormat="1" x14ac:dyDescent="0.25">
      <c r="B1138" s="12"/>
      <c r="D1138" s="23"/>
      <c r="E1138" s="2"/>
      <c r="F1138" s="2"/>
      <c r="O1138" s="2"/>
    </row>
    <row r="1139" spans="2:15" s="1" customFormat="1" x14ac:dyDescent="0.25">
      <c r="B1139" s="12"/>
      <c r="D1139" s="23"/>
      <c r="E1139" s="2"/>
      <c r="F1139" s="2"/>
      <c r="O1139" s="2"/>
    </row>
    <row r="1140" spans="2:15" s="1" customFormat="1" x14ac:dyDescent="0.25">
      <c r="B1140" s="12"/>
      <c r="D1140" s="23"/>
      <c r="E1140" s="2"/>
      <c r="F1140" s="2"/>
      <c r="O1140" s="2"/>
    </row>
    <row r="1141" spans="2:15" s="1" customFormat="1" x14ac:dyDescent="0.25">
      <c r="B1141" s="12"/>
      <c r="D1141" s="23"/>
      <c r="E1141" s="2"/>
      <c r="F1141" s="2"/>
      <c r="O1141" s="2"/>
    </row>
    <row r="1142" spans="2:15" s="1" customFormat="1" x14ac:dyDescent="0.25">
      <c r="B1142" s="12"/>
      <c r="D1142" s="23"/>
      <c r="E1142" s="2"/>
      <c r="F1142" s="2"/>
      <c r="O1142" s="2"/>
    </row>
    <row r="1143" spans="2:15" s="1" customFormat="1" x14ac:dyDescent="0.25">
      <c r="B1143" s="12"/>
      <c r="D1143" s="23"/>
      <c r="E1143" s="2"/>
      <c r="F1143" s="2"/>
      <c r="O1143" s="2"/>
    </row>
    <row r="1144" spans="2:15" s="1" customFormat="1" x14ac:dyDescent="0.25">
      <c r="B1144" s="12"/>
      <c r="D1144" s="23"/>
      <c r="E1144" s="2"/>
      <c r="F1144" s="2"/>
      <c r="O1144" s="2"/>
    </row>
    <row r="1145" spans="2:15" s="1" customFormat="1" x14ac:dyDescent="0.25">
      <c r="B1145" s="12"/>
      <c r="D1145" s="23"/>
      <c r="E1145" s="2"/>
      <c r="F1145" s="2"/>
      <c r="O1145" s="2"/>
    </row>
    <row r="1146" spans="2:15" s="1" customFormat="1" x14ac:dyDescent="0.25">
      <c r="B1146" s="12"/>
      <c r="D1146" s="23"/>
      <c r="E1146" s="2"/>
      <c r="F1146" s="2"/>
      <c r="O1146" s="2"/>
    </row>
    <row r="1147" spans="2:15" s="1" customFormat="1" x14ac:dyDescent="0.25">
      <c r="B1147" s="12"/>
      <c r="D1147" s="23"/>
      <c r="E1147" s="2"/>
      <c r="F1147" s="2"/>
      <c r="O1147" s="2"/>
    </row>
    <row r="1148" spans="2:15" s="1" customFormat="1" x14ac:dyDescent="0.25">
      <c r="B1148" s="12"/>
      <c r="D1148" s="23"/>
      <c r="E1148" s="2"/>
      <c r="F1148" s="2"/>
      <c r="O1148" s="2"/>
    </row>
    <row r="1149" spans="2:15" s="1" customFormat="1" x14ac:dyDescent="0.25">
      <c r="B1149" s="12"/>
      <c r="D1149" s="23"/>
      <c r="E1149" s="2"/>
      <c r="F1149" s="2"/>
      <c r="O1149" s="2"/>
    </row>
    <row r="1150" spans="2:15" s="1" customFormat="1" x14ac:dyDescent="0.25">
      <c r="B1150" s="12"/>
      <c r="D1150" s="23"/>
      <c r="E1150" s="2"/>
      <c r="F1150" s="2"/>
      <c r="O1150" s="2"/>
    </row>
    <row r="1151" spans="2:15" s="1" customFormat="1" x14ac:dyDescent="0.25">
      <c r="B1151" s="12"/>
      <c r="D1151" s="23"/>
      <c r="E1151" s="2"/>
      <c r="F1151" s="2"/>
      <c r="O1151" s="2"/>
    </row>
    <row r="1152" spans="2:15" s="1" customFormat="1" x14ac:dyDescent="0.25">
      <c r="B1152" s="12"/>
      <c r="D1152" s="23"/>
      <c r="E1152" s="2"/>
      <c r="F1152" s="2"/>
      <c r="O1152" s="2"/>
    </row>
    <row r="1153" spans="2:15" s="1" customFormat="1" x14ac:dyDescent="0.25">
      <c r="B1153" s="12"/>
      <c r="D1153" s="23"/>
      <c r="E1153" s="2"/>
      <c r="F1153" s="2"/>
      <c r="O1153" s="2"/>
    </row>
    <row r="1154" spans="2:15" s="1" customFormat="1" x14ac:dyDescent="0.25">
      <c r="B1154" s="12"/>
      <c r="D1154" s="23"/>
      <c r="E1154" s="2"/>
      <c r="F1154" s="2"/>
      <c r="O1154" s="2"/>
    </row>
    <row r="1155" spans="2:15" s="1" customFormat="1" x14ac:dyDescent="0.25">
      <c r="B1155" s="12"/>
      <c r="D1155" s="23"/>
      <c r="E1155" s="2"/>
      <c r="F1155" s="2"/>
      <c r="O1155" s="2"/>
    </row>
    <row r="1156" spans="2:15" s="1" customFormat="1" x14ac:dyDescent="0.25">
      <c r="B1156" s="12"/>
      <c r="D1156" s="23"/>
      <c r="E1156" s="2"/>
      <c r="F1156" s="2"/>
      <c r="O1156" s="2"/>
    </row>
    <row r="1157" spans="2:15" s="1" customFormat="1" x14ac:dyDescent="0.25">
      <c r="B1157" s="12"/>
      <c r="D1157" s="23"/>
      <c r="E1157" s="2"/>
      <c r="F1157" s="2"/>
      <c r="O1157" s="2"/>
    </row>
    <row r="1158" spans="2:15" s="1" customFormat="1" x14ac:dyDescent="0.25">
      <c r="B1158" s="12"/>
      <c r="D1158" s="23"/>
      <c r="E1158" s="2"/>
      <c r="F1158" s="2"/>
      <c r="O1158" s="2"/>
    </row>
    <row r="1159" spans="2:15" s="1" customFormat="1" x14ac:dyDescent="0.25">
      <c r="B1159" s="12"/>
      <c r="D1159" s="23"/>
      <c r="E1159" s="2"/>
      <c r="F1159" s="2"/>
      <c r="O1159" s="2"/>
    </row>
    <row r="1160" spans="2:15" s="1" customFormat="1" x14ac:dyDescent="0.25">
      <c r="B1160" s="12"/>
      <c r="D1160" s="23"/>
      <c r="E1160" s="2"/>
      <c r="F1160" s="2"/>
      <c r="O1160" s="2"/>
    </row>
    <row r="1161" spans="2:15" s="1" customFormat="1" x14ac:dyDescent="0.25">
      <c r="B1161" s="12"/>
      <c r="D1161" s="23"/>
      <c r="E1161" s="2"/>
      <c r="F1161" s="2"/>
      <c r="O1161" s="2"/>
    </row>
    <row r="1162" spans="2:15" s="1" customFormat="1" x14ac:dyDescent="0.25">
      <c r="B1162" s="12"/>
      <c r="D1162" s="23"/>
      <c r="E1162" s="2"/>
      <c r="F1162" s="2"/>
      <c r="O1162" s="2"/>
    </row>
    <row r="1163" spans="2:15" s="1" customFormat="1" x14ac:dyDescent="0.25">
      <c r="B1163" s="12"/>
      <c r="D1163" s="23"/>
      <c r="E1163" s="2"/>
      <c r="F1163" s="2"/>
      <c r="O1163" s="2"/>
    </row>
    <row r="1164" spans="2:15" s="1" customFormat="1" x14ac:dyDescent="0.25">
      <c r="B1164" s="12"/>
      <c r="D1164" s="23"/>
      <c r="E1164" s="2"/>
      <c r="F1164" s="2"/>
      <c r="O1164" s="2"/>
    </row>
    <row r="1165" spans="2:15" s="1" customFormat="1" x14ac:dyDescent="0.25">
      <c r="B1165" s="12"/>
      <c r="D1165" s="23"/>
      <c r="E1165" s="2"/>
      <c r="F1165" s="2"/>
      <c r="O1165" s="2"/>
    </row>
    <row r="1166" spans="2:15" s="1" customFormat="1" x14ac:dyDescent="0.25">
      <c r="B1166" s="12"/>
      <c r="D1166" s="23"/>
      <c r="E1166" s="2"/>
      <c r="F1166" s="2"/>
      <c r="O1166" s="2"/>
    </row>
    <row r="1167" spans="2:15" s="1" customFormat="1" x14ac:dyDescent="0.25">
      <c r="B1167" s="12"/>
      <c r="D1167" s="23"/>
      <c r="E1167" s="2"/>
      <c r="F1167" s="2"/>
      <c r="O1167" s="2"/>
    </row>
    <row r="1168" spans="2:15" s="1" customFormat="1" x14ac:dyDescent="0.25">
      <c r="B1168" s="12"/>
      <c r="D1168" s="23"/>
      <c r="E1168" s="2"/>
      <c r="F1168" s="2"/>
      <c r="O1168" s="2"/>
    </row>
    <row r="1169" spans="2:15" s="1" customFormat="1" x14ac:dyDescent="0.25">
      <c r="B1169" s="12"/>
      <c r="D1169" s="23"/>
      <c r="E1169" s="2"/>
      <c r="F1169" s="2"/>
      <c r="O1169" s="2"/>
    </row>
    <row r="1170" spans="2:15" s="1" customFormat="1" x14ac:dyDescent="0.25">
      <c r="B1170" s="12"/>
      <c r="D1170" s="23"/>
      <c r="E1170" s="2"/>
      <c r="F1170" s="2"/>
      <c r="O1170" s="2"/>
    </row>
    <row r="1171" spans="2:15" s="1" customFormat="1" x14ac:dyDescent="0.25">
      <c r="B1171" s="12"/>
      <c r="D1171" s="23"/>
      <c r="E1171" s="2"/>
      <c r="F1171" s="2"/>
      <c r="O1171" s="2"/>
    </row>
    <row r="1172" spans="2:15" s="1" customFormat="1" x14ac:dyDescent="0.25">
      <c r="B1172" s="12"/>
      <c r="D1172" s="23"/>
      <c r="E1172" s="2"/>
      <c r="F1172" s="2"/>
      <c r="O1172" s="2"/>
    </row>
    <row r="1173" spans="2:15" s="1" customFormat="1" x14ac:dyDescent="0.25">
      <c r="B1173" s="12"/>
      <c r="D1173" s="23"/>
      <c r="E1173" s="2"/>
      <c r="F1173" s="2"/>
      <c r="O1173" s="2"/>
    </row>
    <row r="1174" spans="2:15" s="1" customFormat="1" x14ac:dyDescent="0.25">
      <c r="B1174" s="12"/>
      <c r="D1174" s="23"/>
      <c r="E1174" s="2"/>
      <c r="F1174" s="2"/>
      <c r="O1174" s="2"/>
    </row>
    <row r="1175" spans="2:15" s="1" customFormat="1" x14ac:dyDescent="0.25">
      <c r="B1175" s="12"/>
      <c r="D1175" s="23"/>
      <c r="E1175" s="2"/>
      <c r="F1175" s="2"/>
      <c r="O1175" s="2"/>
    </row>
    <row r="1176" spans="2:15" s="1" customFormat="1" x14ac:dyDescent="0.25">
      <c r="B1176" s="12"/>
      <c r="D1176" s="23"/>
      <c r="E1176" s="2"/>
      <c r="F1176" s="2"/>
      <c r="O1176" s="2"/>
    </row>
    <row r="1177" spans="2:15" s="1" customFormat="1" x14ac:dyDescent="0.25">
      <c r="B1177" s="12"/>
      <c r="D1177" s="23"/>
      <c r="E1177" s="2"/>
      <c r="F1177" s="2"/>
      <c r="O1177" s="2"/>
    </row>
    <row r="1178" spans="2:15" s="1" customFormat="1" x14ac:dyDescent="0.25">
      <c r="B1178" s="12"/>
      <c r="D1178" s="23"/>
      <c r="E1178" s="2"/>
      <c r="F1178" s="2"/>
      <c r="O1178" s="2"/>
    </row>
    <row r="1179" spans="2:15" s="1" customFormat="1" x14ac:dyDescent="0.25">
      <c r="B1179" s="12"/>
      <c r="D1179" s="23"/>
      <c r="E1179" s="2"/>
      <c r="F1179" s="2"/>
      <c r="O1179" s="2"/>
    </row>
    <row r="1180" spans="2:15" s="1" customFormat="1" x14ac:dyDescent="0.25">
      <c r="B1180" s="12"/>
      <c r="D1180" s="23"/>
      <c r="E1180" s="2"/>
      <c r="F1180" s="2"/>
      <c r="O1180" s="2"/>
    </row>
    <row r="1181" spans="2:15" s="1" customFormat="1" x14ac:dyDescent="0.25">
      <c r="B1181" s="12"/>
      <c r="D1181" s="23"/>
      <c r="E1181" s="2"/>
      <c r="F1181" s="2"/>
      <c r="O1181" s="2"/>
    </row>
    <row r="1182" spans="2:15" s="1" customFormat="1" x14ac:dyDescent="0.25">
      <c r="B1182" s="12"/>
      <c r="D1182" s="23"/>
      <c r="E1182" s="2"/>
      <c r="F1182" s="2"/>
      <c r="O1182" s="2"/>
    </row>
    <row r="1183" spans="2:15" s="1" customFormat="1" x14ac:dyDescent="0.25">
      <c r="B1183" s="12"/>
      <c r="D1183" s="23"/>
      <c r="E1183" s="2"/>
      <c r="F1183" s="2"/>
      <c r="O1183" s="2"/>
    </row>
    <row r="1184" spans="2:15" s="1" customFormat="1" x14ac:dyDescent="0.25">
      <c r="B1184" s="12"/>
      <c r="D1184" s="23"/>
      <c r="E1184" s="2"/>
      <c r="F1184" s="2"/>
      <c r="O1184" s="2"/>
    </row>
    <row r="1185" spans="2:15" s="1" customFormat="1" x14ac:dyDescent="0.25">
      <c r="B1185" s="12"/>
      <c r="D1185" s="23"/>
      <c r="E1185" s="2"/>
      <c r="F1185" s="2"/>
      <c r="O1185" s="2"/>
    </row>
    <row r="1186" spans="2:15" s="1" customFormat="1" x14ac:dyDescent="0.25">
      <c r="B1186" s="12"/>
      <c r="D1186" s="23"/>
      <c r="E1186" s="2"/>
      <c r="F1186" s="2"/>
      <c r="O1186" s="2"/>
    </row>
    <row r="1187" spans="2:15" s="1" customFormat="1" x14ac:dyDescent="0.25">
      <c r="B1187" s="12"/>
      <c r="D1187" s="23"/>
      <c r="E1187" s="2"/>
      <c r="F1187" s="2"/>
      <c r="O1187" s="2"/>
    </row>
    <row r="1188" spans="2:15" s="1" customFormat="1" x14ac:dyDescent="0.25">
      <c r="B1188" s="12"/>
      <c r="D1188" s="23"/>
      <c r="E1188" s="2"/>
      <c r="F1188" s="2"/>
      <c r="O1188" s="2"/>
    </row>
    <row r="1189" spans="2:15" s="1" customFormat="1" x14ac:dyDescent="0.25">
      <c r="B1189" s="12"/>
      <c r="D1189" s="23"/>
      <c r="E1189" s="2"/>
      <c r="F1189" s="2"/>
      <c r="O1189" s="2"/>
    </row>
    <row r="1190" spans="2:15" s="1" customFormat="1" x14ac:dyDescent="0.25">
      <c r="B1190" s="12"/>
      <c r="D1190" s="23"/>
      <c r="E1190" s="2"/>
      <c r="F1190" s="2"/>
      <c r="O1190" s="2"/>
    </row>
    <row r="1191" spans="2:15" s="1" customFormat="1" x14ac:dyDescent="0.25">
      <c r="B1191" s="12"/>
      <c r="D1191" s="23"/>
      <c r="E1191" s="2"/>
      <c r="F1191" s="2"/>
      <c r="O1191" s="2"/>
    </row>
    <row r="1192" spans="2:15" s="1" customFormat="1" x14ac:dyDescent="0.25">
      <c r="B1192" s="12"/>
      <c r="D1192" s="23"/>
      <c r="E1192" s="2"/>
      <c r="F1192" s="2"/>
      <c r="O1192" s="2"/>
    </row>
    <row r="1193" spans="2:15" s="1" customFormat="1" x14ac:dyDescent="0.25">
      <c r="B1193" s="12"/>
      <c r="D1193" s="23"/>
      <c r="E1193" s="2"/>
      <c r="F1193" s="2"/>
      <c r="O1193" s="2"/>
    </row>
    <row r="1194" spans="2:15" s="1" customFormat="1" x14ac:dyDescent="0.25">
      <c r="B1194" s="12"/>
      <c r="D1194" s="23"/>
      <c r="E1194" s="2"/>
      <c r="F1194" s="2"/>
      <c r="O1194" s="2"/>
    </row>
    <row r="1195" spans="2:15" s="1" customFormat="1" x14ac:dyDescent="0.25">
      <c r="B1195" s="12"/>
      <c r="D1195" s="23"/>
      <c r="E1195" s="2"/>
      <c r="F1195" s="2"/>
      <c r="O1195" s="2"/>
    </row>
    <row r="1196" spans="2:15" s="1" customFormat="1" x14ac:dyDescent="0.25">
      <c r="B1196" s="12"/>
      <c r="D1196" s="23"/>
      <c r="E1196" s="2"/>
      <c r="F1196" s="2"/>
      <c r="O1196" s="2"/>
    </row>
    <row r="1197" spans="2:15" s="1" customFormat="1" x14ac:dyDescent="0.25">
      <c r="B1197" s="12"/>
      <c r="D1197" s="23"/>
      <c r="E1197" s="2"/>
      <c r="F1197" s="2"/>
      <c r="O1197" s="2"/>
    </row>
    <row r="1198" spans="2:15" s="1" customFormat="1" x14ac:dyDescent="0.25">
      <c r="B1198" s="12"/>
      <c r="D1198" s="23"/>
      <c r="E1198" s="2"/>
      <c r="F1198" s="2"/>
      <c r="O1198" s="2"/>
    </row>
    <row r="1199" spans="2:15" s="1" customFormat="1" x14ac:dyDescent="0.25">
      <c r="B1199" s="12"/>
      <c r="D1199" s="23"/>
      <c r="E1199" s="2"/>
      <c r="F1199" s="2"/>
      <c r="O1199" s="2"/>
    </row>
    <row r="1200" spans="2:15" s="1" customFormat="1" x14ac:dyDescent="0.25">
      <c r="B1200" s="12"/>
      <c r="D1200" s="23"/>
      <c r="E1200" s="2"/>
      <c r="F1200" s="2"/>
      <c r="O1200" s="2"/>
    </row>
    <row r="1201" spans="2:15" s="1" customFormat="1" x14ac:dyDescent="0.25">
      <c r="B1201" s="12"/>
      <c r="D1201" s="23"/>
      <c r="E1201" s="2"/>
      <c r="F1201" s="2"/>
      <c r="O1201" s="2"/>
    </row>
    <row r="1202" spans="2:15" s="1" customFormat="1" x14ac:dyDescent="0.25">
      <c r="B1202" s="12"/>
      <c r="D1202" s="23"/>
      <c r="E1202" s="2"/>
      <c r="F1202" s="2"/>
      <c r="O1202" s="2"/>
    </row>
    <row r="1203" spans="2:15" s="1" customFormat="1" x14ac:dyDescent="0.25">
      <c r="B1203" s="12"/>
      <c r="D1203" s="23"/>
      <c r="E1203" s="2"/>
      <c r="F1203" s="2"/>
      <c r="O1203" s="2"/>
    </row>
    <row r="1204" spans="2:15" s="1" customFormat="1" x14ac:dyDescent="0.25">
      <c r="B1204" s="12"/>
      <c r="D1204" s="23"/>
      <c r="E1204" s="2"/>
      <c r="F1204" s="2"/>
      <c r="O1204" s="2"/>
    </row>
    <row r="1205" spans="2:15" s="1" customFormat="1" x14ac:dyDescent="0.25">
      <c r="B1205" s="12"/>
      <c r="D1205" s="23"/>
      <c r="E1205" s="2"/>
      <c r="F1205" s="2"/>
      <c r="O1205" s="2"/>
    </row>
    <row r="1206" spans="2:15" s="1" customFormat="1" x14ac:dyDescent="0.25">
      <c r="B1206" s="12"/>
      <c r="D1206" s="23"/>
      <c r="E1206" s="2"/>
      <c r="F1206" s="2"/>
      <c r="O1206" s="2"/>
    </row>
    <row r="1207" spans="2:15" s="1" customFormat="1" x14ac:dyDescent="0.25">
      <c r="B1207" s="12"/>
      <c r="D1207" s="23"/>
      <c r="E1207" s="2"/>
      <c r="F1207" s="2"/>
      <c r="O1207" s="2"/>
    </row>
    <row r="1208" spans="2:15" s="1" customFormat="1" x14ac:dyDescent="0.25">
      <c r="B1208" s="12"/>
      <c r="D1208" s="23"/>
      <c r="E1208" s="2"/>
      <c r="F1208" s="2"/>
      <c r="O1208" s="2"/>
    </row>
    <row r="1209" spans="2:15" s="1" customFormat="1" x14ac:dyDescent="0.25">
      <c r="B1209" s="12"/>
      <c r="D1209" s="23"/>
      <c r="E1209" s="2"/>
      <c r="F1209" s="2"/>
      <c r="O1209" s="2"/>
    </row>
    <row r="1210" spans="2:15" s="1" customFormat="1" x14ac:dyDescent="0.25">
      <c r="B1210" s="12"/>
      <c r="D1210" s="23"/>
      <c r="E1210" s="2"/>
      <c r="F1210" s="2"/>
      <c r="O1210" s="2"/>
    </row>
    <row r="1211" spans="2:15" s="1" customFormat="1" x14ac:dyDescent="0.25">
      <c r="B1211" s="12"/>
      <c r="D1211" s="23"/>
      <c r="E1211" s="2"/>
      <c r="F1211" s="2"/>
      <c r="O1211" s="2"/>
    </row>
    <row r="1212" spans="2:15" s="1" customFormat="1" x14ac:dyDescent="0.25">
      <c r="B1212" s="12"/>
      <c r="D1212" s="23"/>
      <c r="E1212" s="2"/>
      <c r="F1212" s="2"/>
      <c r="O1212" s="2"/>
    </row>
    <row r="1213" spans="2:15" s="1" customFormat="1" x14ac:dyDescent="0.25">
      <c r="B1213" s="12"/>
      <c r="D1213" s="23"/>
      <c r="E1213" s="2"/>
      <c r="F1213" s="2"/>
      <c r="O1213" s="2"/>
    </row>
    <row r="1214" spans="2:15" s="1" customFormat="1" x14ac:dyDescent="0.25">
      <c r="B1214" s="12"/>
      <c r="D1214" s="23"/>
      <c r="E1214" s="2"/>
      <c r="F1214" s="2"/>
      <c r="O1214" s="2"/>
    </row>
    <row r="1215" spans="2:15" s="1" customFormat="1" x14ac:dyDescent="0.25">
      <c r="B1215" s="12"/>
      <c r="D1215" s="23"/>
      <c r="E1215" s="2"/>
      <c r="F1215" s="2"/>
      <c r="O1215" s="2"/>
    </row>
    <row r="1216" spans="2:15" s="1" customFormat="1" x14ac:dyDescent="0.25">
      <c r="B1216" s="12"/>
      <c r="D1216" s="23"/>
      <c r="E1216" s="2"/>
      <c r="F1216" s="2"/>
      <c r="O1216" s="2"/>
    </row>
    <row r="1217" spans="2:15" s="1" customFormat="1" x14ac:dyDescent="0.25">
      <c r="B1217" s="12"/>
      <c r="D1217" s="23"/>
      <c r="E1217" s="2"/>
      <c r="F1217" s="2"/>
      <c r="O1217" s="2"/>
    </row>
    <row r="1218" spans="2:15" s="1" customFormat="1" x14ac:dyDescent="0.25">
      <c r="B1218" s="12"/>
      <c r="D1218" s="23"/>
      <c r="E1218" s="2"/>
      <c r="F1218" s="2"/>
      <c r="O1218" s="2"/>
    </row>
    <row r="1219" spans="2:15" s="1" customFormat="1" x14ac:dyDescent="0.25">
      <c r="B1219" s="12"/>
      <c r="D1219" s="23"/>
      <c r="E1219" s="2"/>
      <c r="F1219" s="2"/>
      <c r="O1219" s="2"/>
    </row>
    <row r="1220" spans="2:15" s="1" customFormat="1" x14ac:dyDescent="0.25">
      <c r="B1220" s="12"/>
      <c r="D1220" s="23"/>
      <c r="E1220" s="2"/>
      <c r="F1220" s="2"/>
      <c r="O1220" s="2"/>
    </row>
    <row r="1221" spans="2:15" s="1" customFormat="1" x14ac:dyDescent="0.25">
      <c r="B1221" s="12"/>
      <c r="D1221" s="23"/>
      <c r="E1221" s="2"/>
      <c r="F1221" s="2"/>
      <c r="O1221" s="2"/>
    </row>
    <row r="1222" spans="2:15" s="1" customFormat="1" x14ac:dyDescent="0.25">
      <c r="B1222" s="12"/>
      <c r="D1222" s="23"/>
      <c r="E1222" s="2"/>
      <c r="F1222" s="2"/>
      <c r="O1222" s="2"/>
    </row>
    <row r="1223" spans="2:15" s="1" customFormat="1" x14ac:dyDescent="0.25">
      <c r="B1223" s="12"/>
      <c r="D1223" s="23"/>
      <c r="E1223" s="2"/>
      <c r="F1223" s="2"/>
      <c r="O1223" s="2"/>
    </row>
    <row r="1224" spans="2:15" s="1" customFormat="1" x14ac:dyDescent="0.25">
      <c r="B1224" s="12"/>
      <c r="D1224" s="23"/>
      <c r="E1224" s="2"/>
      <c r="F1224" s="2"/>
      <c r="O1224" s="2"/>
    </row>
    <row r="1225" spans="2:15" s="1" customFormat="1" x14ac:dyDescent="0.25">
      <c r="B1225" s="12"/>
      <c r="D1225" s="23"/>
      <c r="E1225" s="2"/>
      <c r="F1225" s="2"/>
      <c r="O1225" s="2"/>
    </row>
    <row r="1226" spans="2:15" s="1" customFormat="1" x14ac:dyDescent="0.25">
      <c r="B1226" s="12"/>
      <c r="D1226" s="23"/>
      <c r="E1226" s="2"/>
      <c r="F1226" s="2"/>
      <c r="O1226" s="2"/>
    </row>
    <row r="1227" spans="2:15" s="1" customFormat="1" x14ac:dyDescent="0.25">
      <c r="B1227" s="12"/>
      <c r="D1227" s="23"/>
      <c r="E1227" s="2"/>
      <c r="F1227" s="2"/>
      <c r="O1227" s="2"/>
    </row>
    <row r="1228" spans="2:15" s="1" customFormat="1" x14ac:dyDescent="0.25">
      <c r="B1228" s="12"/>
      <c r="D1228" s="23"/>
      <c r="E1228" s="2"/>
      <c r="F1228" s="2"/>
      <c r="O1228" s="2"/>
    </row>
    <row r="1229" spans="2:15" s="1" customFormat="1" x14ac:dyDescent="0.25">
      <c r="B1229" s="12"/>
      <c r="D1229" s="23"/>
      <c r="E1229" s="2"/>
      <c r="F1229" s="2"/>
      <c r="O1229" s="2"/>
    </row>
    <row r="1230" spans="2:15" s="1" customFormat="1" x14ac:dyDescent="0.25">
      <c r="B1230" s="12"/>
      <c r="D1230" s="23"/>
      <c r="E1230" s="2"/>
      <c r="F1230" s="2"/>
      <c r="O1230" s="2"/>
    </row>
    <row r="1231" spans="2:15" s="1" customFormat="1" x14ac:dyDescent="0.25">
      <c r="B1231" s="12"/>
      <c r="D1231" s="23"/>
      <c r="E1231" s="2"/>
      <c r="F1231" s="2"/>
      <c r="O1231" s="2"/>
    </row>
    <row r="1232" spans="2:15" s="1" customFormat="1" x14ac:dyDescent="0.25">
      <c r="B1232" s="12"/>
      <c r="D1232" s="23"/>
      <c r="E1232" s="2"/>
      <c r="F1232" s="2"/>
      <c r="O1232" s="2"/>
    </row>
    <row r="1233" spans="2:15" s="1" customFormat="1" x14ac:dyDescent="0.25">
      <c r="B1233" s="12"/>
      <c r="D1233" s="23"/>
      <c r="E1233" s="2"/>
      <c r="F1233" s="2"/>
      <c r="O1233" s="2"/>
    </row>
    <row r="1234" spans="2:15" s="1" customFormat="1" x14ac:dyDescent="0.25">
      <c r="B1234" s="12"/>
      <c r="D1234" s="23"/>
      <c r="E1234" s="2"/>
      <c r="F1234" s="2"/>
      <c r="O1234" s="2"/>
    </row>
    <row r="1235" spans="2:15" s="1" customFormat="1" x14ac:dyDescent="0.25">
      <c r="B1235" s="12"/>
      <c r="D1235" s="23"/>
      <c r="E1235" s="2"/>
      <c r="F1235" s="2"/>
      <c r="O1235" s="2"/>
    </row>
    <row r="1236" spans="2:15" s="1" customFormat="1" x14ac:dyDescent="0.25">
      <c r="B1236" s="12"/>
      <c r="D1236" s="23"/>
      <c r="E1236" s="2"/>
      <c r="F1236" s="2"/>
      <c r="O1236" s="2"/>
    </row>
    <row r="1237" spans="2:15" s="1" customFormat="1" x14ac:dyDescent="0.25">
      <c r="B1237" s="12"/>
      <c r="D1237" s="23"/>
      <c r="E1237" s="2"/>
      <c r="F1237" s="2"/>
      <c r="O1237" s="2"/>
    </row>
    <row r="1238" spans="2:15" s="1" customFormat="1" x14ac:dyDescent="0.25">
      <c r="B1238" s="12"/>
      <c r="D1238" s="23"/>
      <c r="E1238" s="2"/>
      <c r="F1238" s="2"/>
      <c r="O1238" s="2"/>
    </row>
    <row r="1239" spans="2:15" s="1" customFormat="1" x14ac:dyDescent="0.25">
      <c r="B1239" s="12"/>
      <c r="D1239" s="23"/>
      <c r="E1239" s="2"/>
      <c r="F1239" s="2"/>
      <c r="O1239" s="2"/>
    </row>
    <row r="1240" spans="2:15" s="1" customFormat="1" x14ac:dyDescent="0.25">
      <c r="B1240" s="12"/>
      <c r="D1240" s="23"/>
      <c r="E1240" s="2"/>
      <c r="F1240" s="2"/>
      <c r="O1240" s="2"/>
    </row>
    <row r="1241" spans="2:15" s="1" customFormat="1" x14ac:dyDescent="0.25">
      <c r="B1241" s="12"/>
      <c r="D1241" s="23"/>
      <c r="E1241" s="2"/>
      <c r="F1241" s="2"/>
      <c r="O1241" s="2"/>
    </row>
    <row r="1242" spans="2:15" s="1" customFormat="1" x14ac:dyDescent="0.25">
      <c r="B1242" s="12"/>
      <c r="D1242" s="23"/>
      <c r="E1242" s="2"/>
      <c r="F1242" s="2"/>
      <c r="O1242" s="2"/>
    </row>
    <row r="1243" spans="2:15" s="1" customFormat="1" x14ac:dyDescent="0.25">
      <c r="B1243" s="12"/>
      <c r="D1243" s="23"/>
      <c r="E1243" s="2"/>
      <c r="F1243" s="2"/>
      <c r="O1243" s="2"/>
    </row>
    <row r="1244" spans="2:15" s="1" customFormat="1" x14ac:dyDescent="0.25">
      <c r="B1244" s="12"/>
      <c r="D1244" s="23"/>
      <c r="E1244" s="2"/>
      <c r="F1244" s="2"/>
      <c r="O1244" s="2"/>
    </row>
    <row r="1245" spans="2:15" s="1" customFormat="1" x14ac:dyDescent="0.25">
      <c r="B1245" s="12"/>
      <c r="D1245" s="23"/>
      <c r="E1245" s="2"/>
      <c r="F1245" s="2"/>
      <c r="O1245" s="2"/>
    </row>
    <row r="1246" spans="2:15" s="1" customFormat="1" x14ac:dyDescent="0.25">
      <c r="B1246" s="12"/>
      <c r="D1246" s="23"/>
      <c r="E1246" s="2"/>
      <c r="F1246" s="2"/>
      <c r="O1246" s="2"/>
    </row>
    <row r="1247" spans="2:15" s="1" customFormat="1" x14ac:dyDescent="0.25">
      <c r="B1247" s="12"/>
      <c r="D1247" s="23"/>
      <c r="E1247" s="2"/>
      <c r="F1247" s="2"/>
      <c r="O1247" s="2"/>
    </row>
    <row r="1248" spans="2:15" s="1" customFormat="1" x14ac:dyDescent="0.25">
      <c r="B1248" s="12"/>
      <c r="D1248" s="23"/>
      <c r="E1248" s="2"/>
      <c r="F1248" s="2"/>
      <c r="O1248" s="2"/>
    </row>
    <row r="1249" spans="2:15" s="1" customFormat="1" x14ac:dyDescent="0.25">
      <c r="B1249" s="12"/>
      <c r="D1249" s="23"/>
      <c r="E1249" s="2"/>
      <c r="F1249" s="2"/>
      <c r="O1249" s="2"/>
    </row>
    <row r="1250" spans="2:15" s="1" customFormat="1" x14ac:dyDescent="0.25">
      <c r="B1250" s="12"/>
      <c r="D1250" s="23"/>
      <c r="E1250" s="2"/>
      <c r="F1250" s="2"/>
      <c r="O1250" s="2"/>
    </row>
    <row r="1251" spans="2:15" s="1" customFormat="1" x14ac:dyDescent="0.25">
      <c r="B1251" s="12"/>
      <c r="D1251" s="23"/>
      <c r="E1251" s="2"/>
      <c r="F1251" s="2"/>
      <c r="O1251" s="2"/>
    </row>
    <row r="1252" spans="2:15" s="1" customFormat="1" x14ac:dyDescent="0.25">
      <c r="B1252" s="12"/>
      <c r="D1252" s="23"/>
      <c r="E1252" s="2"/>
      <c r="F1252" s="2"/>
      <c r="O1252" s="2"/>
    </row>
    <row r="1253" spans="2:15" s="1" customFormat="1" x14ac:dyDescent="0.25">
      <c r="B1253" s="12"/>
      <c r="D1253" s="23"/>
      <c r="E1253" s="2"/>
      <c r="F1253" s="2"/>
      <c r="O1253" s="2"/>
    </row>
    <row r="1254" spans="2:15" s="1" customFormat="1" x14ac:dyDescent="0.25">
      <c r="B1254" s="12"/>
      <c r="D1254" s="23"/>
      <c r="E1254" s="2"/>
      <c r="F1254" s="2"/>
      <c r="O1254" s="2"/>
    </row>
    <row r="1255" spans="2:15" s="1" customFormat="1" x14ac:dyDescent="0.25">
      <c r="B1255" s="12"/>
      <c r="D1255" s="23"/>
      <c r="E1255" s="2"/>
      <c r="F1255" s="2"/>
      <c r="O1255" s="2"/>
    </row>
    <row r="1256" spans="2:15" s="1" customFormat="1" x14ac:dyDescent="0.25">
      <c r="B1256" s="12"/>
      <c r="D1256" s="23"/>
      <c r="E1256" s="2"/>
      <c r="F1256" s="2"/>
      <c r="O1256" s="2"/>
    </row>
    <row r="1257" spans="2:15" s="1" customFormat="1" x14ac:dyDescent="0.25">
      <c r="B1257" s="12"/>
      <c r="D1257" s="23"/>
      <c r="E1257" s="2"/>
      <c r="F1257" s="2"/>
      <c r="O1257" s="2"/>
    </row>
    <row r="1258" spans="2:15" s="1" customFormat="1" x14ac:dyDescent="0.25">
      <c r="B1258" s="12"/>
      <c r="D1258" s="23"/>
      <c r="E1258" s="2"/>
      <c r="F1258" s="2"/>
      <c r="O1258" s="2"/>
    </row>
    <row r="1259" spans="2:15" s="1" customFormat="1" x14ac:dyDescent="0.25">
      <c r="B1259" s="12"/>
      <c r="D1259" s="23"/>
      <c r="E1259" s="2"/>
      <c r="F1259" s="2"/>
      <c r="O1259" s="2"/>
    </row>
    <row r="1260" spans="2:15" s="1" customFormat="1" x14ac:dyDescent="0.25">
      <c r="B1260" s="12"/>
      <c r="D1260" s="23"/>
      <c r="E1260" s="2"/>
      <c r="F1260" s="2"/>
      <c r="O1260" s="2"/>
    </row>
    <row r="1261" spans="2:15" s="1" customFormat="1" x14ac:dyDescent="0.25">
      <c r="B1261" s="12"/>
      <c r="D1261" s="23"/>
      <c r="E1261" s="2"/>
      <c r="F1261" s="2"/>
      <c r="O1261" s="2"/>
    </row>
    <row r="1262" spans="2:15" s="1" customFormat="1" x14ac:dyDescent="0.25">
      <c r="B1262" s="12"/>
      <c r="D1262" s="23"/>
      <c r="E1262" s="2"/>
      <c r="F1262" s="2"/>
      <c r="O1262" s="2"/>
    </row>
    <row r="1263" spans="2:15" s="1" customFormat="1" x14ac:dyDescent="0.25">
      <c r="B1263" s="12"/>
      <c r="D1263" s="23"/>
      <c r="E1263" s="2"/>
      <c r="F1263" s="2"/>
      <c r="O1263" s="2"/>
    </row>
    <row r="1264" spans="2:15" s="1" customFormat="1" x14ac:dyDescent="0.25">
      <c r="B1264" s="12"/>
      <c r="D1264" s="23"/>
      <c r="E1264" s="2"/>
      <c r="F1264" s="2"/>
      <c r="O1264" s="2"/>
    </row>
    <row r="1265" spans="2:15" s="1" customFormat="1" x14ac:dyDescent="0.25">
      <c r="B1265" s="12"/>
      <c r="D1265" s="23"/>
      <c r="E1265" s="2"/>
      <c r="F1265" s="2"/>
      <c r="O1265" s="2"/>
    </row>
    <row r="1266" spans="2:15" s="1" customFormat="1" x14ac:dyDescent="0.25">
      <c r="B1266" s="12"/>
      <c r="D1266" s="23"/>
      <c r="E1266" s="2"/>
      <c r="F1266" s="2"/>
      <c r="O1266" s="2"/>
    </row>
    <row r="1267" spans="2:15" s="1" customFormat="1" x14ac:dyDescent="0.25">
      <c r="B1267" s="12"/>
      <c r="D1267" s="23"/>
      <c r="E1267" s="2"/>
      <c r="F1267" s="2"/>
      <c r="O1267" s="2"/>
    </row>
    <row r="1268" spans="2:15" s="1" customFormat="1" x14ac:dyDescent="0.25">
      <c r="B1268" s="12"/>
      <c r="D1268" s="23"/>
      <c r="E1268" s="2"/>
      <c r="F1268" s="2"/>
      <c r="O1268" s="2"/>
    </row>
    <row r="1269" spans="2:15" s="1" customFormat="1" x14ac:dyDescent="0.25">
      <c r="B1269" s="12"/>
      <c r="D1269" s="23"/>
      <c r="E1269" s="2"/>
      <c r="F1269" s="2"/>
      <c r="O1269" s="2"/>
    </row>
    <row r="1270" spans="2:15" s="1" customFormat="1" x14ac:dyDescent="0.25">
      <c r="B1270" s="12"/>
      <c r="D1270" s="23"/>
      <c r="E1270" s="2"/>
      <c r="F1270" s="2"/>
      <c r="O1270" s="2"/>
    </row>
    <row r="1271" spans="2:15" s="1" customFormat="1" x14ac:dyDescent="0.25">
      <c r="B1271" s="12"/>
      <c r="D1271" s="23"/>
      <c r="E1271" s="2"/>
      <c r="F1271" s="2"/>
      <c r="O1271" s="2"/>
    </row>
    <row r="1272" spans="2:15" s="1" customFormat="1" x14ac:dyDescent="0.25">
      <c r="B1272" s="12"/>
      <c r="D1272" s="23"/>
      <c r="E1272" s="2"/>
      <c r="F1272" s="2"/>
      <c r="O1272" s="2"/>
    </row>
    <row r="1273" spans="2:15" s="1" customFormat="1" x14ac:dyDescent="0.25">
      <c r="B1273" s="12"/>
      <c r="D1273" s="23"/>
      <c r="E1273" s="2"/>
      <c r="F1273" s="2"/>
      <c r="O1273" s="2"/>
    </row>
    <row r="1274" spans="2:15" s="1" customFormat="1" x14ac:dyDescent="0.25">
      <c r="B1274" s="12"/>
      <c r="D1274" s="23"/>
      <c r="E1274" s="2"/>
      <c r="F1274" s="2"/>
      <c r="O1274" s="2"/>
    </row>
    <row r="1275" spans="2:15" s="1" customFormat="1" x14ac:dyDescent="0.25">
      <c r="B1275" s="12"/>
      <c r="D1275" s="23"/>
      <c r="E1275" s="2"/>
      <c r="F1275" s="2"/>
      <c r="O1275" s="2"/>
    </row>
    <row r="1276" spans="2:15" s="1" customFormat="1" x14ac:dyDescent="0.25">
      <c r="B1276" s="12"/>
      <c r="D1276" s="23"/>
      <c r="E1276" s="2"/>
      <c r="F1276" s="2"/>
      <c r="O1276" s="2"/>
    </row>
    <row r="1277" spans="2:15" s="1" customFormat="1" x14ac:dyDescent="0.25">
      <c r="B1277" s="12"/>
      <c r="D1277" s="23"/>
      <c r="E1277" s="2"/>
      <c r="F1277" s="2"/>
      <c r="O1277" s="2"/>
    </row>
    <row r="1278" spans="2:15" s="1" customFormat="1" x14ac:dyDescent="0.25">
      <c r="B1278" s="12"/>
      <c r="D1278" s="23"/>
      <c r="E1278" s="2"/>
      <c r="F1278" s="2"/>
      <c r="O1278" s="2"/>
    </row>
    <row r="1279" spans="2:15" s="1" customFormat="1" x14ac:dyDescent="0.25">
      <c r="B1279" s="12"/>
      <c r="D1279" s="23"/>
      <c r="E1279" s="2"/>
      <c r="F1279" s="2"/>
      <c r="O1279" s="2"/>
    </row>
    <row r="1280" spans="2:15" s="1" customFormat="1" x14ac:dyDescent="0.25">
      <c r="B1280" s="12"/>
      <c r="D1280" s="23"/>
      <c r="E1280" s="2"/>
      <c r="F1280" s="2"/>
      <c r="O1280" s="2"/>
    </row>
    <row r="1281" spans="2:15" s="1" customFormat="1" x14ac:dyDescent="0.25">
      <c r="B1281" s="12"/>
      <c r="D1281" s="23"/>
      <c r="E1281" s="2"/>
      <c r="F1281" s="2"/>
      <c r="O1281" s="2"/>
    </row>
    <row r="1282" spans="2:15" s="1" customFormat="1" x14ac:dyDescent="0.25">
      <c r="B1282" s="12"/>
      <c r="D1282" s="23"/>
      <c r="E1282" s="2"/>
      <c r="F1282" s="2"/>
      <c r="O1282" s="2"/>
    </row>
    <row r="1283" spans="2:15" s="1" customFormat="1" x14ac:dyDescent="0.25">
      <c r="B1283" s="12"/>
      <c r="D1283" s="23"/>
      <c r="E1283" s="2"/>
      <c r="F1283" s="2"/>
      <c r="O1283" s="2"/>
    </row>
    <row r="1284" spans="2:15" s="1" customFormat="1" x14ac:dyDescent="0.25">
      <c r="B1284" s="12"/>
      <c r="D1284" s="23"/>
      <c r="E1284" s="2"/>
      <c r="F1284" s="2"/>
      <c r="O1284" s="2"/>
    </row>
    <row r="1285" spans="2:15" s="1" customFormat="1" x14ac:dyDescent="0.25">
      <c r="B1285" s="12"/>
      <c r="D1285" s="23"/>
      <c r="E1285" s="2"/>
      <c r="F1285" s="2"/>
      <c r="O1285" s="2"/>
    </row>
    <row r="1286" spans="2:15" s="1" customFormat="1" x14ac:dyDescent="0.25">
      <c r="B1286" s="12"/>
      <c r="D1286" s="23"/>
      <c r="E1286" s="2"/>
      <c r="F1286" s="2"/>
      <c r="O1286" s="2"/>
    </row>
    <row r="1287" spans="2:15" s="1" customFormat="1" x14ac:dyDescent="0.25">
      <c r="B1287" s="12"/>
      <c r="D1287" s="23"/>
      <c r="E1287" s="2"/>
      <c r="F1287" s="2"/>
      <c r="O1287" s="2"/>
    </row>
    <row r="1288" spans="2:15" s="1" customFormat="1" x14ac:dyDescent="0.25">
      <c r="B1288" s="12"/>
      <c r="D1288" s="23"/>
      <c r="E1288" s="2"/>
      <c r="F1288" s="2"/>
      <c r="O1288" s="2"/>
    </row>
    <row r="1289" spans="2:15" s="1" customFormat="1" x14ac:dyDescent="0.25">
      <c r="B1289" s="12"/>
      <c r="D1289" s="23"/>
      <c r="E1289" s="2"/>
      <c r="F1289" s="2"/>
      <c r="O1289" s="2"/>
    </row>
    <row r="1290" spans="2:15" s="1" customFormat="1" x14ac:dyDescent="0.25">
      <c r="B1290" s="12"/>
      <c r="D1290" s="23"/>
      <c r="E1290" s="2"/>
      <c r="F1290" s="2"/>
      <c r="O1290" s="2"/>
    </row>
    <row r="1291" spans="2:15" s="1" customFormat="1" x14ac:dyDescent="0.25">
      <c r="B1291" s="12"/>
      <c r="D1291" s="23"/>
      <c r="E1291" s="2"/>
      <c r="F1291" s="2"/>
      <c r="O1291" s="2"/>
    </row>
    <row r="1292" spans="2:15" s="1" customFormat="1" x14ac:dyDescent="0.25">
      <c r="B1292" s="12"/>
      <c r="D1292" s="23"/>
      <c r="E1292" s="2"/>
      <c r="F1292" s="2"/>
      <c r="O1292" s="2"/>
    </row>
    <row r="1293" spans="2:15" s="1" customFormat="1" x14ac:dyDescent="0.25">
      <c r="B1293" s="12"/>
      <c r="D1293" s="23"/>
      <c r="E1293" s="2"/>
      <c r="F1293" s="2"/>
      <c r="O1293" s="2"/>
    </row>
    <row r="1294" spans="2:15" s="1" customFormat="1" x14ac:dyDescent="0.25">
      <c r="B1294" s="12"/>
      <c r="D1294" s="23"/>
      <c r="E1294" s="2"/>
      <c r="F1294" s="2"/>
      <c r="O1294" s="2"/>
    </row>
    <row r="1295" spans="2:15" s="1" customFormat="1" x14ac:dyDescent="0.25">
      <c r="B1295" s="12"/>
      <c r="D1295" s="23"/>
      <c r="E1295" s="2"/>
      <c r="F1295" s="2"/>
      <c r="O1295" s="2"/>
    </row>
    <row r="1296" spans="2:15" s="1" customFormat="1" x14ac:dyDescent="0.25">
      <c r="B1296" s="12"/>
      <c r="D1296" s="23"/>
      <c r="E1296" s="2"/>
      <c r="F1296" s="2"/>
      <c r="O1296" s="2"/>
    </row>
    <row r="1297" spans="2:15" s="1" customFormat="1" x14ac:dyDescent="0.25">
      <c r="B1297" s="12"/>
      <c r="D1297" s="23"/>
      <c r="E1297" s="2"/>
      <c r="F1297" s="2"/>
      <c r="O1297" s="2"/>
    </row>
    <row r="1298" spans="2:15" s="1" customFormat="1" x14ac:dyDescent="0.25">
      <c r="B1298" s="12"/>
      <c r="D1298" s="23"/>
      <c r="E1298" s="2"/>
      <c r="F1298" s="2"/>
      <c r="O1298" s="2"/>
    </row>
    <row r="1299" spans="2:15" s="1" customFormat="1" x14ac:dyDescent="0.25">
      <c r="B1299" s="12"/>
      <c r="D1299" s="23"/>
      <c r="E1299" s="2"/>
      <c r="F1299" s="2"/>
      <c r="O1299" s="2"/>
    </row>
    <row r="1300" spans="2:15" s="1" customFormat="1" x14ac:dyDescent="0.25">
      <c r="B1300" s="12"/>
      <c r="D1300" s="23"/>
      <c r="E1300" s="2"/>
      <c r="F1300" s="2"/>
      <c r="O1300" s="2"/>
    </row>
    <row r="1301" spans="2:15" s="1" customFormat="1" x14ac:dyDescent="0.25">
      <c r="B1301" s="12"/>
      <c r="D1301" s="23"/>
      <c r="E1301" s="2"/>
      <c r="F1301" s="2"/>
      <c r="O1301" s="2"/>
    </row>
    <row r="1302" spans="2:15" s="1" customFormat="1" x14ac:dyDescent="0.25">
      <c r="B1302" s="12"/>
      <c r="D1302" s="23"/>
      <c r="E1302" s="2"/>
      <c r="F1302" s="2"/>
      <c r="O1302" s="2"/>
    </row>
    <row r="1303" spans="2:15" s="1" customFormat="1" x14ac:dyDescent="0.25">
      <c r="B1303" s="12"/>
      <c r="D1303" s="23"/>
      <c r="E1303" s="2"/>
      <c r="F1303" s="2"/>
      <c r="O1303" s="2"/>
    </row>
    <row r="1304" spans="2:15" s="1" customFormat="1" x14ac:dyDescent="0.25">
      <c r="B1304" s="12"/>
      <c r="D1304" s="23"/>
      <c r="E1304" s="2"/>
      <c r="F1304" s="2"/>
      <c r="O1304" s="2"/>
    </row>
    <row r="1305" spans="2:15" s="1" customFormat="1" x14ac:dyDescent="0.25">
      <c r="B1305" s="12"/>
      <c r="D1305" s="23"/>
      <c r="E1305" s="2"/>
      <c r="F1305" s="2"/>
      <c r="O1305" s="2"/>
    </row>
    <row r="1306" spans="2:15" s="1" customFormat="1" x14ac:dyDescent="0.25">
      <c r="B1306" s="12"/>
      <c r="D1306" s="23"/>
      <c r="E1306" s="2"/>
      <c r="F1306" s="2"/>
      <c r="O1306" s="2"/>
    </row>
    <row r="1307" spans="2:15" s="1" customFormat="1" x14ac:dyDescent="0.25">
      <c r="B1307" s="12"/>
      <c r="D1307" s="23"/>
      <c r="E1307" s="2"/>
      <c r="F1307" s="2"/>
      <c r="O1307" s="2"/>
    </row>
    <row r="1308" spans="2:15" s="1" customFormat="1" x14ac:dyDescent="0.25">
      <c r="B1308" s="12"/>
      <c r="D1308" s="23"/>
      <c r="E1308" s="2"/>
      <c r="F1308" s="2"/>
      <c r="O1308" s="2"/>
    </row>
    <row r="1309" spans="2:15" s="1" customFormat="1" x14ac:dyDescent="0.25">
      <c r="B1309" s="12"/>
      <c r="D1309" s="23"/>
      <c r="E1309" s="2"/>
      <c r="F1309" s="2"/>
      <c r="O1309" s="2"/>
    </row>
    <row r="1310" spans="2:15" s="1" customFormat="1" x14ac:dyDescent="0.25">
      <c r="B1310" s="12"/>
      <c r="D1310" s="23"/>
      <c r="E1310" s="2"/>
      <c r="F1310" s="2"/>
      <c r="O1310" s="2"/>
    </row>
    <row r="1311" spans="2:15" s="1" customFormat="1" x14ac:dyDescent="0.25">
      <c r="B1311" s="12"/>
      <c r="D1311" s="23"/>
      <c r="E1311" s="2"/>
      <c r="F1311" s="2"/>
      <c r="O1311" s="2"/>
    </row>
    <row r="1312" spans="2:15" s="1" customFormat="1" x14ac:dyDescent="0.25">
      <c r="B1312" s="12"/>
      <c r="D1312" s="23"/>
      <c r="E1312" s="2"/>
      <c r="F1312" s="2"/>
      <c r="O1312" s="2"/>
    </row>
    <row r="1313" spans="2:15" s="1" customFormat="1" x14ac:dyDescent="0.25">
      <c r="B1313" s="12"/>
      <c r="D1313" s="23"/>
      <c r="E1313" s="2"/>
      <c r="F1313" s="2"/>
      <c r="O1313" s="2"/>
    </row>
    <row r="1314" spans="2:15" s="1" customFormat="1" x14ac:dyDescent="0.25">
      <c r="B1314" s="12"/>
      <c r="D1314" s="23"/>
      <c r="E1314" s="2"/>
      <c r="F1314" s="2"/>
      <c r="O1314" s="2"/>
    </row>
    <row r="1315" spans="2:15" s="1" customFormat="1" x14ac:dyDescent="0.25">
      <c r="B1315" s="12"/>
      <c r="D1315" s="23"/>
      <c r="E1315" s="2"/>
      <c r="F1315" s="2"/>
      <c r="O1315" s="2"/>
    </row>
    <row r="1316" spans="2:15" s="1" customFormat="1" x14ac:dyDescent="0.25">
      <c r="B1316" s="12"/>
      <c r="D1316" s="23"/>
      <c r="E1316" s="2"/>
      <c r="F1316" s="2"/>
      <c r="O1316" s="2"/>
    </row>
    <row r="1317" spans="2:15" s="1" customFormat="1" x14ac:dyDescent="0.25">
      <c r="B1317" s="12"/>
      <c r="D1317" s="23"/>
      <c r="E1317" s="2"/>
      <c r="F1317" s="2"/>
      <c r="O1317" s="2"/>
    </row>
    <row r="1318" spans="2:15" s="1" customFormat="1" x14ac:dyDescent="0.25">
      <c r="B1318" s="12"/>
      <c r="D1318" s="23"/>
      <c r="E1318" s="2"/>
      <c r="F1318" s="2"/>
      <c r="O1318" s="2"/>
    </row>
    <row r="1319" spans="2:15" s="1" customFormat="1" x14ac:dyDescent="0.25">
      <c r="B1319" s="12"/>
      <c r="D1319" s="23"/>
      <c r="E1319" s="2"/>
      <c r="F1319" s="2"/>
      <c r="O1319" s="2"/>
    </row>
    <row r="1320" spans="2:15" s="1" customFormat="1" x14ac:dyDescent="0.25">
      <c r="B1320" s="12"/>
      <c r="D1320" s="23"/>
      <c r="E1320" s="2"/>
      <c r="F1320" s="2"/>
      <c r="O1320" s="2"/>
    </row>
    <row r="1321" spans="2:15" s="1" customFormat="1" x14ac:dyDescent="0.25">
      <c r="B1321" s="12"/>
      <c r="D1321" s="23"/>
      <c r="E1321" s="2"/>
      <c r="F1321" s="2"/>
      <c r="O1321" s="2"/>
    </row>
    <row r="1322" spans="2:15" s="1" customFormat="1" x14ac:dyDescent="0.25">
      <c r="B1322" s="12"/>
      <c r="D1322" s="23"/>
      <c r="E1322" s="2"/>
      <c r="F1322" s="2"/>
      <c r="O1322" s="2"/>
    </row>
    <row r="1323" spans="2:15" s="1" customFormat="1" x14ac:dyDescent="0.25">
      <c r="B1323" s="12"/>
      <c r="D1323" s="23"/>
      <c r="E1323" s="2"/>
      <c r="F1323" s="2"/>
      <c r="O1323" s="2"/>
    </row>
    <row r="1324" spans="2:15" s="1" customFormat="1" x14ac:dyDescent="0.25">
      <c r="B1324" s="12"/>
      <c r="D1324" s="23"/>
      <c r="E1324" s="2"/>
      <c r="F1324" s="2"/>
      <c r="O1324" s="2"/>
    </row>
    <row r="1325" spans="2:15" s="1" customFormat="1" x14ac:dyDescent="0.25">
      <c r="B1325" s="12"/>
      <c r="D1325" s="23"/>
      <c r="E1325" s="2"/>
      <c r="F1325" s="2"/>
      <c r="O1325" s="2"/>
    </row>
    <row r="1326" spans="2:15" s="1" customFormat="1" x14ac:dyDescent="0.25">
      <c r="B1326" s="12"/>
      <c r="D1326" s="23"/>
      <c r="E1326" s="2"/>
      <c r="F1326" s="2"/>
      <c r="O1326" s="2"/>
    </row>
    <row r="1327" spans="2:15" s="1" customFormat="1" x14ac:dyDescent="0.25">
      <c r="B1327" s="12"/>
      <c r="D1327" s="23"/>
      <c r="E1327" s="2"/>
      <c r="F1327" s="2"/>
      <c r="O1327" s="2"/>
    </row>
    <row r="1328" spans="2:15" s="1" customFormat="1" x14ac:dyDescent="0.25">
      <c r="B1328" s="12"/>
      <c r="D1328" s="23"/>
      <c r="E1328" s="2"/>
      <c r="F1328" s="2"/>
      <c r="O1328" s="2"/>
    </row>
    <row r="1329" spans="2:15" s="1" customFormat="1" x14ac:dyDescent="0.25">
      <c r="B1329" s="12"/>
      <c r="D1329" s="23"/>
      <c r="E1329" s="2"/>
      <c r="F1329" s="2"/>
      <c r="O1329" s="2"/>
    </row>
    <row r="1330" spans="2:15" s="1" customFormat="1" x14ac:dyDescent="0.25">
      <c r="B1330" s="12"/>
      <c r="D1330" s="23"/>
      <c r="E1330" s="2"/>
      <c r="F1330" s="2"/>
      <c r="O1330" s="2"/>
    </row>
    <row r="1331" spans="2:15" s="1" customFormat="1" x14ac:dyDescent="0.25">
      <c r="B1331" s="12"/>
      <c r="D1331" s="23"/>
      <c r="E1331" s="2"/>
      <c r="F1331" s="2"/>
      <c r="O1331" s="2"/>
    </row>
    <row r="1332" spans="2:15" s="1" customFormat="1" x14ac:dyDescent="0.25">
      <c r="B1332" s="12"/>
      <c r="D1332" s="23"/>
      <c r="E1332" s="2"/>
      <c r="F1332" s="2"/>
      <c r="O1332" s="2"/>
    </row>
    <row r="1333" spans="2:15" s="1" customFormat="1" x14ac:dyDescent="0.25">
      <c r="B1333" s="12"/>
      <c r="D1333" s="23"/>
      <c r="E1333" s="2"/>
      <c r="F1333" s="2"/>
      <c r="O1333" s="2"/>
    </row>
    <row r="1334" spans="2:15" s="1" customFormat="1" x14ac:dyDescent="0.25">
      <c r="B1334" s="12"/>
      <c r="D1334" s="23"/>
      <c r="E1334" s="2"/>
      <c r="F1334" s="2"/>
      <c r="O1334" s="2"/>
    </row>
    <row r="1335" spans="2:15" s="1" customFormat="1" x14ac:dyDescent="0.25">
      <c r="B1335" s="12"/>
      <c r="D1335" s="23"/>
      <c r="E1335" s="2"/>
      <c r="F1335" s="2"/>
      <c r="O1335" s="2"/>
    </row>
    <row r="1336" spans="2:15" s="1" customFormat="1" x14ac:dyDescent="0.25">
      <c r="B1336" s="12"/>
      <c r="D1336" s="23"/>
      <c r="E1336" s="2"/>
      <c r="F1336" s="2"/>
      <c r="O1336" s="2"/>
    </row>
    <row r="1337" spans="2:15" s="1" customFormat="1" x14ac:dyDescent="0.25">
      <c r="B1337" s="12"/>
      <c r="D1337" s="23"/>
      <c r="E1337" s="2"/>
      <c r="F1337" s="2"/>
      <c r="O1337" s="2"/>
    </row>
    <row r="1338" spans="2:15" s="1" customFormat="1" x14ac:dyDescent="0.25">
      <c r="B1338" s="12"/>
      <c r="D1338" s="23"/>
      <c r="E1338" s="2"/>
      <c r="F1338" s="2"/>
      <c r="O1338" s="2"/>
    </row>
    <row r="1339" spans="2:15" s="1" customFormat="1" x14ac:dyDescent="0.25">
      <c r="B1339" s="12"/>
      <c r="D1339" s="23"/>
      <c r="E1339" s="2"/>
      <c r="F1339" s="2"/>
      <c r="O1339" s="2"/>
    </row>
    <row r="1340" spans="2:15" s="1" customFormat="1" x14ac:dyDescent="0.25">
      <c r="B1340" s="12"/>
      <c r="D1340" s="23"/>
      <c r="E1340" s="2"/>
      <c r="F1340" s="2"/>
      <c r="O1340" s="2"/>
    </row>
    <row r="1341" spans="2:15" s="1" customFormat="1" x14ac:dyDescent="0.25">
      <c r="B1341" s="12"/>
      <c r="D1341" s="23"/>
      <c r="E1341" s="2"/>
      <c r="F1341" s="2"/>
      <c r="O1341" s="2"/>
    </row>
    <row r="1342" spans="2:15" s="1" customFormat="1" x14ac:dyDescent="0.25">
      <c r="B1342" s="12"/>
      <c r="D1342" s="23"/>
      <c r="E1342" s="2"/>
      <c r="F1342" s="2"/>
      <c r="O1342" s="2"/>
    </row>
    <row r="1343" spans="2:15" s="1" customFormat="1" x14ac:dyDescent="0.25">
      <c r="B1343" s="12"/>
      <c r="D1343" s="23"/>
      <c r="E1343" s="2"/>
      <c r="F1343" s="2"/>
      <c r="O1343" s="2"/>
    </row>
    <row r="1344" spans="2:15" s="1" customFormat="1" x14ac:dyDescent="0.25">
      <c r="B1344" s="12"/>
      <c r="D1344" s="23"/>
      <c r="E1344" s="2"/>
      <c r="F1344" s="2"/>
      <c r="O1344" s="2"/>
    </row>
    <row r="1345" spans="2:15" s="1" customFormat="1" x14ac:dyDescent="0.25">
      <c r="B1345" s="12"/>
      <c r="D1345" s="23"/>
      <c r="E1345" s="2"/>
      <c r="F1345" s="2"/>
      <c r="O1345" s="2"/>
    </row>
    <row r="1346" spans="2:15" s="1" customFormat="1" x14ac:dyDescent="0.25">
      <c r="B1346" s="12"/>
      <c r="D1346" s="23"/>
      <c r="E1346" s="2"/>
      <c r="F1346" s="2"/>
      <c r="O1346" s="2"/>
    </row>
    <row r="1347" spans="2:15" s="1" customFormat="1" x14ac:dyDescent="0.25">
      <c r="B1347" s="12"/>
      <c r="D1347" s="23"/>
      <c r="E1347" s="2"/>
      <c r="F1347" s="2"/>
      <c r="O1347" s="2"/>
    </row>
    <row r="1348" spans="2:15" s="1" customFormat="1" x14ac:dyDescent="0.25">
      <c r="B1348" s="12"/>
      <c r="D1348" s="23"/>
      <c r="E1348" s="2"/>
      <c r="F1348" s="2"/>
      <c r="O1348" s="2"/>
    </row>
    <row r="1349" spans="2:15" s="1" customFormat="1" x14ac:dyDescent="0.25">
      <c r="B1349" s="12"/>
      <c r="D1349" s="23"/>
      <c r="E1349" s="2"/>
      <c r="F1349" s="2"/>
      <c r="O1349" s="2"/>
    </row>
    <row r="1350" spans="2:15" s="1" customFormat="1" x14ac:dyDescent="0.25">
      <c r="B1350" s="12"/>
      <c r="D1350" s="23"/>
      <c r="E1350" s="2"/>
      <c r="F1350" s="2"/>
      <c r="O1350" s="2"/>
    </row>
    <row r="1351" spans="2:15" s="1" customFormat="1" x14ac:dyDescent="0.25">
      <c r="B1351" s="12"/>
      <c r="D1351" s="23"/>
      <c r="E1351" s="2"/>
      <c r="F1351" s="2"/>
      <c r="O1351" s="2"/>
    </row>
    <row r="1352" spans="2:15" s="1" customFormat="1" x14ac:dyDescent="0.25">
      <c r="B1352" s="12"/>
      <c r="D1352" s="23"/>
      <c r="E1352" s="2"/>
      <c r="F1352" s="2"/>
      <c r="O1352" s="2"/>
    </row>
    <row r="1353" spans="2:15" s="1" customFormat="1" x14ac:dyDescent="0.25">
      <c r="B1353" s="12"/>
      <c r="D1353" s="23"/>
      <c r="E1353" s="2"/>
      <c r="F1353" s="2"/>
      <c r="O1353" s="2"/>
    </row>
    <row r="1354" spans="2:15" s="1" customFormat="1" x14ac:dyDescent="0.25">
      <c r="B1354" s="12"/>
      <c r="D1354" s="23"/>
      <c r="E1354" s="2"/>
      <c r="F1354" s="2"/>
      <c r="O1354" s="2"/>
    </row>
    <row r="1355" spans="2:15" s="1" customFormat="1" x14ac:dyDescent="0.25">
      <c r="B1355" s="12"/>
      <c r="D1355" s="23"/>
      <c r="E1355" s="2"/>
      <c r="F1355" s="2"/>
      <c r="O1355" s="2"/>
    </row>
    <row r="1356" spans="2:15" s="1" customFormat="1" x14ac:dyDescent="0.25">
      <c r="B1356" s="12"/>
      <c r="D1356" s="23"/>
      <c r="E1356" s="2"/>
      <c r="F1356" s="2"/>
      <c r="O1356" s="2"/>
    </row>
    <row r="1357" spans="2:15" s="1" customFormat="1" x14ac:dyDescent="0.25">
      <c r="B1357" s="12"/>
      <c r="D1357" s="23"/>
      <c r="E1357" s="2"/>
      <c r="F1357" s="2"/>
      <c r="O1357" s="2"/>
    </row>
    <row r="1358" spans="2:15" s="1" customFormat="1" x14ac:dyDescent="0.25">
      <c r="B1358" s="12"/>
      <c r="D1358" s="23"/>
      <c r="E1358" s="2"/>
      <c r="F1358" s="2"/>
      <c r="O1358" s="2"/>
    </row>
    <row r="1359" spans="2:15" s="1" customFormat="1" x14ac:dyDescent="0.25">
      <c r="B1359" s="12"/>
      <c r="D1359" s="23"/>
      <c r="E1359" s="2"/>
      <c r="F1359" s="2"/>
      <c r="O1359" s="2"/>
    </row>
    <row r="1360" spans="2:15" s="1" customFormat="1" x14ac:dyDescent="0.25">
      <c r="B1360" s="12"/>
      <c r="D1360" s="23"/>
      <c r="E1360" s="2"/>
      <c r="F1360" s="2"/>
      <c r="O1360" s="2"/>
    </row>
    <row r="1361" spans="2:15" s="1" customFormat="1" x14ac:dyDescent="0.25">
      <c r="B1361" s="12"/>
      <c r="D1361" s="23"/>
      <c r="E1361" s="2"/>
      <c r="F1361" s="2"/>
      <c r="O1361" s="2"/>
    </row>
    <row r="1362" spans="2:15" s="1" customFormat="1" x14ac:dyDescent="0.25">
      <c r="B1362" s="12"/>
      <c r="D1362" s="23"/>
      <c r="E1362" s="2"/>
      <c r="F1362" s="2"/>
      <c r="O1362" s="2"/>
    </row>
    <row r="1363" spans="2:15" s="1" customFormat="1" x14ac:dyDescent="0.25">
      <c r="B1363" s="12"/>
      <c r="D1363" s="23"/>
      <c r="E1363" s="2"/>
      <c r="F1363" s="2"/>
      <c r="O1363" s="2"/>
    </row>
    <row r="1364" spans="2:15" s="1" customFormat="1" x14ac:dyDescent="0.25">
      <c r="B1364" s="12"/>
      <c r="D1364" s="23"/>
      <c r="E1364" s="2"/>
      <c r="F1364" s="2"/>
      <c r="O1364" s="2"/>
    </row>
    <row r="1365" spans="2:15" s="1" customFormat="1" x14ac:dyDescent="0.25">
      <c r="B1365" s="12"/>
      <c r="D1365" s="23"/>
      <c r="E1365" s="2"/>
      <c r="F1365" s="2"/>
      <c r="O1365" s="2"/>
    </row>
    <row r="1366" spans="2:15" s="1" customFormat="1" x14ac:dyDescent="0.25">
      <c r="B1366" s="12"/>
      <c r="D1366" s="23"/>
      <c r="E1366" s="2"/>
      <c r="F1366" s="2"/>
      <c r="O1366" s="2"/>
    </row>
    <row r="1367" spans="2:15" s="1" customFormat="1" x14ac:dyDescent="0.25">
      <c r="B1367" s="12"/>
      <c r="D1367" s="23"/>
      <c r="E1367" s="2"/>
      <c r="F1367" s="2"/>
      <c r="O1367" s="2"/>
    </row>
    <row r="1368" spans="2:15" s="1" customFormat="1" x14ac:dyDescent="0.25">
      <c r="B1368" s="12"/>
      <c r="D1368" s="23"/>
      <c r="E1368" s="2"/>
      <c r="F1368" s="2"/>
      <c r="O1368" s="2"/>
    </row>
    <row r="1369" spans="2:15" s="1" customFormat="1" x14ac:dyDescent="0.25">
      <c r="B1369" s="12"/>
      <c r="D1369" s="23"/>
      <c r="E1369" s="2"/>
      <c r="F1369" s="2"/>
      <c r="O1369" s="2"/>
    </row>
    <row r="1370" spans="2:15" s="1" customFormat="1" x14ac:dyDescent="0.25">
      <c r="B1370" s="12"/>
      <c r="D1370" s="23"/>
      <c r="E1370" s="2"/>
      <c r="F1370" s="2"/>
      <c r="O1370" s="2"/>
    </row>
    <row r="1371" spans="2:15" s="1" customFormat="1" x14ac:dyDescent="0.25">
      <c r="B1371" s="12"/>
      <c r="D1371" s="23"/>
      <c r="E1371" s="2"/>
      <c r="F1371" s="2"/>
      <c r="O1371" s="2"/>
    </row>
    <row r="1372" spans="2:15" s="1" customFormat="1" x14ac:dyDescent="0.25">
      <c r="B1372" s="12"/>
      <c r="D1372" s="23"/>
      <c r="E1372" s="2"/>
      <c r="F1372" s="2"/>
      <c r="O1372" s="2"/>
    </row>
    <row r="1373" spans="2:15" s="1" customFormat="1" x14ac:dyDescent="0.25">
      <c r="B1373" s="12"/>
      <c r="D1373" s="23"/>
      <c r="E1373" s="2"/>
      <c r="F1373" s="2"/>
      <c r="O1373" s="2"/>
    </row>
    <row r="1374" spans="2:15" s="1" customFormat="1" x14ac:dyDescent="0.25">
      <c r="B1374" s="12"/>
      <c r="D1374" s="23"/>
      <c r="E1374" s="2"/>
      <c r="F1374" s="2"/>
      <c r="O1374" s="2"/>
    </row>
    <row r="1375" spans="2:15" s="1" customFormat="1" x14ac:dyDescent="0.25">
      <c r="B1375" s="12"/>
      <c r="D1375" s="23"/>
      <c r="E1375" s="2"/>
      <c r="F1375" s="2"/>
      <c r="O1375" s="2"/>
    </row>
    <row r="1376" spans="2:15" s="1" customFormat="1" x14ac:dyDescent="0.25">
      <c r="B1376" s="12"/>
      <c r="D1376" s="23"/>
      <c r="E1376" s="2"/>
      <c r="F1376" s="2"/>
      <c r="O1376" s="2"/>
    </row>
    <row r="1377" spans="2:15" s="1" customFormat="1" x14ac:dyDescent="0.25">
      <c r="B1377" s="12"/>
      <c r="D1377" s="23"/>
      <c r="E1377" s="2"/>
      <c r="F1377" s="2"/>
      <c r="O1377" s="2"/>
    </row>
    <row r="1378" spans="2:15" s="1" customFormat="1" x14ac:dyDescent="0.25">
      <c r="B1378" s="12"/>
      <c r="D1378" s="23"/>
      <c r="E1378" s="2"/>
      <c r="F1378" s="2"/>
      <c r="O1378" s="2"/>
    </row>
    <row r="1379" spans="2:15" s="1" customFormat="1" x14ac:dyDescent="0.25">
      <c r="B1379" s="12"/>
      <c r="D1379" s="23"/>
      <c r="E1379" s="2"/>
      <c r="F1379" s="2"/>
      <c r="O1379" s="2"/>
    </row>
    <row r="1380" spans="2:15" s="1" customFormat="1" x14ac:dyDescent="0.25">
      <c r="B1380" s="12"/>
      <c r="D1380" s="23"/>
      <c r="E1380" s="2"/>
      <c r="F1380" s="2"/>
      <c r="O1380" s="2"/>
    </row>
    <row r="1381" spans="2:15" s="1" customFormat="1" x14ac:dyDescent="0.25">
      <c r="B1381" s="12"/>
      <c r="D1381" s="23"/>
      <c r="E1381" s="2"/>
      <c r="F1381" s="2"/>
      <c r="O1381" s="2"/>
    </row>
    <row r="1382" spans="2:15" s="1" customFormat="1" x14ac:dyDescent="0.25">
      <c r="B1382" s="12"/>
      <c r="D1382" s="23"/>
      <c r="E1382" s="2"/>
      <c r="F1382" s="2"/>
      <c r="O1382" s="2"/>
    </row>
    <row r="1383" spans="2:15" s="1" customFormat="1" x14ac:dyDescent="0.25">
      <c r="B1383" s="12"/>
      <c r="D1383" s="23"/>
      <c r="E1383" s="2"/>
      <c r="F1383" s="2"/>
      <c r="O1383" s="2"/>
    </row>
    <row r="1384" spans="2:15" s="1" customFormat="1" x14ac:dyDescent="0.25">
      <c r="B1384" s="12"/>
      <c r="D1384" s="23"/>
      <c r="E1384" s="2"/>
      <c r="F1384" s="2"/>
      <c r="O1384" s="2"/>
    </row>
    <row r="1385" spans="2:15" s="1" customFormat="1" x14ac:dyDescent="0.25">
      <c r="B1385" s="12"/>
      <c r="D1385" s="23"/>
      <c r="E1385" s="2"/>
      <c r="F1385" s="2"/>
      <c r="O1385" s="2"/>
    </row>
    <row r="1386" spans="2:15" s="1" customFormat="1" x14ac:dyDescent="0.25">
      <c r="B1386" s="12"/>
      <c r="D1386" s="23"/>
      <c r="E1386" s="2"/>
      <c r="F1386" s="2"/>
      <c r="O1386" s="2"/>
    </row>
    <row r="1387" spans="2:15" s="1" customFormat="1" x14ac:dyDescent="0.25">
      <c r="B1387" s="12"/>
      <c r="D1387" s="23"/>
      <c r="E1387" s="2"/>
      <c r="F1387" s="2"/>
      <c r="O1387" s="2"/>
    </row>
    <row r="1388" spans="2:15" s="1" customFormat="1" x14ac:dyDescent="0.25">
      <c r="B1388" s="12"/>
      <c r="D1388" s="23"/>
      <c r="E1388" s="2"/>
      <c r="F1388" s="2"/>
      <c r="O1388" s="2"/>
    </row>
    <row r="1389" spans="2:15" s="1" customFormat="1" x14ac:dyDescent="0.25">
      <c r="B1389" s="12"/>
      <c r="D1389" s="23"/>
      <c r="E1389" s="2"/>
      <c r="F1389" s="2"/>
      <c r="O1389" s="2"/>
    </row>
    <row r="1390" spans="2:15" s="1" customFormat="1" x14ac:dyDescent="0.25">
      <c r="B1390" s="12"/>
      <c r="D1390" s="23"/>
      <c r="E1390" s="2"/>
      <c r="F1390" s="2"/>
      <c r="O1390" s="2"/>
    </row>
    <row r="1391" spans="2:15" s="1" customFormat="1" x14ac:dyDescent="0.25">
      <c r="B1391" s="12"/>
      <c r="D1391" s="23"/>
      <c r="E1391" s="2"/>
      <c r="F1391" s="2"/>
      <c r="O1391" s="2"/>
    </row>
    <row r="1392" spans="2:15" s="1" customFormat="1" x14ac:dyDescent="0.25">
      <c r="B1392" s="12"/>
      <c r="D1392" s="23"/>
      <c r="E1392" s="2"/>
      <c r="F1392" s="2"/>
      <c r="O1392" s="2"/>
    </row>
    <row r="1393" spans="2:15" s="1" customFormat="1" x14ac:dyDescent="0.25">
      <c r="B1393" s="12"/>
      <c r="D1393" s="23"/>
      <c r="E1393" s="2"/>
      <c r="F1393" s="2"/>
      <c r="O1393" s="2"/>
    </row>
    <row r="1394" spans="2:15" s="1" customFormat="1" x14ac:dyDescent="0.25">
      <c r="B1394" s="12"/>
      <c r="D1394" s="23"/>
      <c r="E1394" s="2"/>
      <c r="F1394" s="2"/>
      <c r="O1394" s="2"/>
    </row>
    <row r="1395" spans="2:15" s="1" customFormat="1" x14ac:dyDescent="0.25">
      <c r="B1395" s="12"/>
      <c r="D1395" s="23"/>
      <c r="E1395" s="2"/>
      <c r="F1395" s="2"/>
      <c r="O1395" s="2"/>
    </row>
    <row r="1396" spans="2:15" s="1" customFormat="1" x14ac:dyDescent="0.25">
      <c r="B1396" s="12"/>
      <c r="D1396" s="23"/>
      <c r="E1396" s="2"/>
      <c r="F1396" s="2"/>
      <c r="O1396" s="2"/>
    </row>
    <row r="1397" spans="2:15" s="1" customFormat="1" x14ac:dyDescent="0.25">
      <c r="B1397" s="12"/>
      <c r="D1397" s="23"/>
      <c r="E1397" s="2"/>
      <c r="F1397" s="2"/>
      <c r="O1397" s="2"/>
    </row>
    <row r="1398" spans="2:15" s="1" customFormat="1" x14ac:dyDescent="0.25">
      <c r="B1398" s="12"/>
      <c r="D1398" s="23"/>
      <c r="E1398" s="2"/>
      <c r="F1398" s="2"/>
      <c r="O1398" s="2"/>
    </row>
    <row r="1399" spans="2:15" s="1" customFormat="1" x14ac:dyDescent="0.25">
      <c r="B1399" s="12"/>
      <c r="D1399" s="23"/>
      <c r="E1399" s="2"/>
      <c r="F1399" s="2"/>
      <c r="O1399" s="2"/>
    </row>
    <row r="1400" spans="2:15" s="1" customFormat="1" x14ac:dyDescent="0.25">
      <c r="B1400" s="12"/>
      <c r="D1400" s="23"/>
      <c r="E1400" s="2"/>
      <c r="F1400" s="2"/>
      <c r="O1400" s="2"/>
    </row>
    <row r="1401" spans="2:15" s="1" customFormat="1" x14ac:dyDescent="0.25">
      <c r="B1401" s="12"/>
      <c r="D1401" s="23"/>
      <c r="E1401" s="2"/>
      <c r="F1401" s="2"/>
      <c r="O1401" s="2"/>
    </row>
    <row r="1402" spans="2:15" s="1" customFormat="1" x14ac:dyDescent="0.25">
      <c r="B1402" s="12"/>
      <c r="D1402" s="23"/>
      <c r="E1402" s="2"/>
      <c r="F1402" s="2"/>
      <c r="O1402" s="2"/>
    </row>
    <row r="1403" spans="2:15" s="1" customFormat="1" x14ac:dyDescent="0.25">
      <c r="B1403" s="12"/>
      <c r="D1403" s="23"/>
      <c r="E1403" s="2"/>
      <c r="F1403" s="2"/>
      <c r="O1403" s="2"/>
    </row>
    <row r="1404" spans="2:15" s="1" customFormat="1" x14ac:dyDescent="0.25">
      <c r="B1404" s="12"/>
      <c r="D1404" s="23"/>
      <c r="E1404" s="2"/>
      <c r="F1404" s="2"/>
      <c r="O1404" s="2"/>
    </row>
    <row r="1405" spans="2:15" s="1" customFormat="1" x14ac:dyDescent="0.25">
      <c r="B1405" s="12"/>
      <c r="D1405" s="23"/>
      <c r="E1405" s="2"/>
      <c r="F1405" s="2"/>
      <c r="O1405" s="2"/>
    </row>
    <row r="1406" spans="2:15" s="1" customFormat="1" x14ac:dyDescent="0.25">
      <c r="B1406" s="12"/>
      <c r="D1406" s="23"/>
      <c r="E1406" s="2"/>
      <c r="F1406" s="2"/>
      <c r="O1406" s="2"/>
    </row>
    <row r="1407" spans="2:15" s="1" customFormat="1" x14ac:dyDescent="0.25">
      <c r="B1407" s="12"/>
      <c r="D1407" s="23"/>
      <c r="E1407" s="2"/>
      <c r="F1407" s="2"/>
      <c r="O1407" s="2"/>
    </row>
    <row r="1408" spans="2:15" s="1" customFormat="1" x14ac:dyDescent="0.25">
      <c r="B1408" s="12"/>
      <c r="D1408" s="23"/>
      <c r="E1408" s="2"/>
      <c r="F1408" s="2"/>
      <c r="O1408" s="2"/>
    </row>
    <row r="1409" spans="2:15" s="1" customFormat="1" x14ac:dyDescent="0.25">
      <c r="B1409" s="12"/>
      <c r="D1409" s="23"/>
      <c r="E1409" s="2"/>
      <c r="F1409" s="2"/>
      <c r="O1409" s="2"/>
    </row>
    <row r="1410" spans="2:15" s="1" customFormat="1" x14ac:dyDescent="0.25">
      <c r="B1410" s="12"/>
      <c r="D1410" s="23"/>
      <c r="E1410" s="2"/>
      <c r="F1410" s="2"/>
      <c r="O1410" s="2"/>
    </row>
    <row r="1411" spans="2:15" s="1" customFormat="1" x14ac:dyDescent="0.25">
      <c r="B1411" s="12"/>
      <c r="D1411" s="23"/>
      <c r="E1411" s="2"/>
      <c r="F1411" s="2"/>
      <c r="O1411" s="2"/>
    </row>
    <row r="1412" spans="2:15" s="1" customFormat="1" x14ac:dyDescent="0.25">
      <c r="B1412" s="12"/>
      <c r="D1412" s="23"/>
      <c r="E1412" s="2"/>
      <c r="F1412" s="2"/>
      <c r="O1412" s="2"/>
    </row>
    <row r="1413" spans="2:15" s="1" customFormat="1" x14ac:dyDescent="0.25">
      <c r="B1413" s="12"/>
      <c r="D1413" s="23"/>
      <c r="E1413" s="2"/>
      <c r="F1413" s="2"/>
      <c r="O1413" s="2"/>
    </row>
    <row r="1414" spans="2:15" s="1" customFormat="1" x14ac:dyDescent="0.25">
      <c r="B1414" s="12"/>
      <c r="D1414" s="23"/>
      <c r="E1414" s="2"/>
      <c r="F1414" s="2"/>
      <c r="O1414" s="2"/>
    </row>
    <row r="1415" spans="2:15" s="1" customFormat="1" x14ac:dyDescent="0.25">
      <c r="B1415" s="12"/>
      <c r="D1415" s="23"/>
      <c r="E1415" s="2"/>
      <c r="F1415" s="2"/>
      <c r="O1415" s="2"/>
    </row>
    <row r="1416" spans="2:15" s="1" customFormat="1" x14ac:dyDescent="0.25">
      <c r="B1416" s="12"/>
      <c r="D1416" s="23"/>
      <c r="E1416" s="2"/>
      <c r="F1416" s="2"/>
      <c r="O1416" s="2"/>
    </row>
    <row r="1417" spans="2:15" s="1" customFormat="1" x14ac:dyDescent="0.25">
      <c r="B1417" s="12"/>
      <c r="D1417" s="23"/>
      <c r="E1417" s="2"/>
      <c r="F1417" s="2"/>
      <c r="O1417" s="2"/>
    </row>
    <row r="1418" spans="2:15" s="1" customFormat="1" x14ac:dyDescent="0.25">
      <c r="B1418" s="12"/>
      <c r="D1418" s="23"/>
      <c r="E1418" s="2"/>
      <c r="F1418" s="2"/>
      <c r="O1418" s="2"/>
    </row>
    <row r="1419" spans="2:15" s="1" customFormat="1" x14ac:dyDescent="0.25">
      <c r="B1419" s="12"/>
      <c r="D1419" s="23"/>
      <c r="E1419" s="2"/>
      <c r="F1419" s="2"/>
      <c r="O1419" s="2"/>
    </row>
    <row r="1420" spans="2:15" s="1" customFormat="1" x14ac:dyDescent="0.25">
      <c r="B1420" s="12"/>
      <c r="D1420" s="23"/>
      <c r="E1420" s="2"/>
      <c r="F1420" s="2"/>
      <c r="O1420" s="2"/>
    </row>
    <row r="1421" spans="2:15" s="1" customFormat="1" x14ac:dyDescent="0.25">
      <c r="B1421" s="12"/>
      <c r="D1421" s="23"/>
      <c r="E1421" s="2"/>
      <c r="F1421" s="2"/>
      <c r="O1421" s="2"/>
    </row>
    <row r="1422" spans="2:15" s="1" customFormat="1" x14ac:dyDescent="0.25">
      <c r="B1422" s="12"/>
      <c r="D1422" s="23"/>
      <c r="E1422" s="2"/>
      <c r="F1422" s="2"/>
      <c r="O1422" s="2"/>
    </row>
    <row r="1423" spans="2:15" s="1" customFormat="1" x14ac:dyDescent="0.25">
      <c r="B1423" s="12"/>
      <c r="D1423" s="23"/>
      <c r="E1423" s="2"/>
      <c r="F1423" s="2"/>
      <c r="O1423" s="2"/>
    </row>
    <row r="1424" spans="2:15" s="1" customFormat="1" x14ac:dyDescent="0.25">
      <c r="B1424" s="12"/>
      <c r="D1424" s="23"/>
      <c r="E1424" s="2"/>
      <c r="F1424" s="2"/>
      <c r="O1424" s="2"/>
    </row>
    <row r="1425" spans="2:15" s="1" customFormat="1" x14ac:dyDescent="0.25">
      <c r="B1425" s="12"/>
      <c r="D1425" s="23"/>
      <c r="E1425" s="2"/>
      <c r="F1425" s="2"/>
      <c r="O1425" s="2"/>
    </row>
    <row r="1426" spans="2:15" s="1" customFormat="1" x14ac:dyDescent="0.25">
      <c r="B1426" s="12"/>
      <c r="D1426" s="23"/>
      <c r="E1426" s="2"/>
      <c r="F1426" s="2"/>
      <c r="O1426" s="2"/>
    </row>
    <row r="1427" spans="2:15" s="1" customFormat="1" x14ac:dyDescent="0.25">
      <c r="B1427" s="12"/>
      <c r="D1427" s="23"/>
      <c r="E1427" s="2"/>
      <c r="F1427" s="2"/>
      <c r="O1427" s="2"/>
    </row>
    <row r="1428" spans="2:15" s="1" customFormat="1" x14ac:dyDescent="0.25">
      <c r="B1428" s="12"/>
      <c r="D1428" s="23"/>
      <c r="E1428" s="2"/>
      <c r="F1428" s="2"/>
      <c r="O1428" s="2"/>
    </row>
    <row r="1429" spans="2:15" s="1" customFormat="1" x14ac:dyDescent="0.25">
      <c r="B1429" s="12"/>
      <c r="D1429" s="23"/>
      <c r="E1429" s="2"/>
      <c r="F1429" s="2"/>
      <c r="O1429" s="2"/>
    </row>
    <row r="1430" spans="2:15" s="1" customFormat="1" x14ac:dyDescent="0.25">
      <c r="B1430" s="12"/>
      <c r="D1430" s="23"/>
      <c r="E1430" s="2"/>
      <c r="F1430" s="2"/>
      <c r="O1430" s="2"/>
    </row>
    <row r="1431" spans="2:15" s="1" customFormat="1" x14ac:dyDescent="0.25">
      <c r="B1431" s="12"/>
      <c r="D1431" s="23"/>
      <c r="E1431" s="2"/>
      <c r="F1431" s="2"/>
      <c r="O1431" s="2"/>
    </row>
    <row r="1432" spans="2:15" s="1" customFormat="1" x14ac:dyDescent="0.25">
      <c r="B1432" s="12"/>
      <c r="D1432" s="23"/>
      <c r="E1432" s="2"/>
      <c r="F1432" s="2"/>
      <c r="O1432" s="2"/>
    </row>
    <row r="1433" spans="2:15" s="1" customFormat="1" x14ac:dyDescent="0.25">
      <c r="B1433" s="12"/>
      <c r="D1433" s="23"/>
      <c r="E1433" s="2"/>
      <c r="F1433" s="2"/>
      <c r="O1433" s="2"/>
    </row>
    <row r="1434" spans="2:15" s="1" customFormat="1" x14ac:dyDescent="0.25">
      <c r="B1434" s="12"/>
      <c r="D1434" s="23"/>
      <c r="E1434" s="2"/>
      <c r="F1434" s="2"/>
      <c r="O1434" s="2"/>
    </row>
    <row r="1435" spans="2:15" s="1" customFormat="1" x14ac:dyDescent="0.25">
      <c r="B1435" s="12"/>
      <c r="D1435" s="23"/>
      <c r="E1435" s="2"/>
      <c r="F1435" s="2"/>
      <c r="O1435" s="2"/>
    </row>
    <row r="1436" spans="2:15" s="1" customFormat="1" x14ac:dyDescent="0.25">
      <c r="B1436" s="12"/>
      <c r="D1436" s="23"/>
      <c r="E1436" s="2"/>
      <c r="F1436" s="2"/>
      <c r="O1436" s="2"/>
    </row>
    <row r="1437" spans="2:15" s="1" customFormat="1" x14ac:dyDescent="0.25">
      <c r="B1437" s="12"/>
      <c r="D1437" s="23"/>
      <c r="E1437" s="2"/>
      <c r="F1437" s="2"/>
      <c r="O1437" s="2"/>
    </row>
    <row r="1438" spans="2:15" s="1" customFormat="1" x14ac:dyDescent="0.25">
      <c r="B1438" s="12"/>
      <c r="D1438" s="23"/>
      <c r="E1438" s="2"/>
      <c r="F1438" s="2"/>
      <c r="O1438" s="2"/>
    </row>
    <row r="1439" spans="2:15" s="1" customFormat="1" x14ac:dyDescent="0.25">
      <c r="B1439" s="12"/>
      <c r="D1439" s="23"/>
      <c r="E1439" s="2"/>
      <c r="F1439" s="2"/>
      <c r="O1439" s="2"/>
    </row>
    <row r="1440" spans="2:15" s="1" customFormat="1" x14ac:dyDescent="0.25">
      <c r="B1440" s="12"/>
      <c r="D1440" s="23"/>
      <c r="E1440" s="2"/>
      <c r="F1440" s="2"/>
      <c r="O1440" s="2"/>
    </row>
    <row r="1441" spans="2:15" s="1" customFormat="1" x14ac:dyDescent="0.25">
      <c r="B1441" s="12"/>
      <c r="D1441" s="23"/>
      <c r="E1441" s="2"/>
      <c r="F1441" s="2"/>
      <c r="O1441" s="2"/>
    </row>
    <row r="1442" spans="2:15" s="1" customFormat="1" x14ac:dyDescent="0.25">
      <c r="B1442" s="12"/>
      <c r="D1442" s="23"/>
      <c r="E1442" s="2"/>
      <c r="F1442" s="2"/>
      <c r="O1442" s="2"/>
    </row>
    <row r="1443" spans="2:15" s="1" customFormat="1" x14ac:dyDescent="0.25">
      <c r="B1443" s="12"/>
      <c r="D1443" s="23"/>
      <c r="E1443" s="2"/>
      <c r="F1443" s="2"/>
      <c r="O1443" s="2"/>
    </row>
    <row r="1444" spans="2:15" s="1" customFormat="1" x14ac:dyDescent="0.25">
      <c r="B1444" s="12"/>
      <c r="D1444" s="23"/>
      <c r="E1444" s="2"/>
      <c r="F1444" s="2"/>
      <c r="O1444" s="2"/>
    </row>
    <row r="1445" spans="2:15" s="1" customFormat="1" x14ac:dyDescent="0.25">
      <c r="B1445" s="12"/>
      <c r="D1445" s="23"/>
      <c r="E1445" s="2"/>
      <c r="F1445" s="2"/>
      <c r="O1445" s="2"/>
    </row>
    <row r="1446" spans="2:15" s="1" customFormat="1" x14ac:dyDescent="0.25">
      <c r="B1446" s="12"/>
      <c r="D1446" s="23"/>
      <c r="E1446" s="2"/>
      <c r="F1446" s="2"/>
      <c r="O1446" s="2"/>
    </row>
    <row r="1447" spans="2:15" s="1" customFormat="1" x14ac:dyDescent="0.25">
      <c r="B1447" s="12"/>
      <c r="D1447" s="23"/>
      <c r="E1447" s="2"/>
      <c r="F1447" s="2"/>
      <c r="O1447" s="2"/>
    </row>
    <row r="1448" spans="2:15" s="1" customFormat="1" x14ac:dyDescent="0.25">
      <c r="B1448" s="12"/>
      <c r="D1448" s="23"/>
      <c r="E1448" s="2"/>
      <c r="F1448" s="2"/>
      <c r="O1448" s="2"/>
    </row>
    <row r="1449" spans="2:15" s="1" customFormat="1" x14ac:dyDescent="0.25">
      <c r="B1449" s="12"/>
      <c r="D1449" s="23"/>
      <c r="E1449" s="2"/>
      <c r="F1449" s="2"/>
      <c r="O1449" s="2"/>
    </row>
    <row r="1450" spans="2:15" s="1" customFormat="1" x14ac:dyDescent="0.25">
      <c r="B1450" s="12"/>
      <c r="D1450" s="23"/>
      <c r="E1450" s="2"/>
      <c r="F1450" s="2"/>
      <c r="O1450" s="2"/>
    </row>
    <row r="1451" spans="2:15" s="1" customFormat="1" x14ac:dyDescent="0.25">
      <c r="B1451" s="12"/>
      <c r="D1451" s="23"/>
      <c r="E1451" s="2"/>
      <c r="F1451" s="2"/>
      <c r="O1451" s="2"/>
    </row>
    <row r="1452" spans="2:15" s="1" customFormat="1" x14ac:dyDescent="0.25">
      <c r="B1452" s="12"/>
      <c r="D1452" s="23"/>
      <c r="E1452" s="2"/>
      <c r="F1452" s="2"/>
      <c r="O1452" s="2"/>
    </row>
    <row r="1453" spans="2:15" s="1" customFormat="1" x14ac:dyDescent="0.25">
      <c r="B1453" s="12"/>
      <c r="D1453" s="23"/>
      <c r="E1453" s="2"/>
      <c r="F1453" s="2"/>
      <c r="O1453" s="2"/>
    </row>
    <row r="1454" spans="2:15" s="1" customFormat="1" x14ac:dyDescent="0.25">
      <c r="B1454" s="12"/>
      <c r="D1454" s="23"/>
      <c r="E1454" s="2"/>
      <c r="F1454" s="2"/>
      <c r="O1454" s="2"/>
    </row>
    <row r="1455" spans="2:15" s="1" customFormat="1" x14ac:dyDescent="0.25">
      <c r="B1455" s="12"/>
      <c r="D1455" s="23"/>
      <c r="E1455" s="2"/>
      <c r="F1455" s="2"/>
      <c r="O1455" s="2"/>
    </row>
    <row r="1456" spans="2:15" s="1" customFormat="1" x14ac:dyDescent="0.25">
      <c r="B1456" s="12"/>
      <c r="D1456" s="23"/>
      <c r="E1456" s="2"/>
      <c r="F1456" s="2"/>
      <c r="O1456" s="2"/>
    </row>
    <row r="1457" spans="2:15" s="1" customFormat="1" x14ac:dyDescent="0.25">
      <c r="B1457" s="12"/>
      <c r="D1457" s="23"/>
      <c r="E1457" s="2"/>
      <c r="F1457" s="2"/>
      <c r="O1457" s="2"/>
    </row>
    <row r="1458" spans="2:15" s="1" customFormat="1" x14ac:dyDescent="0.25">
      <c r="B1458" s="12"/>
      <c r="D1458" s="23"/>
      <c r="E1458" s="2"/>
      <c r="F1458" s="2"/>
      <c r="O1458" s="2"/>
    </row>
    <row r="1459" spans="2:15" s="1" customFormat="1" x14ac:dyDescent="0.25">
      <c r="B1459" s="12"/>
      <c r="D1459" s="23"/>
      <c r="E1459" s="2"/>
      <c r="F1459" s="2"/>
      <c r="O1459" s="2"/>
    </row>
    <row r="1460" spans="2:15" s="1" customFormat="1" x14ac:dyDescent="0.25">
      <c r="B1460" s="12"/>
      <c r="D1460" s="23"/>
      <c r="E1460" s="2"/>
      <c r="F1460" s="2"/>
      <c r="O1460" s="2"/>
    </row>
    <row r="1461" spans="2:15" s="1" customFormat="1" x14ac:dyDescent="0.25">
      <c r="B1461" s="12"/>
      <c r="D1461" s="23"/>
      <c r="E1461" s="2"/>
      <c r="F1461" s="2"/>
      <c r="O1461" s="2"/>
    </row>
    <row r="1462" spans="2:15" s="1" customFormat="1" x14ac:dyDescent="0.25">
      <c r="B1462" s="12"/>
      <c r="D1462" s="23"/>
      <c r="E1462" s="2"/>
      <c r="F1462" s="2"/>
      <c r="O1462" s="2"/>
    </row>
    <row r="1463" spans="2:15" s="1" customFormat="1" x14ac:dyDescent="0.25">
      <c r="B1463" s="12"/>
      <c r="D1463" s="23"/>
      <c r="E1463" s="2"/>
      <c r="F1463" s="2"/>
      <c r="O1463" s="2"/>
    </row>
    <row r="1464" spans="2:15" s="1" customFormat="1" x14ac:dyDescent="0.25">
      <c r="B1464" s="12"/>
      <c r="D1464" s="23"/>
      <c r="E1464" s="2"/>
      <c r="F1464" s="2"/>
      <c r="O1464" s="2"/>
    </row>
    <row r="1465" spans="2:15" s="1" customFormat="1" x14ac:dyDescent="0.25">
      <c r="B1465" s="12"/>
      <c r="D1465" s="23"/>
      <c r="E1465" s="2"/>
      <c r="F1465" s="2"/>
      <c r="O1465" s="2"/>
    </row>
    <row r="1466" spans="2:15" s="1" customFormat="1" x14ac:dyDescent="0.25">
      <c r="B1466" s="12"/>
      <c r="D1466" s="23"/>
      <c r="E1466" s="2"/>
      <c r="F1466" s="2"/>
      <c r="O1466" s="2"/>
    </row>
    <row r="1467" spans="2:15" s="1" customFormat="1" x14ac:dyDescent="0.25">
      <c r="B1467" s="12"/>
      <c r="D1467" s="23"/>
      <c r="E1467" s="2"/>
      <c r="F1467" s="2"/>
      <c r="O1467" s="2"/>
    </row>
    <row r="1468" spans="2:15" s="1" customFormat="1" x14ac:dyDescent="0.25">
      <c r="B1468" s="12"/>
      <c r="D1468" s="23"/>
      <c r="E1468" s="2"/>
      <c r="F1468" s="2"/>
      <c r="O1468" s="2"/>
    </row>
    <row r="1469" spans="2:15" s="1" customFormat="1" x14ac:dyDescent="0.25">
      <c r="B1469" s="12"/>
      <c r="D1469" s="23"/>
      <c r="E1469" s="2"/>
      <c r="F1469" s="2"/>
      <c r="O1469" s="2"/>
    </row>
    <row r="1470" spans="2:15" s="1" customFormat="1" x14ac:dyDescent="0.25">
      <c r="B1470" s="12"/>
      <c r="D1470" s="23"/>
      <c r="E1470" s="2"/>
      <c r="F1470" s="2"/>
      <c r="O1470" s="2"/>
    </row>
    <row r="1471" spans="2:15" s="1" customFormat="1" x14ac:dyDescent="0.25">
      <c r="B1471" s="12"/>
      <c r="D1471" s="23"/>
      <c r="E1471" s="2"/>
      <c r="F1471" s="2"/>
      <c r="O1471" s="2"/>
    </row>
    <row r="1472" spans="2:15" s="1" customFormat="1" x14ac:dyDescent="0.25">
      <c r="B1472" s="12"/>
      <c r="D1472" s="23"/>
      <c r="E1472" s="2"/>
      <c r="F1472" s="2"/>
      <c r="O1472" s="2"/>
    </row>
    <row r="1473" spans="2:15" s="1" customFormat="1" x14ac:dyDescent="0.25">
      <c r="B1473" s="12"/>
      <c r="D1473" s="23"/>
      <c r="E1473" s="2"/>
      <c r="F1473" s="2"/>
      <c r="O1473" s="2"/>
    </row>
    <row r="1474" spans="2:15" s="1" customFormat="1" x14ac:dyDescent="0.25">
      <c r="B1474" s="12"/>
      <c r="D1474" s="23"/>
      <c r="E1474" s="2"/>
      <c r="F1474" s="2"/>
      <c r="O1474" s="2"/>
    </row>
    <row r="1475" spans="2:15" s="1" customFormat="1" x14ac:dyDescent="0.25">
      <c r="B1475" s="12"/>
      <c r="D1475" s="23"/>
      <c r="E1475" s="2"/>
      <c r="F1475" s="2"/>
      <c r="O1475" s="2"/>
    </row>
    <row r="1476" spans="2:15" s="1" customFormat="1" x14ac:dyDescent="0.25">
      <c r="B1476" s="12"/>
      <c r="D1476" s="23"/>
      <c r="E1476" s="2"/>
      <c r="F1476" s="2"/>
      <c r="O1476" s="2"/>
    </row>
    <row r="1477" spans="2:15" s="1" customFormat="1" x14ac:dyDescent="0.25">
      <c r="B1477" s="12"/>
      <c r="D1477" s="23"/>
      <c r="E1477" s="2"/>
      <c r="F1477" s="2"/>
      <c r="O1477" s="2"/>
    </row>
    <row r="1478" spans="2:15" s="1" customFormat="1" x14ac:dyDescent="0.25">
      <c r="B1478" s="12"/>
      <c r="D1478" s="23"/>
      <c r="E1478" s="2"/>
      <c r="F1478" s="2"/>
      <c r="O1478" s="2"/>
    </row>
    <row r="1479" spans="2:15" s="1" customFormat="1" x14ac:dyDescent="0.25">
      <c r="B1479" s="12"/>
      <c r="D1479" s="23"/>
      <c r="E1479" s="2"/>
      <c r="F1479" s="2"/>
      <c r="O1479" s="2"/>
    </row>
    <row r="1480" spans="2:15" s="1" customFormat="1" x14ac:dyDescent="0.25">
      <c r="B1480" s="12"/>
      <c r="D1480" s="23"/>
      <c r="E1480" s="2"/>
      <c r="F1480" s="2"/>
      <c r="O1480" s="2"/>
    </row>
    <row r="1481" spans="2:15" s="1" customFormat="1" x14ac:dyDescent="0.25">
      <c r="B1481" s="12"/>
      <c r="D1481" s="23"/>
      <c r="E1481" s="2"/>
      <c r="F1481" s="2"/>
      <c r="O1481" s="2"/>
    </row>
    <row r="1482" spans="2:15" s="1" customFormat="1" x14ac:dyDescent="0.25">
      <c r="B1482" s="12"/>
      <c r="D1482" s="23"/>
      <c r="E1482" s="2"/>
      <c r="F1482" s="2"/>
      <c r="O1482" s="2"/>
    </row>
    <row r="1483" spans="2:15" s="1" customFormat="1" x14ac:dyDescent="0.25">
      <c r="B1483" s="12"/>
      <c r="D1483" s="23"/>
      <c r="E1483" s="2"/>
      <c r="F1483" s="2"/>
      <c r="O1483" s="2"/>
    </row>
    <row r="1484" spans="2:15" s="1" customFormat="1" x14ac:dyDescent="0.25">
      <c r="B1484" s="12"/>
      <c r="D1484" s="23"/>
      <c r="E1484" s="2"/>
      <c r="F1484" s="2"/>
      <c r="O1484" s="2"/>
    </row>
    <row r="1485" spans="2:15" s="1" customFormat="1" x14ac:dyDescent="0.25">
      <c r="B1485" s="12"/>
      <c r="D1485" s="23"/>
      <c r="E1485" s="2"/>
      <c r="F1485" s="2"/>
      <c r="O1485" s="2"/>
    </row>
    <row r="1486" spans="2:15" s="1" customFormat="1" x14ac:dyDescent="0.25">
      <c r="B1486" s="12"/>
      <c r="D1486" s="23"/>
      <c r="E1486" s="2"/>
      <c r="F1486" s="2"/>
      <c r="O1486" s="2"/>
    </row>
    <row r="1487" spans="2:15" s="1" customFormat="1" x14ac:dyDescent="0.25">
      <c r="B1487" s="12"/>
      <c r="D1487" s="23"/>
      <c r="E1487" s="2"/>
      <c r="F1487" s="2"/>
      <c r="O1487" s="2"/>
    </row>
    <row r="1488" spans="2:15" s="1" customFormat="1" x14ac:dyDescent="0.25">
      <c r="B1488" s="12"/>
      <c r="D1488" s="23"/>
      <c r="E1488" s="2"/>
      <c r="F1488" s="2"/>
      <c r="O1488" s="2"/>
    </row>
    <row r="1489" spans="2:15" s="1" customFormat="1" x14ac:dyDescent="0.25">
      <c r="B1489" s="12"/>
      <c r="D1489" s="23"/>
      <c r="E1489" s="2"/>
      <c r="F1489" s="2"/>
      <c r="O1489" s="2"/>
    </row>
    <row r="1490" spans="2:15" s="1" customFormat="1" x14ac:dyDescent="0.25">
      <c r="B1490" s="12"/>
      <c r="D1490" s="23"/>
      <c r="E1490" s="2"/>
      <c r="F1490" s="2"/>
      <c r="O1490" s="2"/>
    </row>
    <row r="1491" spans="2:15" s="1" customFormat="1" x14ac:dyDescent="0.25">
      <c r="B1491" s="12"/>
      <c r="D1491" s="23"/>
      <c r="E1491" s="2"/>
      <c r="F1491" s="2"/>
      <c r="O1491" s="2"/>
    </row>
    <row r="1492" spans="2:15" s="1" customFormat="1" x14ac:dyDescent="0.25">
      <c r="B1492" s="12"/>
      <c r="D1492" s="23"/>
      <c r="E1492" s="2"/>
      <c r="F1492" s="2"/>
      <c r="O1492" s="2"/>
    </row>
    <row r="1493" spans="2:15" s="1" customFormat="1" x14ac:dyDescent="0.25">
      <c r="B1493" s="12"/>
      <c r="D1493" s="23"/>
      <c r="E1493" s="2"/>
      <c r="F1493" s="2"/>
      <c r="O1493" s="2"/>
    </row>
    <row r="1494" spans="2:15" s="1" customFormat="1" x14ac:dyDescent="0.25">
      <c r="B1494" s="12"/>
      <c r="D1494" s="23"/>
      <c r="E1494" s="2"/>
      <c r="F1494" s="2"/>
      <c r="O1494" s="2"/>
    </row>
    <row r="1495" spans="2:15" s="1" customFormat="1" x14ac:dyDescent="0.25">
      <c r="B1495" s="12"/>
      <c r="D1495" s="23"/>
      <c r="E1495" s="2"/>
      <c r="F1495" s="2"/>
      <c r="O1495" s="2"/>
    </row>
    <row r="1496" spans="2:15" s="1" customFormat="1" x14ac:dyDescent="0.25">
      <c r="B1496" s="12"/>
      <c r="D1496" s="23"/>
      <c r="E1496" s="2"/>
      <c r="F1496" s="2"/>
      <c r="O1496" s="2"/>
    </row>
    <row r="1497" spans="2:15" s="1" customFormat="1" x14ac:dyDescent="0.25">
      <c r="B1497" s="12"/>
      <c r="D1497" s="23"/>
      <c r="E1497" s="2"/>
      <c r="F1497" s="2"/>
      <c r="O1497" s="2"/>
    </row>
    <row r="1498" spans="2:15" s="1" customFormat="1" x14ac:dyDescent="0.25">
      <c r="B1498" s="12"/>
      <c r="D1498" s="23"/>
      <c r="E1498" s="2"/>
      <c r="F1498" s="2"/>
      <c r="O1498" s="2"/>
    </row>
    <row r="1499" spans="2:15" s="1" customFormat="1" x14ac:dyDescent="0.25">
      <c r="B1499" s="12"/>
      <c r="D1499" s="23"/>
      <c r="E1499" s="2"/>
      <c r="F1499" s="2"/>
      <c r="O1499" s="2"/>
    </row>
    <row r="1500" spans="2:15" s="1" customFormat="1" x14ac:dyDescent="0.25">
      <c r="B1500" s="12"/>
      <c r="D1500" s="23"/>
      <c r="E1500" s="2"/>
      <c r="F1500" s="2"/>
      <c r="O1500" s="2"/>
    </row>
    <row r="1501" spans="2:15" s="1" customFormat="1" x14ac:dyDescent="0.25">
      <c r="B1501" s="12"/>
      <c r="D1501" s="23"/>
      <c r="E1501" s="2"/>
      <c r="F1501" s="2"/>
      <c r="O1501" s="2"/>
    </row>
    <row r="1502" spans="2:15" s="1" customFormat="1" x14ac:dyDescent="0.25">
      <c r="B1502" s="12"/>
      <c r="D1502" s="23"/>
      <c r="E1502" s="2"/>
      <c r="F1502" s="2"/>
      <c r="O1502" s="2"/>
    </row>
    <row r="1503" spans="2:15" s="1" customFormat="1" x14ac:dyDescent="0.25">
      <c r="B1503" s="12"/>
      <c r="D1503" s="23"/>
      <c r="E1503" s="2"/>
      <c r="F1503" s="2"/>
      <c r="O1503" s="2"/>
    </row>
    <row r="1504" spans="2:15" s="1" customFormat="1" x14ac:dyDescent="0.25">
      <c r="B1504" s="12"/>
      <c r="D1504" s="23"/>
      <c r="E1504" s="2"/>
      <c r="F1504" s="2"/>
      <c r="O1504" s="2"/>
    </row>
    <row r="1505" spans="2:15" s="1" customFormat="1" x14ac:dyDescent="0.25">
      <c r="B1505" s="12"/>
      <c r="D1505" s="23"/>
      <c r="E1505" s="2"/>
      <c r="F1505" s="2"/>
      <c r="O1505" s="2"/>
    </row>
    <row r="1506" spans="2:15" s="1" customFormat="1" x14ac:dyDescent="0.25">
      <c r="B1506" s="12"/>
      <c r="D1506" s="23"/>
      <c r="E1506" s="2"/>
      <c r="F1506" s="2"/>
      <c r="O1506" s="2"/>
    </row>
    <row r="1507" spans="2:15" s="1" customFormat="1" x14ac:dyDescent="0.25">
      <c r="B1507" s="12"/>
      <c r="D1507" s="23"/>
      <c r="E1507" s="2"/>
      <c r="F1507" s="2"/>
      <c r="O1507" s="2"/>
    </row>
    <row r="1508" spans="2:15" s="1" customFormat="1" x14ac:dyDescent="0.25">
      <c r="B1508" s="12"/>
      <c r="D1508" s="23"/>
      <c r="E1508" s="2"/>
      <c r="F1508" s="2"/>
      <c r="O1508" s="2"/>
    </row>
    <row r="1509" spans="2:15" s="1" customFormat="1" x14ac:dyDescent="0.25">
      <c r="B1509" s="12"/>
      <c r="D1509" s="23"/>
      <c r="E1509" s="2"/>
      <c r="F1509" s="2"/>
      <c r="O1509" s="2"/>
    </row>
    <row r="1510" spans="2:15" s="1" customFormat="1" x14ac:dyDescent="0.25">
      <c r="B1510" s="12"/>
      <c r="D1510" s="23"/>
      <c r="E1510" s="2"/>
      <c r="F1510" s="2"/>
      <c r="O1510" s="2"/>
    </row>
    <row r="1511" spans="2:15" s="1" customFormat="1" x14ac:dyDescent="0.25">
      <c r="B1511" s="12"/>
      <c r="D1511" s="23"/>
      <c r="E1511" s="2"/>
      <c r="F1511" s="2"/>
      <c r="O1511" s="2"/>
    </row>
    <row r="1512" spans="2:15" s="1" customFormat="1" x14ac:dyDescent="0.25">
      <c r="B1512" s="12"/>
      <c r="D1512" s="23"/>
      <c r="E1512" s="2"/>
      <c r="F1512" s="2"/>
      <c r="O1512" s="2"/>
    </row>
    <row r="1513" spans="2:15" s="1" customFormat="1" x14ac:dyDescent="0.25">
      <c r="B1513" s="12"/>
      <c r="D1513" s="23"/>
      <c r="E1513" s="2"/>
      <c r="F1513" s="2"/>
      <c r="O1513" s="2"/>
    </row>
    <row r="1514" spans="2:15" s="1" customFormat="1" x14ac:dyDescent="0.25">
      <c r="B1514" s="12"/>
      <c r="D1514" s="23"/>
      <c r="E1514" s="2"/>
      <c r="F1514" s="2"/>
      <c r="O1514" s="2"/>
    </row>
    <row r="1515" spans="2:15" s="1" customFormat="1" x14ac:dyDescent="0.25">
      <c r="B1515" s="12"/>
      <c r="D1515" s="23"/>
      <c r="E1515" s="2"/>
      <c r="F1515" s="2"/>
      <c r="O1515" s="2"/>
    </row>
    <row r="1516" spans="2:15" s="1" customFormat="1" x14ac:dyDescent="0.25">
      <c r="B1516" s="12"/>
      <c r="D1516" s="23"/>
      <c r="E1516" s="2"/>
      <c r="F1516" s="2"/>
      <c r="O1516" s="2"/>
    </row>
    <row r="1517" spans="2:15" s="1" customFormat="1" x14ac:dyDescent="0.25">
      <c r="B1517" s="12"/>
      <c r="D1517" s="23"/>
      <c r="E1517" s="2"/>
      <c r="F1517" s="2"/>
      <c r="O1517" s="2"/>
    </row>
    <row r="1518" spans="2:15" s="1" customFormat="1" x14ac:dyDescent="0.25">
      <c r="B1518" s="12"/>
      <c r="D1518" s="23"/>
      <c r="E1518" s="2"/>
      <c r="F1518" s="2"/>
      <c r="O1518" s="2"/>
    </row>
    <row r="1519" spans="2:15" s="1" customFormat="1" x14ac:dyDescent="0.25">
      <c r="B1519" s="12"/>
      <c r="D1519" s="23"/>
      <c r="E1519" s="2"/>
      <c r="F1519" s="2"/>
      <c r="O1519" s="2"/>
    </row>
    <row r="1520" spans="2:15" s="1" customFormat="1" x14ac:dyDescent="0.25">
      <c r="B1520" s="12"/>
      <c r="D1520" s="23"/>
      <c r="E1520" s="2"/>
      <c r="F1520" s="2"/>
      <c r="O1520" s="2"/>
    </row>
    <row r="1521" spans="2:15" s="1" customFormat="1" x14ac:dyDescent="0.25">
      <c r="B1521" s="12"/>
      <c r="D1521" s="23"/>
      <c r="E1521" s="2"/>
      <c r="F1521" s="2"/>
      <c r="O1521" s="2"/>
    </row>
    <row r="1522" spans="2:15" s="1" customFormat="1" x14ac:dyDescent="0.25">
      <c r="B1522" s="12"/>
      <c r="D1522" s="23"/>
      <c r="E1522" s="2"/>
      <c r="F1522" s="2"/>
      <c r="O1522" s="2"/>
    </row>
    <row r="1523" spans="2:15" s="1" customFormat="1" x14ac:dyDescent="0.25">
      <c r="B1523" s="12"/>
      <c r="D1523" s="23"/>
      <c r="E1523" s="2"/>
      <c r="F1523" s="2"/>
      <c r="O1523" s="2"/>
    </row>
    <row r="1524" spans="2:15" s="1" customFormat="1" x14ac:dyDescent="0.25">
      <c r="B1524" s="12"/>
      <c r="D1524" s="23"/>
      <c r="E1524" s="2"/>
      <c r="F1524" s="2"/>
      <c r="O1524" s="2"/>
    </row>
    <row r="1525" spans="2:15" s="1" customFormat="1" x14ac:dyDescent="0.25">
      <c r="B1525" s="12"/>
      <c r="D1525" s="23"/>
      <c r="E1525" s="2"/>
      <c r="F1525" s="2"/>
      <c r="O1525" s="2"/>
    </row>
    <row r="1526" spans="2:15" s="1" customFormat="1" x14ac:dyDescent="0.25">
      <c r="B1526" s="12"/>
      <c r="D1526" s="23"/>
      <c r="E1526" s="2"/>
      <c r="F1526" s="2"/>
      <c r="O1526" s="2"/>
    </row>
    <row r="1527" spans="2:15" s="1" customFormat="1" x14ac:dyDescent="0.25">
      <c r="B1527" s="12"/>
      <c r="D1527" s="23"/>
      <c r="E1527" s="2"/>
      <c r="F1527" s="2"/>
      <c r="O1527" s="2"/>
    </row>
    <row r="1528" spans="2:15" s="1" customFormat="1" x14ac:dyDescent="0.25">
      <c r="B1528" s="12"/>
      <c r="D1528" s="23"/>
      <c r="E1528" s="2"/>
      <c r="F1528" s="2"/>
      <c r="O1528" s="2"/>
    </row>
    <row r="1529" spans="2:15" s="1" customFormat="1" x14ac:dyDescent="0.25">
      <c r="B1529" s="12"/>
      <c r="D1529" s="23"/>
      <c r="E1529" s="2"/>
      <c r="F1529" s="2"/>
      <c r="O1529" s="2"/>
    </row>
    <row r="1530" spans="2:15" s="1" customFormat="1" x14ac:dyDescent="0.25">
      <c r="B1530" s="12"/>
      <c r="D1530" s="23"/>
      <c r="E1530" s="2"/>
      <c r="F1530" s="2"/>
      <c r="O1530" s="2"/>
    </row>
    <row r="1531" spans="2:15" s="1" customFormat="1" x14ac:dyDescent="0.25">
      <c r="B1531" s="12"/>
      <c r="D1531" s="23"/>
      <c r="E1531" s="2"/>
      <c r="F1531" s="2"/>
      <c r="O1531" s="2"/>
    </row>
    <row r="1532" spans="2:15" s="1" customFormat="1" x14ac:dyDescent="0.25">
      <c r="B1532" s="12"/>
      <c r="D1532" s="23"/>
      <c r="E1532" s="2"/>
      <c r="F1532" s="2"/>
      <c r="O1532" s="2"/>
    </row>
    <row r="1533" spans="2:15" s="1" customFormat="1" x14ac:dyDescent="0.25">
      <c r="B1533" s="12"/>
      <c r="D1533" s="23"/>
      <c r="E1533" s="2"/>
      <c r="F1533" s="2"/>
      <c r="O1533" s="2"/>
    </row>
    <row r="1534" spans="2:15" s="1" customFormat="1" x14ac:dyDescent="0.25">
      <c r="B1534" s="12"/>
      <c r="D1534" s="23"/>
      <c r="E1534" s="2"/>
      <c r="F1534" s="2"/>
      <c r="O1534" s="2"/>
    </row>
    <row r="1535" spans="2:15" s="1" customFormat="1" x14ac:dyDescent="0.25">
      <c r="B1535" s="12"/>
      <c r="D1535" s="23"/>
      <c r="E1535" s="2"/>
      <c r="F1535" s="2"/>
      <c r="O1535" s="2"/>
    </row>
    <row r="1536" spans="2:15" s="1" customFormat="1" x14ac:dyDescent="0.25">
      <c r="B1536" s="12"/>
      <c r="D1536" s="23"/>
      <c r="E1536" s="2"/>
      <c r="F1536" s="2"/>
      <c r="O1536" s="2"/>
    </row>
    <row r="1537" spans="2:15" s="1" customFormat="1" x14ac:dyDescent="0.25">
      <c r="B1537" s="12"/>
      <c r="D1537" s="23"/>
      <c r="E1537" s="2"/>
      <c r="F1537" s="2"/>
      <c r="O1537" s="2"/>
    </row>
    <row r="1538" spans="2:15" s="1" customFormat="1" x14ac:dyDescent="0.25">
      <c r="B1538" s="12"/>
      <c r="D1538" s="23"/>
      <c r="E1538" s="2"/>
      <c r="F1538" s="2"/>
      <c r="O1538" s="2"/>
    </row>
    <row r="1539" spans="2:15" s="1" customFormat="1" x14ac:dyDescent="0.25">
      <c r="B1539" s="12"/>
      <c r="D1539" s="23"/>
      <c r="E1539" s="2"/>
      <c r="F1539" s="2"/>
      <c r="O1539" s="2"/>
    </row>
    <row r="1540" spans="2:15" s="1" customFormat="1" x14ac:dyDescent="0.25">
      <c r="B1540" s="12"/>
      <c r="D1540" s="23"/>
      <c r="E1540" s="2"/>
      <c r="F1540" s="2"/>
      <c r="O1540" s="2"/>
    </row>
    <row r="1541" spans="2:15" s="1" customFormat="1" x14ac:dyDescent="0.25">
      <c r="B1541" s="12"/>
      <c r="D1541" s="23"/>
      <c r="E1541" s="2"/>
      <c r="F1541" s="2"/>
      <c r="O1541" s="2"/>
    </row>
    <row r="1542" spans="2:15" s="1" customFormat="1" x14ac:dyDescent="0.25">
      <c r="B1542" s="12"/>
      <c r="D1542" s="23"/>
      <c r="E1542" s="2"/>
      <c r="F1542" s="2"/>
      <c r="O1542" s="2"/>
    </row>
    <row r="1543" spans="2:15" s="1" customFormat="1" x14ac:dyDescent="0.25">
      <c r="B1543" s="12"/>
      <c r="D1543" s="23"/>
      <c r="E1543" s="2"/>
      <c r="F1543" s="2"/>
      <c r="O1543" s="2"/>
    </row>
    <row r="1544" spans="2:15" s="1" customFormat="1" x14ac:dyDescent="0.25">
      <c r="B1544" s="12"/>
      <c r="D1544" s="23"/>
      <c r="E1544" s="2"/>
      <c r="F1544" s="2"/>
      <c r="O1544" s="2"/>
    </row>
    <row r="1545" spans="2:15" s="1" customFormat="1" x14ac:dyDescent="0.25">
      <c r="B1545" s="12"/>
      <c r="D1545" s="23"/>
      <c r="E1545" s="2"/>
      <c r="F1545" s="2"/>
      <c r="O1545" s="2"/>
    </row>
    <row r="1546" spans="2:15" s="1" customFormat="1" x14ac:dyDescent="0.25">
      <c r="B1546" s="12"/>
      <c r="D1546" s="23"/>
      <c r="E1546" s="2"/>
      <c r="F1546" s="2"/>
      <c r="O1546" s="2"/>
    </row>
    <row r="1547" spans="2:15" s="1" customFormat="1" x14ac:dyDescent="0.25">
      <c r="B1547" s="12"/>
      <c r="D1547" s="23"/>
      <c r="E1547" s="2"/>
      <c r="F1547" s="2"/>
      <c r="O1547" s="2"/>
    </row>
    <row r="1548" spans="2:15" s="1" customFormat="1" x14ac:dyDescent="0.25">
      <c r="B1548" s="12"/>
      <c r="D1548" s="23"/>
      <c r="E1548" s="2"/>
      <c r="F1548" s="2"/>
      <c r="O1548" s="2"/>
    </row>
    <row r="1549" spans="2:15" s="1" customFormat="1" x14ac:dyDescent="0.25">
      <c r="B1549" s="12"/>
      <c r="D1549" s="23"/>
      <c r="E1549" s="2"/>
      <c r="F1549" s="2"/>
      <c r="O1549" s="2"/>
    </row>
    <row r="1550" spans="2:15" s="1" customFormat="1" x14ac:dyDescent="0.25">
      <c r="B1550" s="12"/>
      <c r="D1550" s="23"/>
      <c r="E1550" s="2"/>
      <c r="F1550" s="2"/>
      <c r="O1550" s="2"/>
    </row>
    <row r="1551" spans="2:15" s="1" customFormat="1" x14ac:dyDescent="0.25">
      <c r="B1551" s="12"/>
      <c r="D1551" s="23"/>
      <c r="E1551" s="2"/>
      <c r="F1551" s="2"/>
      <c r="O1551" s="2"/>
    </row>
    <row r="1552" spans="2:15" s="1" customFormat="1" x14ac:dyDescent="0.25">
      <c r="B1552" s="12"/>
      <c r="D1552" s="23"/>
      <c r="E1552" s="2"/>
      <c r="F1552" s="2"/>
      <c r="O1552" s="2"/>
    </row>
    <row r="1553" spans="2:15" s="1" customFormat="1" x14ac:dyDescent="0.25">
      <c r="B1553" s="12"/>
      <c r="D1553" s="23"/>
      <c r="E1553" s="2"/>
      <c r="F1553" s="2"/>
      <c r="O1553" s="2"/>
    </row>
    <row r="1554" spans="2:15" s="1" customFormat="1" x14ac:dyDescent="0.25">
      <c r="B1554" s="12"/>
      <c r="D1554" s="23"/>
      <c r="E1554" s="2"/>
      <c r="F1554" s="2"/>
      <c r="O1554" s="2"/>
    </row>
    <row r="1555" spans="2:15" s="1" customFormat="1" x14ac:dyDescent="0.25">
      <c r="B1555" s="12"/>
      <c r="D1555" s="23"/>
      <c r="E1555" s="2"/>
      <c r="F1555" s="2"/>
      <c r="O1555" s="2"/>
    </row>
    <row r="1556" spans="2:15" s="1" customFormat="1" x14ac:dyDescent="0.25">
      <c r="B1556" s="12"/>
      <c r="D1556" s="23"/>
      <c r="E1556" s="2"/>
      <c r="F1556" s="2"/>
      <c r="O1556" s="2"/>
    </row>
    <row r="1557" spans="2:15" s="1" customFormat="1" x14ac:dyDescent="0.25">
      <c r="B1557" s="12"/>
      <c r="D1557" s="23"/>
      <c r="E1557" s="2"/>
      <c r="F1557" s="2"/>
      <c r="O1557" s="2"/>
    </row>
    <row r="1558" spans="2:15" s="1" customFormat="1" x14ac:dyDescent="0.25">
      <c r="B1558" s="12"/>
      <c r="D1558" s="23"/>
      <c r="E1558" s="2"/>
      <c r="F1558" s="2"/>
      <c r="O1558" s="2"/>
    </row>
    <row r="1559" spans="2:15" s="1" customFormat="1" x14ac:dyDescent="0.25">
      <c r="B1559" s="12"/>
      <c r="D1559" s="23"/>
      <c r="E1559" s="2"/>
      <c r="F1559" s="2"/>
      <c r="O1559" s="2"/>
    </row>
    <row r="1560" spans="2:15" s="1" customFormat="1" x14ac:dyDescent="0.25">
      <c r="B1560" s="12"/>
      <c r="D1560" s="23"/>
      <c r="E1560" s="2"/>
      <c r="F1560" s="2"/>
      <c r="O1560" s="2"/>
    </row>
    <row r="1561" spans="2:15" s="1" customFormat="1" x14ac:dyDescent="0.25">
      <c r="B1561" s="12"/>
      <c r="D1561" s="23"/>
      <c r="E1561" s="2"/>
      <c r="F1561" s="2"/>
      <c r="O1561" s="2"/>
    </row>
    <row r="1562" spans="2:15" s="1" customFormat="1" x14ac:dyDescent="0.25">
      <c r="B1562" s="12"/>
      <c r="D1562" s="23"/>
      <c r="E1562" s="2"/>
      <c r="F1562" s="2"/>
      <c r="O1562" s="2"/>
    </row>
    <row r="1563" spans="2:15" s="1" customFormat="1" x14ac:dyDescent="0.25">
      <c r="B1563" s="12"/>
      <c r="D1563" s="23"/>
      <c r="E1563" s="2"/>
      <c r="F1563" s="2"/>
      <c r="O1563" s="2"/>
    </row>
    <row r="1564" spans="2:15" s="1" customFormat="1" x14ac:dyDescent="0.25">
      <c r="B1564" s="12"/>
      <c r="D1564" s="23"/>
      <c r="E1564" s="2"/>
      <c r="F1564" s="2"/>
      <c r="O1564" s="2"/>
    </row>
    <row r="1565" spans="2:15" s="1" customFormat="1" x14ac:dyDescent="0.25">
      <c r="B1565" s="12"/>
      <c r="D1565" s="23"/>
      <c r="E1565" s="2"/>
      <c r="F1565" s="2"/>
      <c r="O1565" s="2"/>
    </row>
    <row r="1566" spans="2:15" s="1" customFormat="1" x14ac:dyDescent="0.25">
      <c r="B1566" s="12"/>
      <c r="D1566" s="23"/>
      <c r="E1566" s="2"/>
      <c r="F1566" s="2"/>
      <c r="O1566" s="2"/>
    </row>
    <row r="1567" spans="2:15" s="1" customFormat="1" x14ac:dyDescent="0.25">
      <c r="B1567" s="12"/>
      <c r="D1567" s="23"/>
      <c r="E1567" s="2"/>
      <c r="F1567" s="2"/>
      <c r="O1567" s="2"/>
    </row>
    <row r="1568" spans="2:15" s="1" customFormat="1" x14ac:dyDescent="0.25">
      <c r="B1568" s="12"/>
      <c r="D1568" s="23"/>
      <c r="E1568" s="2"/>
      <c r="F1568" s="2"/>
      <c r="O1568" s="2"/>
    </row>
    <row r="1569" spans="2:15" s="1" customFormat="1" x14ac:dyDescent="0.25">
      <c r="B1569" s="12"/>
      <c r="D1569" s="23"/>
      <c r="E1569" s="2"/>
      <c r="F1569" s="2"/>
      <c r="O1569" s="2"/>
    </row>
    <row r="1570" spans="2:15" s="1" customFormat="1" x14ac:dyDescent="0.25">
      <c r="B1570" s="12"/>
      <c r="D1570" s="23"/>
      <c r="E1570" s="2"/>
      <c r="F1570" s="2"/>
      <c r="O1570" s="2"/>
    </row>
    <row r="1571" spans="2:15" s="1" customFormat="1" x14ac:dyDescent="0.25">
      <c r="B1571" s="12"/>
      <c r="D1571" s="23"/>
      <c r="E1571" s="2"/>
      <c r="F1571" s="2"/>
      <c r="O1571" s="2"/>
    </row>
    <row r="1572" spans="2:15" s="1" customFormat="1" x14ac:dyDescent="0.25">
      <c r="B1572" s="12"/>
      <c r="D1572" s="23"/>
      <c r="E1572" s="2"/>
      <c r="F1572" s="2"/>
      <c r="O1572" s="2"/>
    </row>
    <row r="1573" spans="2:15" s="1" customFormat="1" x14ac:dyDescent="0.25">
      <c r="B1573" s="12"/>
      <c r="D1573" s="23"/>
      <c r="E1573" s="2"/>
      <c r="F1573" s="2"/>
      <c r="O1573" s="2"/>
    </row>
    <row r="1574" spans="2:15" s="1" customFormat="1" x14ac:dyDescent="0.25">
      <c r="B1574" s="12"/>
      <c r="D1574" s="23"/>
      <c r="E1574" s="2"/>
      <c r="F1574" s="2"/>
      <c r="O1574" s="2"/>
    </row>
    <row r="1575" spans="2:15" s="1" customFormat="1" x14ac:dyDescent="0.25">
      <c r="B1575" s="12"/>
      <c r="D1575" s="23"/>
      <c r="E1575" s="2"/>
      <c r="F1575" s="2"/>
      <c r="O1575" s="2"/>
    </row>
    <row r="1576" spans="2:15" s="1" customFormat="1" x14ac:dyDescent="0.25">
      <c r="B1576" s="12"/>
      <c r="D1576" s="23"/>
      <c r="E1576" s="2"/>
      <c r="F1576" s="2"/>
      <c r="O1576" s="2"/>
    </row>
    <row r="1577" spans="2:15" s="1" customFormat="1" x14ac:dyDescent="0.25">
      <c r="B1577" s="12"/>
      <c r="D1577" s="23"/>
      <c r="E1577" s="2"/>
      <c r="F1577" s="2"/>
      <c r="O1577" s="2"/>
    </row>
    <row r="1578" spans="2:15" s="1" customFormat="1" x14ac:dyDescent="0.25">
      <c r="B1578" s="12"/>
      <c r="D1578" s="23"/>
      <c r="E1578" s="2"/>
      <c r="F1578" s="2"/>
      <c r="O1578" s="2"/>
    </row>
    <row r="1579" spans="2:15" s="1" customFormat="1" x14ac:dyDescent="0.25">
      <c r="B1579" s="12"/>
      <c r="D1579" s="23"/>
      <c r="E1579" s="2"/>
      <c r="F1579" s="2"/>
      <c r="O1579" s="2"/>
    </row>
    <row r="1580" spans="2:15" s="1" customFormat="1" x14ac:dyDescent="0.25">
      <c r="B1580" s="12"/>
      <c r="D1580" s="23"/>
      <c r="E1580" s="2"/>
      <c r="F1580" s="2"/>
      <c r="O1580" s="2"/>
    </row>
    <row r="1581" spans="2:15" s="1" customFormat="1" x14ac:dyDescent="0.25">
      <c r="B1581" s="12"/>
      <c r="D1581" s="23"/>
      <c r="E1581" s="2"/>
      <c r="F1581" s="2"/>
      <c r="O1581" s="2"/>
    </row>
    <row r="1582" spans="2:15" s="1" customFormat="1" x14ac:dyDescent="0.25">
      <c r="B1582" s="12"/>
      <c r="D1582" s="23"/>
      <c r="E1582" s="2"/>
      <c r="F1582" s="2"/>
      <c r="O1582" s="2"/>
    </row>
    <row r="1583" spans="2:15" s="1" customFormat="1" x14ac:dyDescent="0.25">
      <c r="B1583" s="12"/>
      <c r="D1583" s="23"/>
      <c r="E1583" s="2"/>
      <c r="F1583" s="2"/>
      <c r="O1583" s="2"/>
    </row>
    <row r="1584" spans="2:15" s="1" customFormat="1" x14ac:dyDescent="0.25">
      <c r="B1584" s="12"/>
      <c r="D1584" s="23"/>
      <c r="E1584" s="2"/>
      <c r="F1584" s="2"/>
      <c r="O1584" s="2"/>
    </row>
    <row r="1585" spans="2:15" s="1" customFormat="1" x14ac:dyDescent="0.25">
      <c r="B1585" s="12"/>
      <c r="D1585" s="23"/>
      <c r="E1585" s="2"/>
      <c r="F1585" s="2"/>
      <c r="O1585" s="2"/>
    </row>
    <row r="1586" spans="2:15" s="1" customFormat="1" x14ac:dyDescent="0.25">
      <c r="B1586" s="12"/>
      <c r="D1586" s="23"/>
      <c r="E1586" s="2"/>
      <c r="F1586" s="2"/>
      <c r="O1586" s="2"/>
    </row>
    <row r="1587" spans="2:15" s="1" customFormat="1" x14ac:dyDescent="0.25">
      <c r="B1587" s="12"/>
      <c r="D1587" s="23"/>
      <c r="E1587" s="2"/>
      <c r="F1587" s="2"/>
      <c r="O1587" s="2"/>
    </row>
    <row r="1588" spans="2:15" s="1" customFormat="1" x14ac:dyDescent="0.25">
      <c r="B1588" s="12"/>
      <c r="D1588" s="23"/>
      <c r="E1588" s="2"/>
      <c r="F1588" s="2"/>
      <c r="O1588" s="2"/>
    </row>
    <row r="1589" spans="2:15" s="1" customFormat="1" x14ac:dyDescent="0.25">
      <c r="B1589" s="12"/>
      <c r="D1589" s="23"/>
      <c r="E1589" s="2"/>
      <c r="F1589" s="2"/>
      <c r="O1589" s="2"/>
    </row>
    <row r="1590" spans="2:15" s="1" customFormat="1" x14ac:dyDescent="0.25">
      <c r="B1590" s="12"/>
      <c r="D1590" s="23"/>
      <c r="E1590" s="2"/>
      <c r="F1590" s="2"/>
      <c r="O1590" s="2"/>
    </row>
    <row r="1591" spans="2:15" s="1" customFormat="1" x14ac:dyDescent="0.25">
      <c r="B1591" s="12"/>
      <c r="D1591" s="23"/>
      <c r="E1591" s="2"/>
      <c r="F1591" s="2"/>
      <c r="O1591" s="2"/>
    </row>
    <row r="1592" spans="2:15" s="1" customFormat="1" x14ac:dyDescent="0.25">
      <c r="B1592" s="12"/>
      <c r="D1592" s="23"/>
      <c r="E1592" s="2"/>
      <c r="F1592" s="2"/>
      <c r="O1592" s="2"/>
    </row>
    <row r="1593" spans="2:15" s="1" customFormat="1" x14ac:dyDescent="0.25">
      <c r="B1593" s="12"/>
      <c r="D1593" s="23"/>
      <c r="E1593" s="2"/>
      <c r="F1593" s="2"/>
      <c r="O1593" s="2"/>
    </row>
    <row r="1594" spans="2:15" s="1" customFormat="1" x14ac:dyDescent="0.25">
      <c r="B1594" s="12"/>
      <c r="D1594" s="23"/>
      <c r="E1594" s="2"/>
      <c r="F1594" s="2"/>
      <c r="O1594" s="2"/>
    </row>
    <row r="1595" spans="2:15" s="1" customFormat="1" x14ac:dyDescent="0.25">
      <c r="B1595" s="12"/>
      <c r="D1595" s="23"/>
      <c r="E1595" s="2"/>
      <c r="F1595" s="2"/>
      <c r="O1595" s="2"/>
    </row>
    <row r="1596" spans="2:15" s="1" customFormat="1" x14ac:dyDescent="0.25">
      <c r="B1596" s="12"/>
      <c r="D1596" s="23"/>
      <c r="E1596" s="2"/>
      <c r="F1596" s="2"/>
      <c r="O1596" s="2"/>
    </row>
    <row r="1597" spans="2:15" s="1" customFormat="1" x14ac:dyDescent="0.25">
      <c r="B1597" s="12"/>
      <c r="D1597" s="23"/>
      <c r="E1597" s="2"/>
      <c r="F1597" s="2"/>
      <c r="O1597" s="2"/>
    </row>
    <row r="1598" spans="2:15" s="1" customFormat="1" x14ac:dyDescent="0.25">
      <c r="B1598" s="12"/>
      <c r="D1598" s="23"/>
      <c r="E1598" s="2"/>
      <c r="F1598" s="2"/>
      <c r="O1598" s="2"/>
    </row>
    <row r="1599" spans="2:15" s="1" customFormat="1" x14ac:dyDescent="0.25">
      <c r="B1599" s="12"/>
      <c r="D1599" s="23"/>
      <c r="E1599" s="2"/>
      <c r="F1599" s="2"/>
      <c r="O1599" s="2"/>
    </row>
    <row r="1600" spans="2:15" s="1" customFormat="1" x14ac:dyDescent="0.25">
      <c r="B1600" s="12"/>
      <c r="D1600" s="23"/>
      <c r="E1600" s="2"/>
      <c r="F1600" s="2"/>
      <c r="O1600" s="2"/>
    </row>
    <row r="1601" spans="2:15" s="1" customFormat="1" x14ac:dyDescent="0.25">
      <c r="B1601" s="12"/>
      <c r="D1601" s="23"/>
      <c r="E1601" s="2"/>
      <c r="F1601" s="2"/>
      <c r="O1601" s="2"/>
    </row>
    <row r="1602" spans="2:15" s="1" customFormat="1" x14ac:dyDescent="0.25">
      <c r="B1602" s="12"/>
      <c r="D1602" s="23"/>
      <c r="E1602" s="2"/>
      <c r="F1602" s="2"/>
      <c r="O1602" s="2"/>
    </row>
    <row r="1603" spans="2:15" s="1" customFormat="1" x14ac:dyDescent="0.25">
      <c r="B1603" s="12"/>
      <c r="D1603" s="23"/>
      <c r="E1603" s="2"/>
      <c r="F1603" s="2"/>
      <c r="O1603" s="2"/>
    </row>
    <row r="1604" spans="2:15" s="1" customFormat="1" x14ac:dyDescent="0.25">
      <c r="B1604" s="12"/>
      <c r="D1604" s="23"/>
      <c r="E1604" s="2"/>
      <c r="F1604" s="2"/>
      <c r="O1604" s="2"/>
    </row>
    <row r="1605" spans="2:15" s="1" customFormat="1" x14ac:dyDescent="0.25">
      <c r="B1605" s="12"/>
      <c r="D1605" s="23"/>
      <c r="E1605" s="2"/>
      <c r="F1605" s="2"/>
      <c r="O1605" s="2"/>
    </row>
    <row r="1606" spans="2:15" s="1" customFormat="1" x14ac:dyDescent="0.25">
      <c r="B1606" s="12"/>
      <c r="D1606" s="23"/>
      <c r="E1606" s="2"/>
      <c r="F1606" s="2"/>
      <c r="O1606" s="2"/>
    </row>
    <row r="1607" spans="2:15" s="1" customFormat="1" x14ac:dyDescent="0.25">
      <c r="B1607" s="12"/>
      <c r="D1607" s="23"/>
      <c r="E1607" s="2"/>
      <c r="F1607" s="2"/>
      <c r="O1607" s="2"/>
    </row>
    <row r="1608" spans="2:15" s="1" customFormat="1" x14ac:dyDescent="0.25">
      <c r="B1608" s="12"/>
      <c r="D1608" s="23"/>
      <c r="E1608" s="2"/>
      <c r="F1608" s="2"/>
      <c r="O1608" s="2"/>
    </row>
    <row r="1609" spans="2:15" s="1" customFormat="1" x14ac:dyDescent="0.25">
      <c r="B1609" s="12"/>
      <c r="D1609" s="23"/>
      <c r="E1609" s="2"/>
      <c r="F1609" s="2"/>
      <c r="O1609" s="2"/>
    </row>
    <row r="1610" spans="2:15" s="1" customFormat="1" x14ac:dyDescent="0.25">
      <c r="B1610" s="12"/>
      <c r="D1610" s="23"/>
      <c r="E1610" s="2"/>
      <c r="F1610" s="2"/>
      <c r="O1610" s="2"/>
    </row>
    <row r="1611" spans="2:15" s="1" customFormat="1" x14ac:dyDescent="0.25">
      <c r="B1611" s="12"/>
      <c r="D1611" s="23"/>
      <c r="E1611" s="2"/>
      <c r="F1611" s="2"/>
      <c r="O1611" s="2"/>
    </row>
    <row r="1612" spans="2:15" s="1" customFormat="1" x14ac:dyDescent="0.25">
      <c r="B1612" s="12"/>
      <c r="D1612" s="23"/>
      <c r="E1612" s="2"/>
      <c r="F1612" s="2"/>
      <c r="O1612" s="2"/>
    </row>
    <row r="1613" spans="2:15" s="1" customFormat="1" x14ac:dyDescent="0.25">
      <c r="B1613" s="12"/>
      <c r="D1613" s="23"/>
      <c r="E1613" s="2"/>
      <c r="F1613" s="2"/>
      <c r="O1613" s="2"/>
    </row>
    <row r="1614" spans="2:15" s="1" customFormat="1" x14ac:dyDescent="0.25">
      <c r="B1614" s="12"/>
      <c r="D1614" s="23"/>
      <c r="E1614" s="2"/>
      <c r="F1614" s="2"/>
      <c r="O1614" s="2"/>
    </row>
    <row r="1615" spans="2:15" s="1" customFormat="1" x14ac:dyDescent="0.25">
      <c r="B1615" s="12"/>
      <c r="D1615" s="23"/>
      <c r="E1615" s="2"/>
      <c r="F1615" s="2"/>
      <c r="O1615" s="2"/>
    </row>
    <row r="1616" spans="2:15" s="1" customFormat="1" x14ac:dyDescent="0.25">
      <c r="B1616" s="12"/>
      <c r="D1616" s="23"/>
      <c r="E1616" s="2"/>
      <c r="F1616" s="2"/>
      <c r="O1616" s="2"/>
    </row>
    <row r="1617" spans="2:15" s="1" customFormat="1" x14ac:dyDescent="0.25">
      <c r="B1617" s="12"/>
      <c r="D1617" s="23"/>
      <c r="E1617" s="2"/>
      <c r="F1617" s="2"/>
      <c r="O1617" s="2"/>
    </row>
    <row r="1618" spans="2:15" s="1" customFormat="1" x14ac:dyDescent="0.25">
      <c r="B1618" s="12"/>
      <c r="D1618" s="23"/>
      <c r="E1618" s="2"/>
      <c r="F1618" s="2"/>
      <c r="O1618" s="2"/>
    </row>
    <row r="1619" spans="2:15" s="1" customFormat="1" x14ac:dyDescent="0.25">
      <c r="B1619" s="12"/>
      <c r="D1619" s="23"/>
      <c r="E1619" s="2"/>
      <c r="F1619" s="2"/>
      <c r="O1619" s="2"/>
    </row>
    <row r="1620" spans="2:15" s="1" customFormat="1" x14ac:dyDescent="0.25">
      <c r="B1620" s="12"/>
      <c r="D1620" s="23"/>
      <c r="E1620" s="2"/>
      <c r="F1620" s="2"/>
      <c r="O1620" s="2"/>
    </row>
    <row r="1621" spans="2:15" s="1" customFormat="1" x14ac:dyDescent="0.25">
      <c r="B1621" s="12"/>
      <c r="D1621" s="23"/>
      <c r="E1621" s="2"/>
      <c r="F1621" s="2"/>
      <c r="O1621" s="2"/>
    </row>
    <row r="1622" spans="2:15" s="1" customFormat="1" x14ac:dyDescent="0.25">
      <c r="B1622" s="12"/>
      <c r="D1622" s="23"/>
      <c r="E1622" s="2"/>
      <c r="F1622" s="2"/>
      <c r="O1622" s="2"/>
    </row>
    <row r="1623" spans="2:15" s="1" customFormat="1" x14ac:dyDescent="0.25">
      <c r="B1623" s="12"/>
      <c r="D1623" s="23"/>
      <c r="E1623" s="2"/>
      <c r="F1623" s="2"/>
      <c r="O1623" s="2"/>
    </row>
    <row r="1624" spans="2:15" s="1" customFormat="1" x14ac:dyDescent="0.25">
      <c r="B1624" s="12"/>
      <c r="D1624" s="23"/>
      <c r="E1624" s="2"/>
      <c r="F1624" s="2"/>
      <c r="O1624" s="2"/>
    </row>
    <row r="1625" spans="2:15" s="1" customFormat="1" x14ac:dyDescent="0.25">
      <c r="B1625" s="12"/>
      <c r="D1625" s="23"/>
      <c r="E1625" s="2"/>
      <c r="F1625" s="2"/>
      <c r="O1625" s="2"/>
    </row>
    <row r="1626" spans="2:15" s="1" customFormat="1" x14ac:dyDescent="0.25">
      <c r="B1626" s="12"/>
      <c r="D1626" s="23"/>
      <c r="E1626" s="2"/>
      <c r="F1626" s="2"/>
      <c r="O1626" s="2"/>
    </row>
    <row r="1627" spans="2:15" s="1" customFormat="1" x14ac:dyDescent="0.25">
      <c r="B1627" s="12"/>
      <c r="D1627" s="23"/>
      <c r="E1627" s="2"/>
      <c r="F1627" s="2"/>
      <c r="O1627" s="2"/>
    </row>
    <row r="1628" spans="2:15" s="1" customFormat="1" x14ac:dyDescent="0.25">
      <c r="B1628" s="12"/>
      <c r="D1628" s="23"/>
      <c r="E1628" s="2"/>
      <c r="F1628" s="2"/>
      <c r="O1628" s="2"/>
    </row>
    <row r="1629" spans="2:15" s="1" customFormat="1" x14ac:dyDescent="0.25">
      <c r="B1629" s="12"/>
      <c r="D1629" s="23"/>
      <c r="E1629" s="2"/>
      <c r="F1629" s="2"/>
      <c r="O1629" s="2"/>
    </row>
    <row r="1630" spans="2:15" s="1" customFormat="1" x14ac:dyDescent="0.25">
      <c r="B1630" s="12"/>
      <c r="D1630" s="23"/>
      <c r="E1630" s="2"/>
      <c r="F1630" s="2"/>
      <c r="O1630" s="2"/>
    </row>
    <row r="1631" spans="2:15" s="1" customFormat="1" x14ac:dyDescent="0.25">
      <c r="B1631" s="12"/>
      <c r="D1631" s="23"/>
      <c r="E1631" s="2"/>
      <c r="F1631" s="2"/>
      <c r="O1631" s="2"/>
    </row>
    <row r="1632" spans="2:15" s="1" customFormat="1" x14ac:dyDescent="0.25">
      <c r="B1632" s="12"/>
      <c r="D1632" s="23"/>
      <c r="E1632" s="2"/>
      <c r="F1632" s="2"/>
      <c r="O1632" s="2"/>
    </row>
    <row r="1633" spans="2:15" s="1" customFormat="1" x14ac:dyDescent="0.25">
      <c r="B1633" s="12"/>
      <c r="D1633" s="23"/>
      <c r="E1633" s="2"/>
      <c r="F1633" s="2"/>
      <c r="O1633" s="2"/>
    </row>
    <row r="1634" spans="2:15" s="1" customFormat="1" x14ac:dyDescent="0.25">
      <c r="B1634" s="12"/>
      <c r="D1634" s="23"/>
      <c r="E1634" s="2"/>
      <c r="F1634" s="2"/>
      <c r="O1634" s="2"/>
    </row>
    <row r="1635" spans="2:15" s="1" customFormat="1" x14ac:dyDescent="0.25">
      <c r="B1635" s="12"/>
      <c r="D1635" s="23"/>
      <c r="E1635" s="2"/>
      <c r="F1635" s="2"/>
      <c r="O1635" s="2"/>
    </row>
    <row r="1636" spans="2:15" s="1" customFormat="1" x14ac:dyDescent="0.25">
      <c r="B1636" s="12"/>
      <c r="D1636" s="23"/>
      <c r="E1636" s="2"/>
      <c r="F1636" s="2"/>
      <c r="O1636" s="2"/>
    </row>
    <row r="1637" spans="2:15" s="1" customFormat="1" x14ac:dyDescent="0.25">
      <c r="B1637" s="12"/>
      <c r="D1637" s="23"/>
      <c r="E1637" s="2"/>
      <c r="F1637" s="2"/>
      <c r="O1637" s="2"/>
    </row>
    <row r="1638" spans="2:15" s="1" customFormat="1" x14ac:dyDescent="0.25">
      <c r="B1638" s="12"/>
      <c r="D1638" s="23"/>
      <c r="E1638" s="2"/>
      <c r="F1638" s="2"/>
      <c r="O1638" s="2"/>
    </row>
    <row r="1639" spans="2:15" s="1" customFormat="1" x14ac:dyDescent="0.25">
      <c r="B1639" s="12"/>
      <c r="D1639" s="23"/>
      <c r="E1639" s="2"/>
      <c r="F1639" s="2"/>
      <c r="O1639" s="2"/>
    </row>
    <row r="1640" spans="2:15" s="1" customFormat="1" x14ac:dyDescent="0.25">
      <c r="B1640" s="12"/>
      <c r="D1640" s="23"/>
      <c r="E1640" s="2"/>
      <c r="F1640" s="2"/>
      <c r="O1640" s="2"/>
    </row>
    <row r="1641" spans="2:15" s="1" customFormat="1" x14ac:dyDescent="0.25">
      <c r="B1641" s="12"/>
      <c r="D1641" s="23"/>
      <c r="E1641" s="2"/>
      <c r="F1641" s="2"/>
      <c r="O1641" s="2"/>
    </row>
    <row r="1642" spans="2:15" s="1" customFormat="1" x14ac:dyDescent="0.25">
      <c r="B1642" s="12"/>
      <c r="D1642" s="23"/>
      <c r="E1642" s="2"/>
      <c r="F1642" s="2"/>
      <c r="O1642" s="2"/>
    </row>
    <row r="1643" spans="2:15" s="1" customFormat="1" x14ac:dyDescent="0.25">
      <c r="B1643" s="12"/>
      <c r="D1643" s="23"/>
      <c r="E1643" s="2"/>
      <c r="F1643" s="2"/>
      <c r="O1643" s="2"/>
    </row>
    <row r="1644" spans="2:15" s="1" customFormat="1" x14ac:dyDescent="0.25">
      <c r="B1644" s="12"/>
      <c r="D1644" s="23"/>
      <c r="E1644" s="2"/>
      <c r="F1644" s="2"/>
      <c r="O1644" s="2"/>
    </row>
    <row r="1645" spans="2:15" s="1" customFormat="1" x14ac:dyDescent="0.25">
      <c r="B1645" s="12"/>
      <c r="D1645" s="23"/>
      <c r="E1645" s="2"/>
      <c r="F1645" s="2"/>
      <c r="O1645" s="2"/>
    </row>
    <row r="1646" spans="2:15" s="1" customFormat="1" x14ac:dyDescent="0.25">
      <c r="B1646" s="12"/>
      <c r="D1646" s="23"/>
      <c r="E1646" s="2"/>
      <c r="F1646" s="2"/>
      <c r="O1646" s="2"/>
    </row>
    <row r="1647" spans="2:15" s="1" customFormat="1" x14ac:dyDescent="0.25">
      <c r="B1647" s="12"/>
      <c r="D1647" s="23"/>
      <c r="E1647" s="2"/>
      <c r="F1647" s="2"/>
      <c r="O1647" s="2"/>
    </row>
    <row r="1648" spans="2:15" s="1" customFormat="1" x14ac:dyDescent="0.25">
      <c r="B1648" s="12"/>
      <c r="D1648" s="23"/>
      <c r="E1648" s="2"/>
      <c r="F1648" s="2"/>
      <c r="O1648" s="2"/>
    </row>
    <row r="1649" spans="2:15" s="1" customFormat="1" x14ac:dyDescent="0.25">
      <c r="B1649" s="12"/>
      <c r="D1649" s="23"/>
      <c r="E1649" s="2"/>
      <c r="F1649" s="2"/>
      <c r="O1649" s="2"/>
    </row>
    <row r="1650" spans="2:15" s="1" customFormat="1" x14ac:dyDescent="0.25">
      <c r="B1650" s="12"/>
      <c r="D1650" s="23"/>
      <c r="E1650" s="2"/>
      <c r="F1650" s="2"/>
      <c r="O1650" s="2"/>
    </row>
    <row r="1651" spans="2:15" s="1" customFormat="1" x14ac:dyDescent="0.25">
      <c r="B1651" s="12"/>
      <c r="D1651" s="23"/>
      <c r="E1651" s="2"/>
      <c r="F1651" s="2"/>
      <c r="O1651" s="2"/>
    </row>
    <row r="1652" spans="2:15" s="1" customFormat="1" x14ac:dyDescent="0.25">
      <c r="B1652" s="12"/>
      <c r="D1652" s="23"/>
      <c r="E1652" s="2"/>
      <c r="F1652" s="2"/>
      <c r="O1652" s="2"/>
    </row>
    <row r="1653" spans="2:15" s="1" customFormat="1" x14ac:dyDescent="0.25">
      <c r="B1653" s="12"/>
      <c r="D1653" s="23"/>
      <c r="E1653" s="2"/>
      <c r="F1653" s="2"/>
      <c r="O1653" s="2"/>
    </row>
    <row r="1654" spans="2:15" s="1" customFormat="1" x14ac:dyDescent="0.25">
      <c r="B1654" s="12"/>
      <c r="D1654" s="23"/>
      <c r="E1654" s="2"/>
      <c r="F1654" s="2"/>
      <c r="O1654" s="2"/>
    </row>
    <row r="1655" spans="2:15" s="1" customFormat="1" x14ac:dyDescent="0.25">
      <c r="B1655" s="12"/>
      <c r="D1655" s="23"/>
      <c r="E1655" s="2"/>
      <c r="F1655" s="2"/>
      <c r="O1655" s="2"/>
    </row>
    <row r="1656" spans="2:15" s="1" customFormat="1" x14ac:dyDescent="0.25">
      <c r="B1656" s="12"/>
      <c r="D1656" s="23"/>
      <c r="E1656" s="2"/>
      <c r="F1656" s="2"/>
      <c r="O1656" s="2"/>
    </row>
    <row r="1657" spans="2:15" s="1" customFormat="1" x14ac:dyDescent="0.25">
      <c r="B1657" s="12"/>
      <c r="D1657" s="23"/>
      <c r="E1657" s="2"/>
      <c r="F1657" s="2"/>
      <c r="O1657" s="2"/>
    </row>
    <row r="1658" spans="2:15" s="1" customFormat="1" x14ac:dyDescent="0.25">
      <c r="B1658" s="12"/>
      <c r="D1658" s="23"/>
      <c r="E1658" s="2"/>
      <c r="F1658" s="2"/>
      <c r="O1658" s="2"/>
    </row>
    <row r="1659" spans="2:15" s="1" customFormat="1" x14ac:dyDescent="0.25">
      <c r="B1659" s="12"/>
      <c r="D1659" s="23"/>
      <c r="E1659" s="2"/>
      <c r="F1659" s="2"/>
      <c r="O1659" s="2"/>
    </row>
    <row r="1660" spans="2:15" s="1" customFormat="1" x14ac:dyDescent="0.25">
      <c r="B1660" s="12"/>
      <c r="D1660" s="23"/>
      <c r="E1660" s="2"/>
      <c r="F1660" s="2"/>
      <c r="O1660" s="2"/>
    </row>
    <row r="1661" spans="2:15" s="1" customFormat="1" x14ac:dyDescent="0.25">
      <c r="B1661" s="12"/>
      <c r="D1661" s="23"/>
      <c r="E1661" s="2"/>
      <c r="F1661" s="2"/>
      <c r="O1661" s="2"/>
    </row>
    <row r="1662" spans="2:15" s="1" customFormat="1" x14ac:dyDescent="0.25">
      <c r="B1662" s="12"/>
      <c r="D1662" s="23"/>
      <c r="E1662" s="2"/>
      <c r="F1662" s="2"/>
      <c r="O1662" s="2"/>
    </row>
    <row r="1663" spans="2:15" s="1" customFormat="1" x14ac:dyDescent="0.25">
      <c r="B1663" s="12"/>
      <c r="D1663" s="23"/>
      <c r="E1663" s="2"/>
      <c r="F1663" s="2"/>
      <c r="O1663" s="2"/>
    </row>
    <row r="1664" spans="2:15" s="1" customFormat="1" x14ac:dyDescent="0.25">
      <c r="B1664" s="12"/>
      <c r="D1664" s="23"/>
      <c r="E1664" s="2"/>
      <c r="F1664" s="2"/>
      <c r="O1664" s="2"/>
    </row>
    <row r="1665" spans="2:15" s="1" customFormat="1" x14ac:dyDescent="0.25">
      <c r="B1665" s="12"/>
      <c r="D1665" s="23"/>
      <c r="E1665" s="2"/>
      <c r="F1665" s="2"/>
      <c r="O1665" s="2"/>
    </row>
    <row r="1666" spans="2:15" s="1" customFormat="1" x14ac:dyDescent="0.25">
      <c r="B1666" s="12"/>
      <c r="D1666" s="23"/>
      <c r="E1666" s="2"/>
      <c r="F1666" s="2"/>
      <c r="O1666" s="2"/>
    </row>
    <row r="1667" spans="2:15" s="1" customFormat="1" x14ac:dyDescent="0.25">
      <c r="B1667" s="12"/>
      <c r="D1667" s="23"/>
      <c r="E1667" s="2"/>
      <c r="F1667" s="2"/>
      <c r="O1667" s="2"/>
    </row>
    <row r="1668" spans="2:15" s="1" customFormat="1" x14ac:dyDescent="0.25">
      <c r="B1668" s="12"/>
      <c r="D1668" s="23"/>
      <c r="E1668" s="2"/>
      <c r="F1668" s="2"/>
      <c r="O1668" s="2"/>
    </row>
    <row r="1669" spans="2:15" s="1" customFormat="1" x14ac:dyDescent="0.25">
      <c r="B1669" s="12"/>
      <c r="D1669" s="23"/>
      <c r="E1669" s="2"/>
      <c r="F1669" s="2"/>
      <c r="O1669" s="2"/>
    </row>
    <row r="1670" spans="2:15" s="1" customFormat="1" x14ac:dyDescent="0.25">
      <c r="B1670" s="12"/>
      <c r="D1670" s="23"/>
      <c r="E1670" s="2"/>
      <c r="F1670" s="2"/>
      <c r="O1670" s="2"/>
    </row>
    <row r="1671" spans="2:15" s="1" customFormat="1" x14ac:dyDescent="0.25">
      <c r="B1671" s="12"/>
      <c r="D1671" s="23"/>
      <c r="E1671" s="2"/>
      <c r="F1671" s="2"/>
      <c r="O1671" s="2"/>
    </row>
    <row r="1672" spans="2:15" s="1" customFormat="1" x14ac:dyDescent="0.25">
      <c r="B1672" s="12"/>
      <c r="D1672" s="23"/>
      <c r="E1672" s="2"/>
      <c r="F1672" s="2"/>
      <c r="O1672" s="2"/>
    </row>
    <row r="1673" spans="2:15" s="1" customFormat="1" x14ac:dyDescent="0.25">
      <c r="B1673" s="12"/>
      <c r="D1673" s="23"/>
      <c r="E1673" s="2"/>
      <c r="F1673" s="2"/>
      <c r="O1673" s="2"/>
    </row>
    <row r="1674" spans="2:15" s="1" customFormat="1" x14ac:dyDescent="0.25">
      <c r="B1674" s="12"/>
      <c r="D1674" s="23"/>
      <c r="E1674" s="2"/>
      <c r="F1674" s="2"/>
      <c r="O1674" s="2"/>
    </row>
    <row r="1675" spans="2:15" s="1" customFormat="1" x14ac:dyDescent="0.25">
      <c r="B1675" s="12"/>
      <c r="D1675" s="23"/>
      <c r="E1675" s="2"/>
      <c r="F1675" s="2"/>
      <c r="O1675" s="2"/>
    </row>
    <row r="1676" spans="2:15" s="1" customFormat="1" x14ac:dyDescent="0.25">
      <c r="B1676" s="12"/>
      <c r="D1676" s="23"/>
      <c r="E1676" s="2"/>
      <c r="F1676" s="2"/>
      <c r="O1676" s="2"/>
    </row>
    <row r="1677" spans="2:15" s="1" customFormat="1" x14ac:dyDescent="0.25">
      <c r="B1677" s="12"/>
      <c r="D1677" s="23"/>
      <c r="E1677" s="2"/>
      <c r="F1677" s="2"/>
      <c r="O1677" s="2"/>
    </row>
    <row r="1678" spans="2:15" s="1" customFormat="1" x14ac:dyDescent="0.25">
      <c r="B1678" s="12"/>
      <c r="D1678" s="23"/>
      <c r="E1678" s="2"/>
      <c r="F1678" s="2"/>
      <c r="O1678" s="2"/>
    </row>
    <row r="1679" spans="2:15" s="1" customFormat="1" x14ac:dyDescent="0.25">
      <c r="B1679" s="12"/>
      <c r="D1679" s="23"/>
      <c r="E1679" s="2"/>
      <c r="F1679" s="2"/>
      <c r="O1679" s="2"/>
    </row>
    <row r="1680" spans="2:15" s="1" customFormat="1" x14ac:dyDescent="0.25">
      <c r="B1680" s="12"/>
      <c r="D1680" s="23"/>
      <c r="E1680" s="2"/>
      <c r="F1680" s="2"/>
      <c r="O1680" s="2"/>
    </row>
    <row r="1681" spans="2:15" s="1" customFormat="1" x14ac:dyDescent="0.25">
      <c r="B1681" s="12"/>
      <c r="D1681" s="23"/>
      <c r="E1681" s="2"/>
      <c r="F1681" s="2"/>
      <c r="O1681" s="2"/>
    </row>
    <row r="1682" spans="2:15" s="1" customFormat="1" x14ac:dyDescent="0.25">
      <c r="B1682" s="12"/>
      <c r="D1682" s="23"/>
      <c r="E1682" s="2"/>
      <c r="F1682" s="2"/>
      <c r="O1682" s="2"/>
    </row>
    <row r="1683" spans="2:15" s="1" customFormat="1" x14ac:dyDescent="0.25">
      <c r="B1683" s="12"/>
      <c r="D1683" s="23"/>
      <c r="E1683" s="2"/>
      <c r="F1683" s="2"/>
      <c r="O1683" s="2"/>
    </row>
    <row r="1684" spans="2:15" s="1" customFormat="1" x14ac:dyDescent="0.25">
      <c r="B1684" s="12"/>
      <c r="D1684" s="23"/>
      <c r="E1684" s="2"/>
      <c r="F1684" s="2"/>
      <c r="O1684" s="2"/>
    </row>
    <row r="1685" spans="2:15" s="1" customFormat="1" x14ac:dyDescent="0.25">
      <c r="B1685" s="12"/>
      <c r="D1685" s="23"/>
      <c r="E1685" s="2"/>
      <c r="F1685" s="2"/>
      <c r="O1685" s="2"/>
    </row>
    <row r="1686" spans="2:15" s="1" customFormat="1" x14ac:dyDescent="0.25">
      <c r="B1686" s="12"/>
      <c r="D1686" s="23"/>
      <c r="E1686" s="2"/>
      <c r="F1686" s="2"/>
      <c r="O1686" s="2"/>
    </row>
    <row r="1687" spans="2:15" s="1" customFormat="1" x14ac:dyDescent="0.25">
      <c r="B1687" s="12"/>
      <c r="D1687" s="23"/>
      <c r="E1687" s="2"/>
      <c r="F1687" s="2"/>
      <c r="O1687" s="2"/>
    </row>
    <row r="1688" spans="2:15" s="1" customFormat="1" x14ac:dyDescent="0.25">
      <c r="B1688" s="12"/>
      <c r="D1688" s="23"/>
      <c r="E1688" s="2"/>
      <c r="F1688" s="2"/>
      <c r="O1688" s="2"/>
    </row>
    <row r="1689" spans="2:15" s="1" customFormat="1" x14ac:dyDescent="0.25">
      <c r="B1689" s="12"/>
      <c r="D1689" s="23"/>
      <c r="E1689" s="2"/>
      <c r="F1689" s="2"/>
      <c r="O1689" s="2"/>
    </row>
    <row r="1690" spans="2:15" s="1" customFormat="1" x14ac:dyDescent="0.25">
      <c r="B1690" s="12"/>
      <c r="D1690" s="23"/>
      <c r="E1690" s="2"/>
      <c r="F1690" s="2"/>
      <c r="O1690" s="2"/>
    </row>
    <row r="1691" spans="2:15" s="1" customFormat="1" x14ac:dyDescent="0.25">
      <c r="B1691" s="12"/>
      <c r="D1691" s="23"/>
      <c r="E1691" s="2"/>
      <c r="F1691" s="2"/>
      <c r="O1691" s="2"/>
    </row>
    <row r="1692" spans="2:15" s="1" customFormat="1" x14ac:dyDescent="0.25">
      <c r="B1692" s="12"/>
      <c r="D1692" s="23"/>
      <c r="E1692" s="2"/>
      <c r="F1692" s="2"/>
      <c r="O1692" s="2"/>
    </row>
    <row r="1693" spans="2:15" s="1" customFormat="1" x14ac:dyDescent="0.25">
      <c r="B1693" s="12"/>
      <c r="D1693" s="23"/>
      <c r="E1693" s="2"/>
      <c r="F1693" s="2"/>
      <c r="O1693" s="2"/>
    </row>
    <row r="1694" spans="2:15" s="1" customFormat="1" x14ac:dyDescent="0.25">
      <c r="B1694" s="12"/>
      <c r="D1694" s="23"/>
      <c r="E1694" s="2"/>
      <c r="F1694" s="2"/>
      <c r="O1694" s="2"/>
    </row>
    <row r="1695" spans="2:15" s="1" customFormat="1" x14ac:dyDescent="0.25">
      <c r="B1695" s="12"/>
      <c r="D1695" s="23"/>
      <c r="E1695" s="2"/>
      <c r="F1695" s="2"/>
      <c r="O1695" s="2"/>
    </row>
    <row r="1696" spans="2:15" s="1" customFormat="1" x14ac:dyDescent="0.25">
      <c r="B1696" s="12"/>
      <c r="D1696" s="23"/>
      <c r="E1696" s="2"/>
      <c r="F1696" s="2"/>
      <c r="O1696" s="2"/>
    </row>
    <row r="1697" spans="2:15" s="1" customFormat="1" x14ac:dyDescent="0.25">
      <c r="B1697" s="12"/>
      <c r="D1697" s="23"/>
      <c r="E1697" s="2"/>
      <c r="F1697" s="2"/>
      <c r="O1697" s="2"/>
    </row>
    <row r="1698" spans="2:15" s="1" customFormat="1" x14ac:dyDescent="0.25">
      <c r="B1698" s="12"/>
      <c r="D1698" s="23"/>
      <c r="E1698" s="2"/>
      <c r="F1698" s="2"/>
      <c r="O1698" s="2"/>
    </row>
    <row r="1699" spans="2:15" s="1" customFormat="1" x14ac:dyDescent="0.25">
      <c r="B1699" s="12"/>
      <c r="D1699" s="23"/>
      <c r="E1699" s="2"/>
      <c r="F1699" s="2"/>
      <c r="O1699" s="2"/>
    </row>
    <row r="1700" spans="2:15" s="1" customFormat="1" x14ac:dyDescent="0.25">
      <c r="B1700" s="12"/>
      <c r="D1700" s="23"/>
      <c r="E1700" s="2"/>
      <c r="F1700" s="2"/>
      <c r="O1700" s="2"/>
    </row>
    <row r="1701" spans="2:15" s="1" customFormat="1" x14ac:dyDescent="0.25">
      <c r="B1701" s="12"/>
      <c r="D1701" s="23"/>
      <c r="E1701" s="2"/>
      <c r="F1701" s="2"/>
      <c r="O1701" s="2"/>
    </row>
    <row r="1702" spans="2:15" s="1" customFormat="1" x14ac:dyDescent="0.25">
      <c r="B1702" s="12"/>
      <c r="D1702" s="23"/>
      <c r="E1702" s="2"/>
      <c r="F1702" s="2"/>
      <c r="O1702" s="2"/>
    </row>
    <row r="1703" spans="2:15" s="1" customFormat="1" x14ac:dyDescent="0.25">
      <c r="B1703" s="12"/>
      <c r="D1703" s="23"/>
      <c r="E1703" s="2"/>
      <c r="F1703" s="2"/>
      <c r="O1703" s="2"/>
    </row>
    <row r="1704" spans="2:15" s="1" customFormat="1" x14ac:dyDescent="0.25">
      <c r="B1704" s="12"/>
      <c r="D1704" s="23"/>
      <c r="E1704" s="2"/>
      <c r="F1704" s="2"/>
      <c r="O1704" s="2"/>
    </row>
    <row r="1705" spans="2:15" s="1" customFormat="1" x14ac:dyDescent="0.25">
      <c r="B1705" s="12"/>
      <c r="D1705" s="23"/>
      <c r="E1705" s="2"/>
      <c r="F1705" s="2"/>
      <c r="O1705" s="2"/>
    </row>
    <row r="1706" spans="2:15" s="1" customFormat="1" x14ac:dyDescent="0.25">
      <c r="B1706" s="12"/>
      <c r="D1706" s="23"/>
      <c r="E1706" s="2"/>
      <c r="F1706" s="2"/>
      <c r="O1706" s="2"/>
    </row>
    <row r="1707" spans="2:15" s="1" customFormat="1" x14ac:dyDescent="0.25">
      <c r="B1707" s="12"/>
      <c r="D1707" s="23"/>
      <c r="E1707" s="2"/>
      <c r="F1707" s="2"/>
      <c r="O1707" s="2"/>
    </row>
    <row r="1708" spans="2:15" s="1" customFormat="1" x14ac:dyDescent="0.25">
      <c r="B1708" s="12"/>
      <c r="D1708" s="23"/>
      <c r="E1708" s="2"/>
      <c r="F1708" s="2"/>
      <c r="O1708" s="2"/>
    </row>
    <row r="1709" spans="2:15" s="1" customFormat="1" x14ac:dyDescent="0.25">
      <c r="B1709" s="12"/>
      <c r="D1709" s="23"/>
      <c r="E1709" s="2"/>
      <c r="F1709" s="2"/>
      <c r="O1709" s="2"/>
    </row>
    <row r="1710" spans="2:15" s="1" customFormat="1" x14ac:dyDescent="0.25">
      <c r="B1710" s="12"/>
      <c r="D1710" s="23"/>
      <c r="E1710" s="2"/>
      <c r="F1710" s="2"/>
      <c r="O1710" s="2"/>
    </row>
    <row r="1711" spans="2:15" s="1" customFormat="1" x14ac:dyDescent="0.25">
      <c r="B1711" s="12"/>
      <c r="D1711" s="23"/>
      <c r="E1711" s="2"/>
      <c r="F1711" s="2"/>
      <c r="O1711" s="2"/>
    </row>
    <row r="1712" spans="2:15" s="1" customFormat="1" x14ac:dyDescent="0.25">
      <c r="B1712" s="12"/>
      <c r="D1712" s="23"/>
      <c r="E1712" s="2"/>
      <c r="F1712" s="2"/>
      <c r="O1712" s="2"/>
    </row>
    <row r="1713" spans="2:15" s="1" customFormat="1" x14ac:dyDescent="0.25">
      <c r="B1713" s="12"/>
      <c r="D1713" s="23"/>
      <c r="E1713" s="2"/>
      <c r="F1713" s="2"/>
      <c r="O1713" s="2"/>
    </row>
    <row r="1714" spans="2:15" s="1" customFormat="1" x14ac:dyDescent="0.25">
      <c r="B1714" s="12"/>
      <c r="D1714" s="23"/>
      <c r="E1714" s="2"/>
      <c r="F1714" s="2"/>
      <c r="O1714" s="2"/>
    </row>
    <row r="1715" spans="2:15" s="1" customFormat="1" x14ac:dyDescent="0.25">
      <c r="B1715" s="12"/>
      <c r="D1715" s="23"/>
      <c r="E1715" s="2"/>
      <c r="F1715" s="2"/>
      <c r="O1715" s="2"/>
    </row>
    <row r="1716" spans="2:15" s="1" customFormat="1" x14ac:dyDescent="0.25">
      <c r="B1716" s="12"/>
      <c r="D1716" s="23"/>
      <c r="E1716" s="2"/>
      <c r="F1716" s="2"/>
      <c r="O1716" s="2"/>
    </row>
    <row r="1717" spans="2:15" s="1" customFormat="1" x14ac:dyDescent="0.25">
      <c r="B1717" s="12"/>
      <c r="D1717" s="23"/>
      <c r="E1717" s="2"/>
      <c r="F1717" s="2"/>
      <c r="O1717" s="2"/>
    </row>
    <row r="1718" spans="2:15" s="1" customFormat="1" x14ac:dyDescent="0.25">
      <c r="B1718" s="12"/>
      <c r="D1718" s="23"/>
      <c r="E1718" s="2"/>
      <c r="F1718" s="2"/>
      <c r="O1718" s="2"/>
    </row>
    <row r="1719" spans="2:15" s="1" customFormat="1" x14ac:dyDescent="0.25">
      <c r="B1719" s="12"/>
      <c r="D1719" s="23"/>
      <c r="E1719" s="2"/>
      <c r="F1719" s="2"/>
      <c r="O1719" s="2"/>
    </row>
    <row r="1720" spans="2:15" s="1" customFormat="1" x14ac:dyDescent="0.25">
      <c r="B1720" s="12"/>
      <c r="D1720" s="23"/>
      <c r="E1720" s="2"/>
      <c r="F1720" s="2"/>
      <c r="O1720" s="2"/>
    </row>
    <row r="1721" spans="2:15" s="1" customFormat="1" x14ac:dyDescent="0.25">
      <c r="B1721" s="12"/>
      <c r="D1721" s="23"/>
      <c r="E1721" s="2"/>
      <c r="F1721" s="2"/>
      <c r="O1721" s="2"/>
    </row>
    <row r="1722" spans="2:15" s="1" customFormat="1" x14ac:dyDescent="0.25">
      <c r="B1722" s="12"/>
      <c r="D1722" s="23"/>
      <c r="E1722" s="2"/>
      <c r="F1722" s="2"/>
      <c r="O1722" s="2"/>
    </row>
    <row r="1723" spans="2:15" s="1" customFormat="1" x14ac:dyDescent="0.25">
      <c r="B1723" s="12"/>
      <c r="D1723" s="23"/>
      <c r="E1723" s="2"/>
      <c r="F1723" s="2"/>
      <c r="O1723" s="2"/>
    </row>
    <row r="1724" spans="2:15" s="1" customFormat="1" x14ac:dyDescent="0.25">
      <c r="B1724" s="12"/>
      <c r="D1724" s="23"/>
      <c r="E1724" s="2"/>
      <c r="F1724" s="2"/>
      <c r="O1724" s="2"/>
    </row>
    <row r="1725" spans="2:15" s="1" customFormat="1" x14ac:dyDescent="0.25">
      <c r="B1725" s="12"/>
      <c r="D1725" s="23"/>
      <c r="E1725" s="2"/>
      <c r="F1725" s="2"/>
      <c r="O1725" s="2"/>
    </row>
    <row r="1726" spans="2:15" s="1" customFormat="1" x14ac:dyDescent="0.25">
      <c r="B1726" s="12"/>
      <c r="D1726" s="23"/>
      <c r="E1726" s="2"/>
      <c r="F1726" s="2"/>
      <c r="O1726" s="2"/>
    </row>
    <row r="1727" spans="2:15" s="1" customFormat="1" x14ac:dyDescent="0.25">
      <c r="B1727" s="12"/>
      <c r="D1727" s="23"/>
      <c r="E1727" s="2"/>
      <c r="F1727" s="2"/>
      <c r="O1727" s="2"/>
    </row>
    <row r="1728" spans="2:15" s="1" customFormat="1" x14ac:dyDescent="0.25">
      <c r="B1728" s="12"/>
      <c r="D1728" s="23"/>
      <c r="E1728" s="2"/>
      <c r="F1728" s="2"/>
      <c r="O1728" s="2"/>
    </row>
    <row r="1729" spans="2:15" s="1" customFormat="1" x14ac:dyDescent="0.25">
      <c r="B1729" s="12"/>
      <c r="D1729" s="23"/>
      <c r="E1729" s="2"/>
      <c r="F1729" s="2"/>
      <c r="O1729" s="2"/>
    </row>
    <row r="1730" spans="2:15" s="1" customFormat="1" x14ac:dyDescent="0.25">
      <c r="B1730" s="12"/>
      <c r="D1730" s="23"/>
      <c r="E1730" s="2"/>
      <c r="F1730" s="2"/>
      <c r="O1730" s="2"/>
    </row>
    <row r="1731" spans="2:15" s="1" customFormat="1" x14ac:dyDescent="0.25">
      <c r="B1731" s="12"/>
      <c r="D1731" s="23"/>
      <c r="E1731" s="2"/>
      <c r="F1731" s="2"/>
      <c r="O1731" s="2"/>
    </row>
    <row r="1732" spans="2:15" s="1" customFormat="1" x14ac:dyDescent="0.25">
      <c r="B1732" s="12"/>
      <c r="D1732" s="23"/>
      <c r="E1732" s="2"/>
      <c r="F1732" s="2"/>
      <c r="O1732" s="2"/>
    </row>
    <row r="1733" spans="2:15" s="1" customFormat="1" x14ac:dyDescent="0.25">
      <c r="B1733" s="12"/>
      <c r="D1733" s="23"/>
      <c r="E1733" s="2"/>
      <c r="F1733" s="2"/>
      <c r="O1733" s="2"/>
    </row>
    <row r="1734" spans="2:15" s="1" customFormat="1" x14ac:dyDescent="0.25">
      <c r="B1734" s="12"/>
      <c r="D1734" s="23"/>
      <c r="E1734" s="2"/>
      <c r="F1734" s="2"/>
      <c r="O1734" s="2"/>
    </row>
    <row r="1735" spans="2:15" s="1" customFormat="1" x14ac:dyDescent="0.25">
      <c r="B1735" s="12"/>
      <c r="D1735" s="23"/>
      <c r="E1735" s="2"/>
      <c r="F1735" s="2"/>
      <c r="O1735" s="2"/>
    </row>
    <row r="1736" spans="2:15" s="1" customFormat="1" x14ac:dyDescent="0.25">
      <c r="B1736" s="12"/>
      <c r="D1736" s="23"/>
      <c r="E1736" s="2"/>
      <c r="F1736" s="2"/>
      <c r="O1736" s="2"/>
    </row>
    <row r="1737" spans="2:15" s="1" customFormat="1" x14ac:dyDescent="0.25">
      <c r="B1737" s="12"/>
      <c r="D1737" s="23"/>
      <c r="E1737" s="2"/>
      <c r="F1737" s="2"/>
      <c r="O1737" s="2"/>
    </row>
    <row r="1738" spans="2:15" s="1" customFormat="1" x14ac:dyDescent="0.25">
      <c r="B1738" s="12"/>
      <c r="D1738" s="23"/>
      <c r="E1738" s="2"/>
      <c r="F1738" s="2"/>
      <c r="O1738" s="2"/>
    </row>
    <row r="1739" spans="2:15" s="1" customFormat="1" x14ac:dyDescent="0.25">
      <c r="B1739" s="12"/>
      <c r="D1739" s="23"/>
      <c r="E1739" s="2"/>
      <c r="F1739" s="2"/>
      <c r="O1739" s="2"/>
    </row>
    <row r="1740" spans="2:15" s="1" customFormat="1" x14ac:dyDescent="0.25">
      <c r="B1740" s="12"/>
      <c r="D1740" s="23"/>
      <c r="E1740" s="2"/>
      <c r="F1740" s="2"/>
      <c r="O1740" s="2"/>
    </row>
    <row r="1741" spans="2:15" s="1" customFormat="1" x14ac:dyDescent="0.25">
      <c r="B1741" s="12"/>
      <c r="D1741" s="23"/>
      <c r="E1741" s="2"/>
      <c r="F1741" s="2"/>
      <c r="O1741" s="2"/>
    </row>
    <row r="1742" spans="2:15" s="1" customFormat="1" x14ac:dyDescent="0.25">
      <c r="B1742" s="12"/>
      <c r="D1742" s="23"/>
      <c r="E1742" s="2"/>
      <c r="F1742" s="2"/>
      <c r="O1742" s="2"/>
    </row>
    <row r="1743" spans="2:15" s="1" customFormat="1" x14ac:dyDescent="0.25">
      <c r="B1743" s="12"/>
      <c r="D1743" s="23"/>
      <c r="E1743" s="2"/>
      <c r="F1743" s="2"/>
      <c r="O1743" s="2"/>
    </row>
    <row r="1744" spans="2:15" s="1" customFormat="1" x14ac:dyDescent="0.25">
      <c r="B1744" s="12"/>
      <c r="D1744" s="23"/>
      <c r="E1744" s="2"/>
      <c r="F1744" s="2"/>
      <c r="O1744" s="2"/>
    </row>
    <row r="1745" spans="2:15" s="1" customFormat="1" x14ac:dyDescent="0.25">
      <c r="B1745" s="12"/>
      <c r="D1745" s="23"/>
      <c r="E1745" s="2"/>
      <c r="F1745" s="2"/>
      <c r="O1745" s="2"/>
    </row>
    <row r="1746" spans="2:15" s="1" customFormat="1" x14ac:dyDescent="0.25">
      <c r="B1746" s="12"/>
      <c r="D1746" s="23"/>
      <c r="E1746" s="2"/>
      <c r="F1746" s="2"/>
      <c r="O1746" s="2"/>
    </row>
    <row r="1747" spans="2:15" s="1" customFormat="1" x14ac:dyDescent="0.25">
      <c r="B1747" s="12"/>
      <c r="D1747" s="23"/>
      <c r="E1747" s="2"/>
      <c r="F1747" s="2"/>
      <c r="O1747" s="2"/>
    </row>
    <row r="1748" spans="2:15" s="1" customFormat="1" x14ac:dyDescent="0.25">
      <c r="B1748" s="12"/>
      <c r="D1748" s="23"/>
      <c r="E1748" s="2"/>
      <c r="F1748" s="2"/>
      <c r="O1748" s="2"/>
    </row>
    <row r="1749" spans="2:15" s="1" customFormat="1" x14ac:dyDescent="0.25">
      <c r="B1749" s="12"/>
      <c r="D1749" s="23"/>
      <c r="E1749" s="2"/>
      <c r="F1749" s="2"/>
      <c r="O1749" s="2"/>
    </row>
    <row r="1750" spans="2:15" s="1" customFormat="1" x14ac:dyDescent="0.25">
      <c r="B1750" s="12"/>
      <c r="D1750" s="23"/>
      <c r="E1750" s="2"/>
      <c r="F1750" s="2"/>
      <c r="O1750" s="2"/>
    </row>
    <row r="1751" spans="2:15" s="1" customFormat="1" x14ac:dyDescent="0.25">
      <c r="B1751" s="12"/>
      <c r="D1751" s="23"/>
      <c r="E1751" s="2"/>
      <c r="F1751" s="2"/>
      <c r="O1751" s="2"/>
    </row>
    <row r="1752" spans="2:15" s="1" customFormat="1" x14ac:dyDescent="0.25">
      <c r="B1752" s="12"/>
      <c r="D1752" s="23"/>
      <c r="E1752" s="2"/>
      <c r="F1752" s="2"/>
      <c r="O1752" s="2"/>
    </row>
    <row r="1753" spans="2:15" s="1" customFormat="1" x14ac:dyDescent="0.25">
      <c r="B1753" s="12"/>
      <c r="D1753" s="23"/>
      <c r="E1753" s="2"/>
      <c r="F1753" s="2"/>
      <c r="O1753" s="2"/>
    </row>
    <row r="1754" spans="2:15" s="1" customFormat="1" x14ac:dyDescent="0.25">
      <c r="B1754" s="12"/>
      <c r="D1754" s="23"/>
      <c r="E1754" s="2"/>
      <c r="F1754" s="2"/>
      <c r="O1754" s="2"/>
    </row>
    <row r="1755" spans="2:15" s="1" customFormat="1" x14ac:dyDescent="0.25">
      <c r="B1755" s="12"/>
      <c r="D1755" s="23"/>
      <c r="E1755" s="2"/>
      <c r="F1755" s="2"/>
      <c r="O1755" s="2"/>
    </row>
    <row r="1756" spans="2:15" s="1" customFormat="1" x14ac:dyDescent="0.25">
      <c r="B1756" s="12"/>
      <c r="D1756" s="23"/>
      <c r="E1756" s="2"/>
      <c r="F1756" s="2"/>
      <c r="O1756" s="2"/>
    </row>
    <row r="1757" spans="2:15" s="1" customFormat="1" x14ac:dyDescent="0.25">
      <c r="B1757" s="12"/>
      <c r="D1757" s="23"/>
      <c r="E1757" s="2"/>
      <c r="F1757" s="2"/>
      <c r="O1757" s="2"/>
    </row>
    <row r="1758" spans="2:15" s="1" customFormat="1" x14ac:dyDescent="0.25">
      <c r="B1758" s="12"/>
      <c r="D1758" s="23"/>
      <c r="E1758" s="2"/>
      <c r="F1758" s="2"/>
      <c r="O1758" s="2"/>
    </row>
    <row r="1759" spans="2:15" s="1" customFormat="1" x14ac:dyDescent="0.25">
      <c r="B1759" s="12"/>
      <c r="D1759" s="23"/>
      <c r="E1759" s="2"/>
      <c r="F1759" s="2"/>
      <c r="O1759" s="2"/>
    </row>
    <row r="1760" spans="2:15" s="1" customFormat="1" x14ac:dyDescent="0.25">
      <c r="B1760" s="12"/>
      <c r="D1760" s="23"/>
      <c r="E1760" s="2"/>
      <c r="F1760" s="2"/>
      <c r="O1760" s="2"/>
    </row>
    <row r="1761" spans="2:15" s="1" customFormat="1" x14ac:dyDescent="0.25">
      <c r="B1761" s="12"/>
      <c r="D1761" s="23"/>
      <c r="E1761" s="2"/>
      <c r="F1761" s="2"/>
      <c r="O1761" s="2"/>
    </row>
    <row r="1762" spans="2:15" s="1" customFormat="1" x14ac:dyDescent="0.25">
      <c r="B1762" s="12"/>
      <c r="D1762" s="23"/>
      <c r="E1762" s="2"/>
      <c r="F1762" s="2"/>
      <c r="O1762" s="2"/>
    </row>
    <row r="1763" spans="2:15" s="1" customFormat="1" x14ac:dyDescent="0.25">
      <c r="B1763" s="12"/>
      <c r="D1763" s="23"/>
      <c r="E1763" s="2"/>
      <c r="F1763" s="2"/>
      <c r="O1763" s="2"/>
    </row>
    <row r="1764" spans="2:15" s="1" customFormat="1" x14ac:dyDescent="0.25">
      <c r="B1764" s="12"/>
      <c r="D1764" s="23"/>
      <c r="E1764" s="2"/>
      <c r="F1764" s="2"/>
      <c r="O1764" s="2"/>
    </row>
    <row r="1765" spans="2:15" s="1" customFormat="1" x14ac:dyDescent="0.25">
      <c r="B1765" s="12"/>
      <c r="D1765" s="23"/>
      <c r="E1765" s="2"/>
      <c r="F1765" s="2"/>
      <c r="O1765" s="2"/>
    </row>
    <row r="1766" spans="2:15" s="1" customFormat="1" x14ac:dyDescent="0.25">
      <c r="B1766" s="12"/>
      <c r="D1766" s="23"/>
      <c r="E1766" s="2"/>
      <c r="F1766" s="2"/>
      <c r="O1766" s="2"/>
    </row>
    <row r="1767" spans="2:15" s="1" customFormat="1" x14ac:dyDescent="0.25">
      <c r="B1767" s="12"/>
      <c r="D1767" s="23"/>
      <c r="E1767" s="2"/>
      <c r="F1767" s="2"/>
      <c r="O1767" s="2"/>
    </row>
    <row r="1768" spans="2:15" s="1" customFormat="1" x14ac:dyDescent="0.25">
      <c r="B1768" s="12"/>
      <c r="D1768" s="23"/>
      <c r="E1768" s="2"/>
      <c r="F1768" s="2"/>
      <c r="O1768" s="2"/>
    </row>
    <row r="1769" spans="2:15" s="1" customFormat="1" x14ac:dyDescent="0.25">
      <c r="B1769" s="12"/>
      <c r="D1769" s="23"/>
      <c r="E1769" s="2"/>
      <c r="F1769" s="2"/>
      <c r="O1769" s="2"/>
    </row>
    <row r="1770" spans="2:15" s="1" customFormat="1" x14ac:dyDescent="0.25">
      <c r="B1770" s="12"/>
      <c r="D1770" s="23"/>
      <c r="E1770" s="2"/>
      <c r="F1770" s="2"/>
      <c r="O1770" s="2"/>
    </row>
    <row r="1771" spans="2:15" s="1" customFormat="1" x14ac:dyDescent="0.25">
      <c r="B1771" s="12"/>
      <c r="D1771" s="23"/>
      <c r="E1771" s="2"/>
      <c r="F1771" s="2"/>
      <c r="O1771" s="2"/>
    </row>
    <row r="1772" spans="2:15" s="1" customFormat="1" x14ac:dyDescent="0.25">
      <c r="B1772" s="12"/>
      <c r="D1772" s="23"/>
      <c r="E1772" s="2"/>
      <c r="F1772" s="2"/>
      <c r="O1772" s="2"/>
    </row>
    <row r="1773" spans="2:15" s="1" customFormat="1" x14ac:dyDescent="0.25">
      <c r="B1773" s="12"/>
      <c r="D1773" s="23"/>
      <c r="E1773" s="2"/>
      <c r="F1773" s="2"/>
      <c r="O1773" s="2"/>
    </row>
    <row r="1774" spans="2:15" s="1" customFormat="1" x14ac:dyDescent="0.25">
      <c r="B1774" s="12"/>
      <c r="D1774" s="23"/>
      <c r="E1774" s="2"/>
      <c r="F1774" s="2"/>
      <c r="O1774" s="2"/>
    </row>
    <row r="1775" spans="2:15" s="1" customFormat="1" x14ac:dyDescent="0.25">
      <c r="B1775" s="12"/>
      <c r="D1775" s="23"/>
      <c r="E1775" s="2"/>
      <c r="F1775" s="2"/>
      <c r="O1775" s="2"/>
    </row>
    <row r="1776" spans="2:15" s="1" customFormat="1" x14ac:dyDescent="0.25">
      <c r="B1776" s="12"/>
      <c r="D1776" s="23"/>
      <c r="E1776" s="2"/>
      <c r="F1776" s="2"/>
      <c r="O1776" s="2"/>
    </row>
    <row r="1777" spans="2:15" s="1" customFormat="1" x14ac:dyDescent="0.25">
      <c r="B1777" s="12"/>
      <c r="D1777" s="23"/>
      <c r="E1777" s="2"/>
      <c r="F1777" s="2"/>
      <c r="O1777" s="2"/>
    </row>
    <row r="1778" spans="2:15" s="1" customFormat="1" x14ac:dyDescent="0.25">
      <c r="B1778" s="12"/>
      <c r="D1778" s="23"/>
      <c r="E1778" s="2"/>
      <c r="F1778" s="2"/>
      <c r="O1778" s="2"/>
    </row>
    <row r="1779" spans="2:15" s="1" customFormat="1" x14ac:dyDescent="0.25">
      <c r="B1779" s="12"/>
      <c r="D1779" s="23"/>
      <c r="E1779" s="2"/>
      <c r="F1779" s="2"/>
      <c r="O1779" s="2"/>
    </row>
    <row r="1780" spans="2:15" s="1" customFormat="1" x14ac:dyDescent="0.25">
      <c r="B1780" s="12"/>
      <c r="D1780" s="23"/>
      <c r="E1780" s="2"/>
      <c r="F1780" s="2"/>
      <c r="O1780" s="2"/>
    </row>
    <row r="1781" spans="2:15" s="1" customFormat="1" x14ac:dyDescent="0.25">
      <c r="B1781" s="12"/>
      <c r="D1781" s="23"/>
      <c r="E1781" s="2"/>
      <c r="F1781" s="2"/>
      <c r="O1781" s="2"/>
    </row>
    <row r="1782" spans="2:15" s="1" customFormat="1" x14ac:dyDescent="0.25">
      <c r="B1782" s="12"/>
      <c r="D1782" s="23"/>
      <c r="E1782" s="2"/>
      <c r="F1782" s="2"/>
      <c r="O1782" s="2"/>
    </row>
    <row r="1783" spans="2:15" s="1" customFormat="1" x14ac:dyDescent="0.25">
      <c r="B1783" s="12"/>
      <c r="D1783" s="23"/>
      <c r="E1783" s="2"/>
      <c r="F1783" s="2"/>
      <c r="O1783" s="2"/>
    </row>
    <row r="1784" spans="2:15" s="1" customFormat="1" x14ac:dyDescent="0.25">
      <c r="B1784" s="12"/>
      <c r="D1784" s="23"/>
      <c r="E1784" s="2"/>
      <c r="F1784" s="2"/>
      <c r="O1784" s="2"/>
    </row>
    <row r="1785" spans="2:15" s="1" customFormat="1" x14ac:dyDescent="0.25">
      <c r="B1785" s="12"/>
      <c r="D1785" s="23"/>
      <c r="E1785" s="2"/>
      <c r="F1785" s="2"/>
      <c r="O1785" s="2"/>
    </row>
    <row r="1786" spans="2:15" s="1" customFormat="1" x14ac:dyDescent="0.25">
      <c r="B1786" s="12"/>
      <c r="D1786" s="23"/>
      <c r="E1786" s="2"/>
      <c r="F1786" s="2"/>
      <c r="O1786" s="2"/>
    </row>
    <row r="1787" spans="2:15" s="1" customFormat="1" x14ac:dyDescent="0.25">
      <c r="B1787" s="12"/>
      <c r="D1787" s="23"/>
      <c r="E1787" s="2"/>
      <c r="F1787" s="2"/>
      <c r="O1787" s="2"/>
    </row>
    <row r="1788" spans="2:15" s="1" customFormat="1" x14ac:dyDescent="0.25">
      <c r="B1788" s="12"/>
      <c r="D1788" s="23"/>
      <c r="E1788" s="2"/>
      <c r="F1788" s="2"/>
      <c r="O1788" s="2"/>
    </row>
    <row r="1789" spans="2:15" s="1" customFormat="1" x14ac:dyDescent="0.25">
      <c r="B1789" s="12"/>
      <c r="D1789" s="23"/>
      <c r="E1789" s="2"/>
      <c r="F1789" s="2"/>
      <c r="O1789" s="2"/>
    </row>
    <row r="1790" spans="2:15" s="1" customFormat="1" x14ac:dyDescent="0.25">
      <c r="B1790" s="12"/>
      <c r="D1790" s="23"/>
      <c r="E1790" s="2"/>
      <c r="F1790" s="2"/>
      <c r="O1790" s="2"/>
    </row>
    <row r="1791" spans="2:15" s="1" customFormat="1" x14ac:dyDescent="0.25">
      <c r="B1791" s="12"/>
      <c r="D1791" s="23"/>
      <c r="E1791" s="2"/>
      <c r="F1791" s="2"/>
      <c r="O1791" s="2"/>
    </row>
    <row r="1792" spans="2:15" s="1" customFormat="1" x14ac:dyDescent="0.25">
      <c r="B1792" s="12"/>
      <c r="D1792" s="23"/>
      <c r="E1792" s="2"/>
      <c r="F1792" s="2"/>
      <c r="O1792" s="2"/>
    </row>
    <row r="1793" spans="2:15" s="1" customFormat="1" x14ac:dyDescent="0.25">
      <c r="B1793" s="12"/>
      <c r="D1793" s="23"/>
      <c r="E1793" s="2"/>
      <c r="F1793" s="2"/>
      <c r="O1793" s="2"/>
    </row>
    <row r="1794" spans="2:15" s="1" customFormat="1" x14ac:dyDescent="0.25">
      <c r="B1794" s="12"/>
      <c r="D1794" s="23"/>
      <c r="E1794" s="2"/>
      <c r="F1794" s="2"/>
      <c r="O1794" s="2"/>
    </row>
    <row r="1795" spans="2:15" s="1" customFormat="1" x14ac:dyDescent="0.25">
      <c r="B1795" s="12"/>
      <c r="D1795" s="23"/>
      <c r="E1795" s="2"/>
      <c r="F1795" s="2"/>
      <c r="O1795" s="2"/>
    </row>
    <row r="1796" spans="2:15" s="1" customFormat="1" x14ac:dyDescent="0.25">
      <c r="B1796" s="12"/>
      <c r="D1796" s="23"/>
      <c r="E1796" s="2"/>
      <c r="F1796" s="2"/>
      <c r="O1796" s="2"/>
    </row>
    <row r="1797" spans="2:15" s="1" customFormat="1" x14ac:dyDescent="0.25">
      <c r="B1797" s="12"/>
      <c r="D1797" s="23"/>
      <c r="E1797" s="2"/>
      <c r="F1797" s="2"/>
      <c r="O1797" s="2"/>
    </row>
    <row r="1798" spans="2:15" s="1" customFormat="1" x14ac:dyDescent="0.25">
      <c r="B1798" s="12"/>
      <c r="D1798" s="23"/>
      <c r="E1798" s="2"/>
      <c r="F1798" s="2"/>
      <c r="O1798" s="2"/>
    </row>
    <row r="1799" spans="2:15" s="1" customFormat="1" x14ac:dyDescent="0.25">
      <c r="B1799" s="12"/>
      <c r="D1799" s="23"/>
      <c r="E1799" s="2"/>
      <c r="F1799" s="2"/>
      <c r="O1799" s="2"/>
    </row>
    <row r="1800" spans="2:15" s="1" customFormat="1" x14ac:dyDescent="0.25">
      <c r="B1800" s="12"/>
      <c r="D1800" s="23"/>
      <c r="E1800" s="2"/>
      <c r="F1800" s="2"/>
      <c r="O1800" s="2"/>
    </row>
    <row r="1801" spans="2:15" s="1" customFormat="1" x14ac:dyDescent="0.25">
      <c r="B1801" s="12"/>
      <c r="D1801" s="23"/>
      <c r="E1801" s="2"/>
      <c r="F1801" s="2"/>
      <c r="O1801" s="2"/>
    </row>
    <row r="1802" spans="2:15" s="1" customFormat="1" x14ac:dyDescent="0.25">
      <c r="B1802" s="12"/>
      <c r="D1802" s="23"/>
      <c r="E1802" s="2"/>
      <c r="F1802" s="2"/>
      <c r="O1802" s="2"/>
    </row>
    <row r="1803" spans="2:15" s="1" customFormat="1" x14ac:dyDescent="0.25">
      <c r="B1803" s="12"/>
      <c r="D1803" s="23"/>
      <c r="E1803" s="2"/>
      <c r="F1803" s="2"/>
      <c r="O1803" s="2"/>
    </row>
    <row r="1804" spans="2:15" s="1" customFormat="1" x14ac:dyDescent="0.25">
      <c r="B1804" s="12"/>
      <c r="D1804" s="23"/>
      <c r="E1804" s="2"/>
      <c r="F1804" s="2"/>
      <c r="O1804" s="2"/>
    </row>
    <row r="1805" spans="2:15" s="1" customFormat="1" x14ac:dyDescent="0.25">
      <c r="B1805" s="12"/>
      <c r="D1805" s="23"/>
      <c r="E1805" s="2"/>
      <c r="F1805" s="2"/>
      <c r="O1805" s="2"/>
    </row>
    <row r="1806" spans="2:15" s="1" customFormat="1" x14ac:dyDescent="0.25">
      <c r="B1806" s="12"/>
      <c r="D1806" s="23"/>
      <c r="E1806" s="2"/>
      <c r="F1806" s="2"/>
      <c r="O1806" s="2"/>
    </row>
    <row r="1807" spans="2:15" s="1" customFormat="1" x14ac:dyDescent="0.25">
      <c r="B1807" s="12"/>
      <c r="D1807" s="23"/>
      <c r="E1807" s="2"/>
      <c r="F1807" s="2"/>
      <c r="O1807" s="2"/>
    </row>
    <row r="1808" spans="2:15" s="1" customFormat="1" x14ac:dyDescent="0.25">
      <c r="B1808" s="12"/>
      <c r="D1808" s="23"/>
      <c r="E1808" s="2"/>
      <c r="F1808" s="2"/>
      <c r="O1808" s="2"/>
    </row>
    <row r="1809" spans="2:15" s="1" customFormat="1" x14ac:dyDescent="0.25">
      <c r="B1809" s="12"/>
      <c r="D1809" s="23"/>
      <c r="E1809" s="2"/>
      <c r="F1809" s="2"/>
      <c r="O1809" s="2"/>
    </row>
    <row r="1810" spans="2:15" s="1" customFormat="1" x14ac:dyDescent="0.25">
      <c r="B1810" s="12"/>
      <c r="D1810" s="23"/>
      <c r="E1810" s="2"/>
      <c r="F1810" s="2"/>
      <c r="O1810" s="2"/>
    </row>
    <row r="1811" spans="2:15" s="1" customFormat="1" x14ac:dyDescent="0.25">
      <c r="B1811" s="12"/>
      <c r="D1811" s="23"/>
      <c r="E1811" s="2"/>
      <c r="F1811" s="2"/>
      <c r="O1811" s="2"/>
    </row>
    <row r="1812" spans="2:15" s="1" customFormat="1" x14ac:dyDescent="0.25">
      <c r="B1812" s="12"/>
      <c r="D1812" s="23"/>
      <c r="E1812" s="2"/>
      <c r="F1812" s="2"/>
      <c r="O1812" s="2"/>
    </row>
    <row r="1813" spans="2:15" s="1" customFormat="1" x14ac:dyDescent="0.25">
      <c r="B1813" s="12"/>
      <c r="D1813" s="23"/>
      <c r="E1813" s="2"/>
      <c r="F1813" s="2"/>
      <c r="O1813" s="2"/>
    </row>
    <row r="1814" spans="2:15" s="1" customFormat="1" x14ac:dyDescent="0.25">
      <c r="B1814" s="12"/>
      <c r="D1814" s="23"/>
      <c r="E1814" s="2"/>
      <c r="F1814" s="2"/>
      <c r="O1814" s="2"/>
    </row>
    <row r="1815" spans="2:15" s="1" customFormat="1" x14ac:dyDescent="0.25">
      <c r="B1815" s="12"/>
      <c r="D1815" s="23"/>
      <c r="E1815" s="2"/>
      <c r="F1815" s="2"/>
      <c r="O1815" s="2"/>
    </row>
    <row r="1816" spans="2:15" s="1" customFormat="1" x14ac:dyDescent="0.25">
      <c r="B1816" s="12"/>
      <c r="D1816" s="23"/>
      <c r="E1816" s="2"/>
      <c r="F1816" s="2"/>
      <c r="O1816" s="2"/>
    </row>
    <row r="1817" spans="2:15" s="1" customFormat="1" x14ac:dyDescent="0.25">
      <c r="B1817" s="12"/>
      <c r="D1817" s="23"/>
      <c r="E1817" s="2"/>
      <c r="F1817" s="2"/>
      <c r="O1817" s="2"/>
    </row>
    <row r="1818" spans="2:15" s="1" customFormat="1" x14ac:dyDescent="0.25">
      <c r="B1818" s="12"/>
      <c r="D1818" s="23"/>
      <c r="E1818" s="2"/>
      <c r="F1818" s="2"/>
      <c r="O1818" s="2"/>
    </row>
    <row r="1819" spans="2:15" s="1" customFormat="1" x14ac:dyDescent="0.25">
      <c r="B1819" s="12"/>
      <c r="D1819" s="23"/>
      <c r="E1819" s="2"/>
      <c r="F1819" s="2"/>
      <c r="O1819" s="2"/>
    </row>
    <row r="1820" spans="2:15" s="1" customFormat="1" x14ac:dyDescent="0.25">
      <c r="B1820" s="12"/>
      <c r="D1820" s="23"/>
      <c r="E1820" s="2"/>
      <c r="F1820" s="2"/>
      <c r="O1820" s="2"/>
    </row>
    <row r="1821" spans="2:15" s="1" customFormat="1" x14ac:dyDescent="0.25">
      <c r="B1821" s="12"/>
      <c r="D1821" s="23"/>
      <c r="E1821" s="2"/>
      <c r="F1821" s="2"/>
      <c r="O1821" s="2"/>
    </row>
    <row r="1822" spans="2:15" s="1" customFormat="1" x14ac:dyDescent="0.25">
      <c r="B1822" s="12"/>
      <c r="D1822" s="23"/>
      <c r="E1822" s="2"/>
      <c r="F1822" s="2"/>
      <c r="O1822" s="2"/>
    </row>
  </sheetData>
  <autoFilter ref="D18:F221" xr:uid="{5DECCCAD-C643-415D-B43A-D10DC57B0BD5}"/>
  <mergeCells count="34">
    <mergeCell ref="D239:F239"/>
    <mergeCell ref="G239:H239"/>
    <mergeCell ref="S18:T18"/>
    <mergeCell ref="G230:I230"/>
    <mergeCell ref="K230:M230"/>
    <mergeCell ref="O230:Q230"/>
    <mergeCell ref="D238:R238"/>
    <mergeCell ref="K239:L239"/>
    <mergeCell ref="O239:P239"/>
    <mergeCell ref="P13:R13"/>
    <mergeCell ref="P14:R14"/>
    <mergeCell ref="H13:J13"/>
    <mergeCell ref="L13:N13"/>
    <mergeCell ref="B18:B19"/>
    <mergeCell ref="C18:C19"/>
    <mergeCell ref="D18:D19"/>
    <mergeCell ref="E18:E19"/>
    <mergeCell ref="F18:F19"/>
    <mergeCell ref="P15:R15"/>
    <mergeCell ref="P16:R16"/>
    <mergeCell ref="P17:R17"/>
    <mergeCell ref="H17:J17"/>
    <mergeCell ref="L17:N17"/>
    <mergeCell ref="H14:J14"/>
    <mergeCell ref="L14:N14"/>
    <mergeCell ref="H15:J15"/>
    <mergeCell ref="L15:N15"/>
    <mergeCell ref="H16:J16"/>
    <mergeCell ref="L16:N16"/>
    <mergeCell ref="E1:H1"/>
    <mergeCell ref="E2:H2"/>
    <mergeCell ref="E3:H3"/>
    <mergeCell ref="E4:H4"/>
    <mergeCell ref="M4:N4"/>
  </mergeCells>
  <phoneticPr fontId="4" type="noConversion"/>
  <hyperlinks>
    <hyperlink ref="H17" r:id="rId1" xr:uid="{40ABA9F0-E5DF-4B22-95AA-E5F078318E31}"/>
    <hyperlink ref="L17" r:id="rId2" display="proyectosconstruobrasdj@gmail.com" xr:uid="{2F2606B8-6DB8-4AB6-A6F1-BEAF00D5A1B2}"/>
    <hyperlink ref="P17" r:id="rId3" xr:uid="{9A161142-6157-40EA-9A32-826F43B1C506}"/>
  </hyperlinks>
  <printOptions horizontalCentered="1" verticalCentered="1"/>
  <pageMargins left="0.39370078740157483" right="0.39370078740157483" top="0.39370078740157483" bottom="0.39370078740157483" header="0" footer="0"/>
  <pageSetup paperSize="5" scale="19" fitToHeight="3" orientation="portrait" r:id="rId4"/>
  <headerFooter alignWithMargins="0"/>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0F5A-951A-4C70-AB1C-5ADC613A9C23}">
  <dimension ref="A1"/>
  <sheetViews>
    <sheetView showGridLines="0" workbookViewId="0">
      <selection activeCell="N17" sqref="N17"/>
    </sheetView>
  </sheetViews>
  <sheetFormatPr baseColWidth="10" defaultRowHeight="13.2" x14ac:dyDescent="0.25"/>
  <cols>
    <col min="2" max="2" width="18.6640625" customWidth="1"/>
    <col min="4" max="4" width="34.6640625"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DB76-7596-4404-8444-B9048B441482}">
  <dimension ref="A1"/>
  <sheetViews>
    <sheetView showGridLines="0" workbookViewId="0">
      <selection activeCell="P9" sqref="P9"/>
    </sheetView>
  </sheetViews>
  <sheetFormatPr baseColWidth="10"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A3A2-155F-450D-A503-86824CCA3F1A}">
  <dimension ref="A1"/>
  <sheetViews>
    <sheetView showGridLines="0" tabSelected="1" workbookViewId="0">
      <selection activeCell="O12" sqref="O12"/>
    </sheetView>
  </sheetViews>
  <sheetFormatPr baseColWidth="10" defaultRowHeight="13.2"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E58333A7FA8ED47AE997B3C051B91C9" ma:contentTypeVersion="14" ma:contentTypeDescription="Crear nuevo documento." ma:contentTypeScope="" ma:versionID="27380c58e825d07aa93672a06e5dfb6f">
  <xsd:schema xmlns:xsd="http://www.w3.org/2001/XMLSchema" xmlns:xs="http://www.w3.org/2001/XMLSchema" xmlns:p="http://schemas.microsoft.com/office/2006/metadata/properties" xmlns:ns2="0e48cec0-cc19-4e5b-84a7-83cb7ff85836" xmlns:ns3="a48abf51-0622-4536-a904-370db087c848" targetNamespace="http://schemas.microsoft.com/office/2006/metadata/properties" ma:root="true" ma:fieldsID="87cf5d9da6c3fac8f592e23c157f04c5" ns2:_="" ns3:_="">
    <xsd:import namespace="0e48cec0-cc19-4e5b-84a7-83cb7ff85836"/>
    <xsd:import namespace="a48abf51-0622-4536-a904-370db087c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48cec0-cc19-4e5b-84a7-83cb7ff858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66a8ef6-8a66-4e83-9a5a-219d91e0ed4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8abf51-0622-4536-a904-370db087c84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a17c5e-5a47-4729-b745-83170dbc06fd}" ma:internalName="TaxCatchAll" ma:showField="CatchAllData" ma:web="a48abf51-0622-4536-a904-370db087c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48abf51-0622-4536-a904-370db087c848" xsi:nil="true"/>
    <lcf76f155ced4ddcb4097134ff3c332f xmlns="0e48cec0-cc19-4e5b-84a7-83cb7ff8583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D37819-DE83-40A9-8531-B3C500B7543D}">
  <ds:schemaRefs>
    <ds:schemaRef ds:uri="http://schemas.microsoft.com/sharepoint/v3/contenttype/forms"/>
  </ds:schemaRefs>
</ds:datastoreItem>
</file>

<file path=customXml/itemProps2.xml><?xml version="1.0" encoding="utf-8"?>
<ds:datastoreItem xmlns:ds="http://schemas.openxmlformats.org/officeDocument/2006/customXml" ds:itemID="{5DAC1A16-D4A7-4A8F-9A7F-3F7C8ED851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48cec0-cc19-4e5b-84a7-83cb7ff85836"/>
    <ds:schemaRef ds:uri="a48abf51-0622-4536-a904-370db087c8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4850AD-EC09-4919-A549-3684EA68B9B8}">
  <ds:schemaRefs>
    <ds:schemaRef ds:uri="http://schemas.microsoft.com/office/2006/metadata/properties"/>
    <ds:schemaRef ds:uri="http://schemas.microsoft.com/office/infopath/2007/PartnerControls"/>
    <ds:schemaRef ds:uri="a48abf51-0622-4536-a904-370db087c848"/>
    <ds:schemaRef ds:uri="0e48cec0-cc19-4e5b-84a7-83cb7ff858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vt:i4>
      </vt:variant>
    </vt:vector>
  </HeadingPairs>
  <TitlesOfParts>
    <vt:vector size="5" baseType="lpstr">
      <vt:lpstr>MANO DE OBRA</vt:lpstr>
      <vt:lpstr>DJ </vt:lpstr>
      <vt:lpstr>MRM</vt:lpstr>
      <vt:lpstr>VALDEZ PALACIO </vt:lpstr>
      <vt:lpstr>'MANO DE OBRA'!Área_de_impresión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Ingant-Zenu3</dc:creator>
  <cp:keywords/>
  <dc:description/>
  <cp:lastModifiedBy>Marbelys Barreto</cp:lastModifiedBy>
  <cp:revision/>
  <dcterms:created xsi:type="dcterms:W3CDTF">2023-01-18T13:32:25Z</dcterms:created>
  <dcterms:modified xsi:type="dcterms:W3CDTF">2026-02-04T16:32:46Z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0x010100EE58333A7FA8ED47AE997B3C051B91C9</vt:lpwstr>
  </property>
  <property fmtid="{D5CDD505-2E9C-101B-9397-08002B2CF9AE}" pid="3" name="Order">
    <vt:r8>975200</vt:r8>
  </property>
  <property fmtid="{D5CDD505-2E9C-101B-9397-08002B2CF9AE}" pid="4" name="MediaServiceImageTags">
    <vt:lpwstr/>
  </property>
</Properties>
</file>