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ingenierosdeantioquia2.sharepoint.com/sites/INGANT/2025/Planeación y Control/FCOT 538-2022 Mant Ant Nutresa (Original)/8. Cuadros Comparativos/2026/Insumos_/"/>
    </mc:Choice>
  </mc:AlternateContent>
  <xr:revisionPtr revIDLastSave="0" documentId="14_{93B0D03A-B1B3-4D7D-A531-473925ACA24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uadro comparativo" sheetId="7" r:id="rId1"/>
    <sheet name="FERROSERVICE" sheetId="11" r:id="rId2"/>
    <sheet name="TIENDAS " sheetId="10" r:id="rId3"/>
    <sheet name="TIG " sheetId="9" r:id="rId4"/>
    <sheet name="PANAMERICANO " sheetId="8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7" l="1"/>
  <c r="E26" i="7"/>
  <c r="G26" i="7"/>
  <c r="I26" i="7"/>
  <c r="K26" i="7"/>
  <c r="M26" i="7"/>
  <c r="E27" i="7"/>
  <c r="G27" i="7"/>
  <c r="I27" i="7"/>
  <c r="K27" i="7"/>
  <c r="M27" i="7"/>
  <c r="E28" i="7"/>
  <c r="G28" i="7"/>
  <c r="I28" i="7"/>
  <c r="K28" i="7"/>
  <c r="M28" i="7"/>
  <c r="E29" i="7"/>
  <c r="G29" i="7"/>
  <c r="I29" i="7"/>
  <c r="K29" i="7"/>
  <c r="M29" i="7"/>
  <c r="E30" i="7"/>
  <c r="G30" i="7"/>
  <c r="I30" i="7"/>
  <c r="K30" i="7"/>
  <c r="M30" i="7"/>
  <c r="E31" i="7"/>
  <c r="G31" i="7"/>
  <c r="I31" i="7"/>
  <c r="K31" i="7"/>
  <c r="M31" i="7"/>
  <c r="E32" i="7"/>
  <c r="G32" i="7"/>
  <c r="I32" i="7"/>
  <c r="K32" i="7"/>
  <c r="M32" i="7"/>
  <c r="E33" i="7"/>
  <c r="G33" i="7"/>
  <c r="I33" i="7"/>
  <c r="K33" i="7"/>
  <c r="M33" i="7"/>
  <c r="E34" i="7"/>
  <c r="G34" i="7"/>
  <c r="I34" i="7"/>
  <c r="K34" i="7"/>
  <c r="M34" i="7"/>
  <c r="E35" i="7"/>
  <c r="G35" i="7"/>
  <c r="I35" i="7"/>
  <c r="K35" i="7"/>
  <c r="M35" i="7"/>
  <c r="E36" i="7"/>
  <c r="G36" i="7"/>
  <c r="I36" i="7"/>
  <c r="K36" i="7"/>
  <c r="M36" i="7"/>
  <c r="E37" i="7"/>
  <c r="G37" i="7"/>
  <c r="I37" i="7"/>
  <c r="K37" i="7"/>
  <c r="M37" i="7"/>
  <c r="E38" i="7"/>
  <c r="G38" i="7"/>
  <c r="I38" i="7"/>
  <c r="K38" i="7"/>
  <c r="M38" i="7"/>
  <c r="E39" i="7"/>
  <c r="G39" i="7"/>
  <c r="I39" i="7"/>
  <c r="K39" i="7"/>
  <c r="M39" i="7"/>
  <c r="E40" i="7"/>
  <c r="G40" i="7"/>
  <c r="I40" i="7"/>
  <c r="K40" i="7"/>
  <c r="M40" i="7"/>
  <c r="G41" i="7"/>
  <c r="I41" i="7"/>
  <c r="K41" i="7"/>
  <c r="M41" i="7"/>
  <c r="E42" i="7"/>
  <c r="G42" i="7"/>
  <c r="I42" i="7"/>
  <c r="K42" i="7"/>
  <c r="M42" i="7"/>
  <c r="E43" i="7"/>
  <c r="G43" i="7"/>
  <c r="I43" i="7"/>
  <c r="K43" i="7"/>
  <c r="M43" i="7"/>
  <c r="E44" i="7"/>
  <c r="G44" i="7"/>
  <c r="I44" i="7"/>
  <c r="K44" i="7"/>
  <c r="M44" i="7"/>
  <c r="E14" i="7"/>
  <c r="D57" i="7"/>
  <c r="O29" i="7" l="1"/>
  <c r="P29" i="7" s="1"/>
  <c r="O41" i="7"/>
  <c r="P41" i="7" s="1"/>
  <c r="O42" i="7"/>
  <c r="O34" i="7"/>
  <c r="O37" i="7"/>
  <c r="O39" i="7"/>
  <c r="O31" i="7"/>
  <c r="E41" i="7"/>
  <c r="O44" i="7"/>
  <c r="O36" i="7"/>
  <c r="O28" i="7"/>
  <c r="O33" i="7"/>
  <c r="O38" i="7"/>
  <c r="O30" i="7"/>
  <c r="O43" i="7"/>
  <c r="O35" i="7"/>
  <c r="O27" i="7"/>
  <c r="O40" i="7"/>
  <c r="O32" i="7"/>
  <c r="O26" i="7"/>
  <c r="O12" i="7"/>
  <c r="E12" i="7"/>
  <c r="E20" i="7"/>
  <c r="G20" i="7"/>
  <c r="I20" i="7"/>
  <c r="K20" i="7"/>
  <c r="M20" i="7"/>
  <c r="O20" i="7"/>
  <c r="E21" i="7"/>
  <c r="G21" i="7"/>
  <c r="I21" i="7"/>
  <c r="K21" i="7"/>
  <c r="M21" i="7"/>
  <c r="O21" i="7"/>
  <c r="E22" i="7"/>
  <c r="G22" i="7"/>
  <c r="I22" i="7"/>
  <c r="K22" i="7"/>
  <c r="M22" i="7"/>
  <c r="O22" i="7"/>
  <c r="E23" i="7"/>
  <c r="G23" i="7"/>
  <c r="I23" i="7"/>
  <c r="K23" i="7"/>
  <c r="M23" i="7"/>
  <c r="O23" i="7"/>
  <c r="P23" i="7" s="1"/>
  <c r="P43" i="7" l="1"/>
  <c r="P30" i="7"/>
  <c r="P39" i="7"/>
  <c r="P31" i="7"/>
  <c r="P38" i="7"/>
  <c r="P37" i="7"/>
  <c r="P34" i="7"/>
  <c r="P35" i="7"/>
  <c r="P33" i="7"/>
  <c r="P32" i="7"/>
  <c r="P28" i="7"/>
  <c r="P40" i="7"/>
  <c r="P36" i="7"/>
  <c r="P42" i="7"/>
  <c r="P27" i="7"/>
  <c r="P44" i="7"/>
  <c r="P26" i="7"/>
  <c r="P20" i="7"/>
  <c r="P21" i="7"/>
  <c r="P22" i="7"/>
  <c r="E25" i="7"/>
  <c r="G25" i="7"/>
  <c r="I25" i="7"/>
  <c r="K25" i="7"/>
  <c r="M25" i="7"/>
  <c r="O25" i="7"/>
  <c r="F57" i="7"/>
  <c r="H57" i="7"/>
  <c r="J57" i="7"/>
  <c r="L57" i="7"/>
  <c r="P25" i="7" l="1"/>
  <c r="F69" i="7"/>
  <c r="H69" i="7"/>
  <c r="J69" i="7"/>
  <c r="L69" i="7"/>
  <c r="D69" i="7"/>
  <c r="R13" i="7"/>
  <c r="R14" i="7" s="1"/>
  <c r="R15" i="7" s="1"/>
  <c r="R16" i="7" s="1"/>
  <c r="R17" i="7" s="1"/>
  <c r="R18" i="7" s="1"/>
  <c r="R19" i="7" s="1"/>
  <c r="R20" i="7" s="1"/>
  <c r="O16" i="7"/>
  <c r="P16" i="7" s="1"/>
  <c r="O17" i="7"/>
  <c r="P17" i="7" s="1"/>
  <c r="O18" i="7"/>
  <c r="P18" i="7" s="1"/>
  <c r="O19" i="7"/>
  <c r="P19" i="7" s="1"/>
  <c r="O24" i="7"/>
  <c r="P24" i="7" s="1"/>
  <c r="O15" i="7"/>
  <c r="P15" i="7" s="1"/>
  <c r="O13" i="7"/>
  <c r="P13" i="7" s="1"/>
  <c r="O14" i="7"/>
  <c r="P14" i="7" s="1"/>
  <c r="P12" i="7"/>
  <c r="M24" i="7"/>
  <c r="K24" i="7"/>
  <c r="I24" i="7"/>
  <c r="G24" i="7"/>
  <c r="E24" i="7"/>
  <c r="M12" i="7"/>
  <c r="M13" i="7"/>
  <c r="M14" i="7"/>
  <c r="M15" i="7"/>
  <c r="M16" i="7"/>
  <c r="K12" i="7"/>
  <c r="K13" i="7"/>
  <c r="K14" i="7"/>
  <c r="K15" i="7"/>
  <c r="I13" i="7"/>
  <c r="I14" i="7"/>
  <c r="I15" i="7"/>
  <c r="I16" i="7"/>
  <c r="G14" i="7"/>
  <c r="G15" i="7"/>
  <c r="E13" i="7"/>
  <c r="E15" i="7"/>
  <c r="E16" i="7"/>
  <c r="E17" i="7"/>
  <c r="E18" i="7"/>
  <c r="R21" i="7" l="1"/>
  <c r="P46" i="7"/>
  <c r="P48" i="7" s="1"/>
  <c r="P49" i="7" s="1"/>
  <c r="R22" i="7" l="1"/>
  <c r="P47" i="7"/>
  <c r="R23" i="7" l="1"/>
  <c r="I19" i="7"/>
  <c r="M17" i="7"/>
  <c r="M18" i="7"/>
  <c r="M19" i="7"/>
  <c r="K16" i="7"/>
  <c r="K17" i="7"/>
  <c r="K18" i="7"/>
  <c r="K19" i="7"/>
  <c r="I12" i="7"/>
  <c r="I17" i="7"/>
  <c r="I18" i="7"/>
  <c r="G12" i="7"/>
  <c r="G16" i="7"/>
  <c r="G17" i="7"/>
  <c r="G18" i="7"/>
  <c r="G19" i="7"/>
  <c r="E19" i="7"/>
  <c r="R24" i="7" l="1"/>
  <c r="I46" i="7"/>
  <c r="M46" i="7"/>
  <c r="M48" i="7" s="1"/>
  <c r="M49" i="7" s="1"/>
  <c r="E46" i="7"/>
  <c r="K46" i="7"/>
  <c r="K47" i="7" s="1"/>
  <c r="G46" i="7"/>
  <c r="G48" i="7" l="1"/>
  <c r="G49" i="7" s="1"/>
  <c r="I47" i="7"/>
  <c r="I48" i="7"/>
  <c r="I49" i="7" s="1"/>
  <c r="E48" i="7"/>
  <c r="E49" i="7" s="1"/>
  <c r="R25" i="7"/>
  <c r="R26" i="7" s="1"/>
  <c r="R27" i="7" s="1"/>
  <c r="R28" i="7" s="1"/>
  <c r="R29" i="7" s="1"/>
  <c r="R30" i="7" s="1"/>
  <c r="R31" i="7" s="1"/>
  <c r="R32" i="7" s="1"/>
  <c r="R33" i="7" s="1"/>
  <c r="R34" i="7" s="1"/>
  <c r="R35" i="7" s="1"/>
  <c r="R36" i="7" s="1"/>
  <c r="M47" i="7"/>
  <c r="E47" i="7"/>
  <c r="G47" i="7"/>
  <c r="R37" i="7" l="1"/>
  <c r="R38" i="7" l="1"/>
  <c r="R39" i="7" l="1"/>
  <c r="R40" i="7" l="1"/>
  <c r="R41" i="7" l="1"/>
  <c r="R42" i="7" l="1"/>
  <c r="R43" i="7" l="1"/>
  <c r="R44" i="7" l="1"/>
  <c r="R45" i="7" l="1"/>
  <c r="R46" i="7" l="1"/>
  <c r="R47" i="7" l="1"/>
  <c r="R48" i="7" l="1"/>
  <c r="R49" i="7" l="1"/>
  <c r="R50" i="7" l="1"/>
  <c r="R51" i="7" l="1"/>
  <c r="R52" i="7" l="1"/>
  <c r="R53" i="7" l="1"/>
  <c r="R54" i="7" l="1"/>
  <c r="R55" i="7" l="1"/>
  <c r="R56" i="7" l="1"/>
  <c r="R57" i="7" l="1"/>
  <c r="Q54" i="7"/>
  <c r="Q57" i="7" l="1"/>
  <c r="Q27" i="7"/>
  <c r="N27" i="7" s="1"/>
  <c r="Q28" i="7"/>
  <c r="N28" i="7" s="1"/>
  <c r="Q29" i="7"/>
  <c r="N29" i="7" s="1"/>
  <c r="Q31" i="7"/>
  <c r="N31" i="7" s="1"/>
  <c r="Q30" i="7"/>
  <c r="N30" i="7" s="1"/>
  <c r="Q32" i="7"/>
  <c r="N32" i="7" s="1"/>
  <c r="Q33" i="7"/>
  <c r="N33" i="7" s="1"/>
  <c r="Q38" i="7"/>
  <c r="N38" i="7" s="1"/>
  <c r="Q34" i="7"/>
  <c r="N34" i="7" s="1"/>
  <c r="Q35" i="7"/>
  <c r="N35" i="7" s="1"/>
  <c r="Q36" i="7"/>
  <c r="N36" i="7" s="1"/>
  <c r="Q37" i="7"/>
  <c r="N37" i="7" s="1"/>
  <c r="Q17" i="7"/>
  <c r="N17" i="7" s="1"/>
  <c r="Q14" i="7"/>
  <c r="N14" i="7" s="1"/>
  <c r="Q19" i="7"/>
  <c r="N19" i="7" s="1"/>
  <c r="Q15" i="7"/>
  <c r="N15" i="7" s="1"/>
  <c r="Q13" i="7"/>
  <c r="N13" i="7" s="1"/>
  <c r="Q42" i="7"/>
  <c r="N42" i="7" s="1"/>
  <c r="Q26" i="7"/>
  <c r="N26" i="7" s="1"/>
  <c r="Q22" i="7"/>
  <c r="N22" i="7" s="1"/>
  <c r="Q24" i="7"/>
  <c r="N24" i="7" s="1"/>
  <c r="Q12" i="7"/>
  <c r="N12" i="7" s="1"/>
  <c r="Q18" i="7"/>
  <c r="N18" i="7" s="1"/>
  <c r="Q21" i="7"/>
  <c r="N21" i="7" s="1"/>
  <c r="Q39" i="7"/>
  <c r="N39" i="7" s="1"/>
  <c r="Q20" i="7"/>
  <c r="N20" i="7" s="1"/>
  <c r="Q23" i="7"/>
  <c r="N23" i="7" s="1"/>
  <c r="Q25" i="7"/>
  <c r="N25" i="7" s="1"/>
  <c r="Q16" i="7"/>
  <c r="N16" i="7" s="1"/>
  <c r="Q40" i="7"/>
  <c r="N40" i="7" s="1"/>
  <c r="Q41" i="7"/>
  <c r="N41" i="7" s="1"/>
  <c r="Q43" i="7"/>
  <c r="N43" i="7" s="1"/>
  <c r="Q44" i="7"/>
  <c r="N44" i="7" s="1"/>
  <c r="Q46" i="7"/>
  <c r="Q45" i="7"/>
  <c r="Q48" i="7"/>
  <c r="Q50" i="7"/>
  <c r="Q47" i="7"/>
  <c r="Q49" i="7"/>
  <c r="Q51" i="7"/>
  <c r="Q53" i="7"/>
  <c r="Q56" i="7"/>
  <c r="Q52" i="7"/>
  <c r="Q55" i="7"/>
  <c r="D64" i="7" l="1"/>
  <c r="F64" i="7"/>
  <c r="H64" i="7"/>
  <c r="B66" i="7" l="1"/>
</calcChain>
</file>

<file path=xl/sharedStrings.xml><?xml version="1.0" encoding="utf-8"?>
<sst xmlns="http://schemas.openxmlformats.org/spreadsheetml/2006/main" count="103" uniqueCount="80">
  <si>
    <t>CUADRO COMPARATIVO DE PROVEEDORES</t>
  </si>
  <si>
    <t>FF:</t>
  </si>
  <si>
    <t>Código</t>
  </si>
  <si>
    <t>IA-FO-PC013</t>
  </si>
  <si>
    <t>Versión</t>
  </si>
  <si>
    <t>Depto.:</t>
  </si>
  <si>
    <t>Ingeniería</t>
  </si>
  <si>
    <t>Área:</t>
  </si>
  <si>
    <t>Planeación y control</t>
  </si>
  <si>
    <t>Fecha:</t>
  </si>
  <si>
    <t>Proyecto:</t>
  </si>
  <si>
    <t>Dirección:</t>
  </si>
  <si>
    <t>N° Cotización:</t>
  </si>
  <si>
    <t xml:space="preserve">Responsable: </t>
  </si>
  <si>
    <t>Cargo:</t>
  </si>
  <si>
    <t>CUADRO COMPARATIVO DE</t>
  </si>
  <si>
    <t>Descripción del producto</t>
  </si>
  <si>
    <t>Cant.</t>
  </si>
  <si>
    <t>Und.</t>
  </si>
  <si>
    <t>Costos objetivos</t>
  </si>
  <si>
    <t>Valor unitario</t>
  </si>
  <si>
    <t>Subtotal</t>
  </si>
  <si>
    <t>Proveedor</t>
  </si>
  <si>
    <t>Menor valor</t>
  </si>
  <si>
    <t>N/A</t>
  </si>
  <si>
    <t>Descuento</t>
  </si>
  <si>
    <t xml:space="preserve">Iva 19% </t>
  </si>
  <si>
    <t>Total</t>
  </si>
  <si>
    <t>Transporte</t>
  </si>
  <si>
    <t>Incluido</t>
  </si>
  <si>
    <t xml:space="preserve">Iva sobre utilidad (19%) </t>
  </si>
  <si>
    <t>Formas de pago</t>
  </si>
  <si>
    <t>Tiempo de entrega</t>
  </si>
  <si>
    <t>Observaciones</t>
  </si>
  <si>
    <t>Información del proveedor</t>
  </si>
  <si>
    <t xml:space="preserve">Nombre o razón social </t>
  </si>
  <si>
    <t>Cédula o NIT</t>
  </si>
  <si>
    <t>Ciudad</t>
  </si>
  <si>
    <t>Dirección</t>
  </si>
  <si>
    <t>Teléfono</t>
  </si>
  <si>
    <t>Nombre de contacto</t>
  </si>
  <si>
    <t>Correo electrónico</t>
  </si>
  <si>
    <t xml:space="preserve">Participación (%) </t>
  </si>
  <si>
    <t>Decisión final</t>
  </si>
  <si>
    <t>Reponsable de la decisión</t>
  </si>
  <si>
    <t>EDUAR TABORDA</t>
  </si>
  <si>
    <t xml:space="preserve">Amoblamiento </t>
  </si>
  <si>
    <t>MTTO ZENÚ</t>
  </si>
  <si>
    <t>KEVEN VILLA</t>
  </si>
  <si>
    <t>RESIDENTE DE OBRA</t>
  </si>
  <si>
    <t xml:space="preserve">Medellín </t>
  </si>
  <si>
    <t>SOLDADURA ESTAÑO</t>
  </si>
  <si>
    <t>CANASTILLA LAVAPLATOS 4"</t>
  </si>
  <si>
    <t>LIMPIADOR PVC-CPVC 1/4 GAL</t>
  </si>
  <si>
    <t>LLAVE CANILLA BOCAMANGUERA 1/2</t>
  </si>
  <si>
    <t>LLAVE DE PASO LIBRE 1/2</t>
  </si>
  <si>
    <t>TIG</t>
  </si>
  <si>
    <t>TIENDAS</t>
  </si>
  <si>
    <t>FERROSERVICE</t>
  </si>
  <si>
    <t>ALMACEN PANAMERICANO</t>
  </si>
  <si>
    <t>Cra. 48 No. 16-29 Av. Los Industriales</t>
  </si>
  <si>
    <t xml:space="preserve">Juan Camilo Lopez Leiva </t>
  </si>
  <si>
    <t xml:space="preserve">camilo.florez@almacenpanamericano.com.co </t>
  </si>
  <si>
    <t>318 5764877</t>
  </si>
  <si>
    <t xml:space="preserve">SENSOR ORINAL TIG SOBREPUESTO </t>
  </si>
  <si>
    <t xml:space="preserve">SENSOR ORINAL TIG INCRUSTAR </t>
  </si>
  <si>
    <t>Itagui</t>
  </si>
  <si>
    <t>cr 42 75 83</t>
  </si>
  <si>
    <t xml:space="preserve">Claudia Pulgarin </t>
  </si>
  <si>
    <t xml:space="preserve">claudiapulgarin@grifostig.com </t>
  </si>
  <si>
    <t>Cra. 72 #29-32</t>
  </si>
  <si>
    <t>313 6156721</t>
  </si>
  <si>
    <t>302 4541615</t>
  </si>
  <si>
    <t xml:space="preserve">Javier </t>
  </si>
  <si>
    <t>javierpa01@hotmail.com</t>
  </si>
  <si>
    <t>MEDELLIN</t>
  </si>
  <si>
    <t>CR 46 39 41</t>
  </si>
  <si>
    <t>310 8484442</t>
  </si>
  <si>
    <t xml:space="preserve">LARRY </t>
  </si>
  <si>
    <t>carteraferroservice@gmail.com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</si>
</sst>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$&quot;\ * #,##0_-;\-&quot;$&quot;\ * #,##0_-;_-&quot;$&quot;\ * &quot;-&quot;_-;_-@_-"/>
    <numFmt numFmtId="164" formatCode="_-&quot;$&quot;* #,##0.00_-;\-&quot;$&quot;* #,##0.00_-;_-&quot;$&quot;* &quot;-&quot;??_-;_-@_-"/>
    <numFmt numFmtId="165" formatCode="_ * #,##0.00_ ;_ * \-#,##0.00_ ;_ * &quot;-&quot;??_ ;_ @_ "/>
    <numFmt numFmtId="166" formatCode="&quot;$&quot;\ #,##0.00"/>
    <numFmt numFmtId="167" formatCode="&quot;$&quot;\ #,##0"/>
    <numFmt numFmtId="168" formatCode="_ &quot;$&quot;\ * #,##0.00_ ;_ &quot;$&quot;\ * \-#,##0.00_ ;_ &quot;$&quot;\ * &quot;-&quot;??_ ;_ @_ "/>
    <numFmt numFmtId="169" formatCode="_ * #,##0_ ;_ * \-#,##0_ ;_ * &quot;-&quot;_ ;_ @_ "/>
    <numFmt numFmtId="170" formatCode="&quot;$&quot;#,##0.00"/>
  </numFmts>
  <fonts count="1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u/>
      <sz val="9"/>
      <color theme="10"/>
      <name val="Arial"/>
      <family val="2"/>
    </font>
    <font>
      <b/>
      <i/>
      <sz val="9"/>
      <color theme="1"/>
      <name val="Arial"/>
      <family val="2"/>
    </font>
    <font>
      <sz val="8"/>
      <name val="Calibri"/>
      <family val="2"/>
      <scheme val="minor"/>
    </font>
    <font>
      <u/>
      <sz val="8"/>
      <color theme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165" fontId="1" fillId="0" borderId="0" applyFont="0" applyFill="0" applyBorder="0" applyAlignment="0" applyProtection="0"/>
    <xf numFmtId="0" fontId="1" fillId="0" borderId="0"/>
    <xf numFmtId="0" fontId="3" fillId="0" borderId="0" applyNumberFormat="0" applyFill="0" applyBorder="0" applyAlignment="0" applyProtection="0"/>
    <xf numFmtId="0" fontId="4" fillId="0" borderId="0">
      <alignment vertical="center"/>
    </xf>
    <xf numFmtId="168" fontId="1" fillId="0" borderId="0" applyFont="0" applyFill="0" applyBorder="0" applyAlignment="0" applyProtection="0">
      <alignment vertical="center"/>
    </xf>
    <xf numFmtId="169" fontId="1" fillId="0" borderId="0" applyFont="0" applyFill="0" applyBorder="0" applyAlignment="0" applyProtection="0">
      <alignment vertical="center"/>
    </xf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3">
    <xf numFmtId="0" fontId="0" fillId="0" borderId="0" xfId="0"/>
    <xf numFmtId="0" fontId="6" fillId="0" borderId="0" xfId="0" applyFont="1" applyAlignment="1">
      <alignment horizontal="left" vertical="center"/>
    </xf>
    <xf numFmtId="14" fontId="7" fillId="0" borderId="1" xfId="0" applyNumberFormat="1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2" fontId="5" fillId="0" borderId="1" xfId="0" applyNumberFormat="1" applyFont="1" applyBorder="1" applyAlignment="1">
      <alignment vertical="center"/>
    </xf>
    <xf numFmtId="0" fontId="7" fillId="0" borderId="1" xfId="0" applyFont="1" applyBorder="1" applyAlignment="1">
      <alignment horizontal="center" vertical="center"/>
    </xf>
    <xf numFmtId="1" fontId="6" fillId="0" borderId="0" xfId="0" applyNumberFormat="1" applyFont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42" fontId="5" fillId="2" borderId="1" xfId="0" applyNumberFormat="1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6" fillId="5" borderId="1" xfId="0" applyFont="1" applyFill="1" applyBorder="1" applyAlignment="1">
      <alignment horizontal="center" vertical="center" wrapText="1"/>
    </xf>
    <xf numFmtId="42" fontId="5" fillId="5" borderId="1" xfId="0" applyNumberFormat="1" applyFont="1" applyFill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170" fontId="6" fillId="0" borderId="0" xfId="0" applyNumberFormat="1" applyFont="1" applyAlignment="1">
      <alignment vertical="center"/>
    </xf>
    <xf numFmtId="170" fontId="5" fillId="0" borderId="0" xfId="0" applyNumberFormat="1" applyFont="1" applyAlignment="1">
      <alignment vertical="center"/>
    </xf>
    <xf numFmtId="166" fontId="5" fillId="0" borderId="1" xfId="0" applyNumberFormat="1" applyFont="1" applyBorder="1" applyAlignment="1">
      <alignment vertical="center"/>
    </xf>
    <xf numFmtId="167" fontId="5" fillId="0" borderId="1" xfId="0" applyNumberFormat="1" applyFont="1" applyBorder="1" applyAlignment="1">
      <alignment vertical="center"/>
    </xf>
    <xf numFmtId="170" fontId="5" fillId="0" borderId="1" xfId="0" applyNumberFormat="1" applyFont="1" applyBorder="1" applyAlignment="1">
      <alignment vertical="center"/>
    </xf>
    <xf numFmtId="167" fontId="5" fillId="2" borderId="1" xfId="0" applyNumberFormat="1" applyFont="1" applyFill="1" applyBorder="1" applyAlignment="1">
      <alignment vertical="center"/>
    </xf>
    <xf numFmtId="167" fontId="5" fillId="0" borderId="1" xfId="0" applyNumberFormat="1" applyFont="1" applyBorder="1" applyAlignment="1">
      <alignment horizontal="center" vertical="center"/>
    </xf>
    <xf numFmtId="9" fontId="5" fillId="0" borderId="1" xfId="8" applyFont="1" applyBorder="1" applyAlignment="1">
      <alignment vertical="center"/>
    </xf>
    <xf numFmtId="0" fontId="6" fillId="0" borderId="1" xfId="0" applyFont="1" applyBorder="1" applyAlignment="1">
      <alignment vertical="center"/>
    </xf>
    <xf numFmtId="166" fontId="5" fillId="0" borderId="0" xfId="0" applyNumberFormat="1" applyFont="1" applyAlignment="1">
      <alignment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7" fillId="0" borderId="1" xfId="0" applyNumberFormat="1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1" xfId="0" quotePrefix="1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0" fontId="6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left" vertical="center"/>
    </xf>
    <xf numFmtId="166" fontId="5" fillId="0" borderId="1" xfId="0" applyNumberFormat="1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9" fontId="10" fillId="0" borderId="1" xfId="8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10" fillId="0" borderId="1" xfId="3" applyFont="1" applyBorder="1" applyAlignment="1">
      <alignment horizontal="center" vertical="center"/>
    </xf>
    <xf numFmtId="0" fontId="3" fillId="0" borderId="1" xfId="3" applyBorder="1" applyAlignment="1">
      <alignment horizontal="center" vertical="center"/>
    </xf>
    <xf numFmtId="1" fontId="6" fillId="0" borderId="0" xfId="0" applyNumberFormat="1" applyFont="1" applyAlignment="1">
      <alignment horizontal="left" vertical="center"/>
    </xf>
    <xf numFmtId="0" fontId="5" fillId="2" borderId="1" xfId="0" applyFont="1" applyFill="1" applyBorder="1" applyAlignment="1">
      <alignment horizontal="left" vertical="center" wrapText="1"/>
    </xf>
    <xf numFmtId="164" fontId="5" fillId="0" borderId="1" xfId="7" applyFont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13" fillId="0" borderId="1" xfId="3" applyFont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</cellXfs>
  <cellStyles count="9">
    <cellStyle name="Hipervínculo" xfId="3" builtinId="8"/>
    <cellStyle name="Millares [0] 2" xfId="6" xr:uid="{00000000-0005-0000-0000-000001000000}"/>
    <cellStyle name="Millares 2" xfId="1" xr:uid="{00000000-0005-0000-0000-000002000000}"/>
    <cellStyle name="Moneda" xfId="7" builtinId="4"/>
    <cellStyle name="Moneda 2" xfId="5" xr:uid="{00000000-0005-0000-0000-000004000000}"/>
    <cellStyle name="Normal" xfId="0" builtinId="0"/>
    <cellStyle name="Normal 2" xfId="4" xr:uid="{00000000-0005-0000-0000-000006000000}"/>
    <cellStyle name="Normal 2 2" xfId="2" xr:uid="{00000000-0005-0000-0000-000007000000}"/>
    <cellStyle name="Porcentaje" xfId="8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0</xdr:row>
      <xdr:rowOff>200025</xdr:rowOff>
    </xdr:from>
    <xdr:to>
      <xdr:col>10</xdr:col>
      <xdr:colOff>438150</xdr:colOff>
      <xdr:row>2</xdr:row>
      <xdr:rowOff>123825</xdr:rowOff>
    </xdr:to>
    <xdr:sp macro="[0]!Insertar" textlink="">
      <xdr:nvSpPr>
        <xdr:cNvPr id="4" name="Rectángulo: esquina doblad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868150" y="200025"/>
          <a:ext cx="304800" cy="381000"/>
        </a:xfrm>
        <a:prstGeom prst="foldedCorner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>
            <a:ln>
              <a:solidFill>
                <a:sysClr val="windowText" lastClr="000000"/>
              </a:solidFill>
            </a:ln>
          </a:endParaRPr>
        </a:p>
      </xdr:txBody>
    </xdr:sp>
    <xdr:clientData/>
  </xdr:twoCellAnchor>
  <xdr:twoCellAnchor>
    <xdr:from>
      <xdr:col>10</xdr:col>
      <xdr:colOff>457200</xdr:colOff>
      <xdr:row>0</xdr:row>
      <xdr:rowOff>209550</xdr:rowOff>
    </xdr:from>
    <xdr:to>
      <xdr:col>11</xdr:col>
      <xdr:colOff>1009650</xdr:colOff>
      <xdr:row>2</xdr:row>
      <xdr:rowOff>66675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2192000" y="209550"/>
          <a:ext cx="1600200" cy="3143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900" b="1">
              <a:latin typeface="Arial" panose="020B0604020202020204" pitchFamily="34" charset="0"/>
              <a:cs typeface="Arial" panose="020B0604020202020204" pitchFamily="34" charset="0"/>
            </a:rPr>
            <a:t>INSERTAR</a:t>
          </a:r>
          <a:r>
            <a:rPr lang="es-CO" sz="900" b="1" baseline="0">
              <a:latin typeface="Arial" panose="020B0604020202020204" pitchFamily="34" charset="0"/>
              <a:cs typeface="Arial" panose="020B0604020202020204" pitchFamily="34" charset="0"/>
            </a:rPr>
            <a:t> ACTIVIDAD</a:t>
          </a:r>
          <a:endParaRPr lang="es-CO" sz="1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809625</xdr:colOff>
      <xdr:row>0</xdr:row>
      <xdr:rowOff>47627</xdr:rowOff>
    </xdr:from>
    <xdr:to>
      <xdr:col>0</xdr:col>
      <xdr:colOff>2909745</xdr:colOff>
      <xdr:row>2</xdr:row>
      <xdr:rowOff>190501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157183A9-AD74-4CD3-8689-9B6454864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9625" y="47627"/>
          <a:ext cx="2094405" cy="6000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693420</xdr:colOff>
      <xdr:row>0</xdr:row>
      <xdr:rowOff>83820</xdr:rowOff>
    </xdr:from>
    <xdr:to>
      <xdr:col>8</xdr:col>
      <xdr:colOff>107179</xdr:colOff>
      <xdr:row>33</xdr:row>
      <xdr:rowOff>69102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0F913B9-6A53-FCD3-B48D-F1A1B0564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420" y="83820"/>
          <a:ext cx="5753599" cy="602032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</xdr:colOff>
      <xdr:row>0</xdr:row>
      <xdr:rowOff>0</xdr:rowOff>
    </xdr:from>
    <xdr:to>
      <xdr:col>10</xdr:col>
      <xdr:colOff>656063</xdr:colOff>
      <xdr:row>22</xdr:row>
      <xdr:rowOff>68935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4494100-7F00-54C7-4DB9-CD7EAA089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" y="0"/>
          <a:ext cx="8573243" cy="409229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487680</xdr:colOff>
      <xdr:row>0</xdr:row>
      <xdr:rowOff>114300</xdr:rowOff>
    </xdr:from>
    <xdr:to>
      <xdr:col>5</xdr:col>
      <xdr:colOff>53646</xdr:colOff>
      <xdr:row>25</xdr:row>
      <xdr:rowOff>168041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4C837F1-B849-937C-A2B2-4AC89A1667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7680" y="114300"/>
          <a:ext cx="3528366" cy="4625741"/>
        </a:xfrm>
        <a:prstGeom prst="rect">
          <a:avLst/>
        </a:prstGeom>
      </xdr:spPr>
    </xdr:pic>
    <xdr:clientData/>
  </xdr:twoCellAnchor>
  <xdr:twoCellAnchor editAs="oneCell">
    <xdr:from>
      <xdr:col>5</xdr:col>
      <xdr:colOff>190500</xdr:colOff>
      <xdr:row>1</xdr:row>
      <xdr:rowOff>45720</xdr:rowOff>
    </xdr:from>
    <xdr:to>
      <xdr:col>10</xdr:col>
      <xdr:colOff>419463</xdr:colOff>
      <xdr:row>27</xdr:row>
      <xdr:rowOff>30891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21BCC5D-FAE5-377A-FF71-5557E9CB2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52900" y="228600"/>
          <a:ext cx="4191363" cy="474005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6</xdr:col>
      <xdr:colOff>495686</xdr:colOff>
      <xdr:row>36</xdr:row>
      <xdr:rowOff>61520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85CF4A3-8F9E-8B7E-C750-C7FFD2DB6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2480" y="182880"/>
          <a:ext cx="4458086" cy="64623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javierpa01@hotmail.com" TargetMode="External"/><Relationship Id="rId2" Type="http://schemas.openxmlformats.org/officeDocument/2006/relationships/hyperlink" Target="mailto:claudiapulgarin@grifostig.com%20" TargetMode="External"/><Relationship Id="rId1" Type="http://schemas.openxmlformats.org/officeDocument/2006/relationships/hyperlink" Target="mailto:camilo.florez@almacenpanamericano.com.co%20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carteraferroservice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R70"/>
  <sheetViews>
    <sheetView showGridLines="0" tabSelected="1" topLeftCell="A4" zoomScaleNormal="100" zoomScaleSheetLayoutView="90" workbookViewId="0">
      <pane xSplit="3" ySplit="8" topLeftCell="D12" activePane="bottomRight" state="frozen"/>
      <selection activeCell="A4" sqref="A4"/>
      <selection pane="topRight" activeCell="D4" sqref="D4"/>
      <selection pane="bottomLeft" activeCell="A12" sqref="A12"/>
      <selection pane="bottomRight" activeCell="A49" sqref="A49:C49"/>
    </sheetView>
  </sheetViews>
  <sheetFormatPr baseColWidth="10" defaultColWidth="11.44140625" defaultRowHeight="11.4" x14ac:dyDescent="0.3"/>
  <cols>
    <col min="1" max="1" width="47.21875" style="15" customWidth="1"/>
    <col min="2" max="3" width="9.44140625" style="15" customWidth="1"/>
    <col min="4" max="11" width="13.88671875" style="15" customWidth="1"/>
    <col min="12" max="13" width="15.6640625" style="15" hidden="1" customWidth="1"/>
    <col min="14" max="16" width="15.6640625" style="15" customWidth="1"/>
    <col min="17" max="17" width="11.44140625" style="15" customWidth="1"/>
    <col min="18" max="18" width="15" style="15" customWidth="1"/>
    <col min="19" max="16384" width="11.44140625" style="15"/>
  </cols>
  <sheetData>
    <row r="1" spans="1:18" s="3" customFormat="1" ht="18" customHeight="1" x14ac:dyDescent="0.3">
      <c r="A1" s="45"/>
      <c r="B1" s="46"/>
      <c r="C1" s="51" t="s">
        <v>0</v>
      </c>
      <c r="D1" s="52"/>
      <c r="E1" s="52"/>
      <c r="F1" s="52"/>
      <c r="G1" s="52"/>
      <c r="H1" s="52"/>
      <c r="I1" s="5" t="s">
        <v>1</v>
      </c>
      <c r="J1" s="2">
        <v>43655</v>
      </c>
    </row>
    <row r="2" spans="1:18" s="3" customFormat="1" ht="18" customHeight="1" x14ac:dyDescent="0.3">
      <c r="A2" s="47"/>
      <c r="B2" s="48"/>
      <c r="C2" s="52"/>
      <c r="D2" s="52"/>
      <c r="E2" s="52"/>
      <c r="F2" s="52"/>
      <c r="G2" s="52"/>
      <c r="H2" s="52"/>
      <c r="I2" s="5" t="s">
        <v>2</v>
      </c>
      <c r="J2" s="5" t="s">
        <v>3</v>
      </c>
    </row>
    <row r="3" spans="1:18" s="3" customFormat="1" ht="18" customHeight="1" x14ac:dyDescent="0.3">
      <c r="A3" s="49"/>
      <c r="B3" s="50"/>
      <c r="C3" s="52"/>
      <c r="D3" s="52"/>
      <c r="E3" s="52"/>
      <c r="F3" s="52"/>
      <c r="G3" s="52"/>
      <c r="H3" s="52"/>
      <c r="I3" s="5" t="s">
        <v>4</v>
      </c>
      <c r="J3" s="5">
        <v>1</v>
      </c>
    </row>
    <row r="4" spans="1:18" s="3" customFormat="1" ht="18" customHeight="1" x14ac:dyDescent="0.3">
      <c r="A4" s="36" t="s">
        <v>5</v>
      </c>
      <c r="B4" s="36"/>
      <c r="C4" s="36" t="s">
        <v>6</v>
      </c>
      <c r="D4" s="36"/>
      <c r="E4" s="5" t="s">
        <v>7</v>
      </c>
      <c r="F4" s="43" t="s">
        <v>8</v>
      </c>
      <c r="G4" s="44"/>
      <c r="H4" s="58"/>
      <c r="I4" s="5" t="s">
        <v>9</v>
      </c>
      <c r="J4" s="2"/>
    </row>
    <row r="5" spans="1:18" s="3" customFormat="1" ht="13.2" x14ac:dyDescent="0.3">
      <c r="A5" s="31"/>
      <c r="B5" s="31"/>
      <c r="C5" s="31"/>
      <c r="D5" s="31"/>
      <c r="E5" s="31"/>
      <c r="F5" s="31"/>
      <c r="G5" s="31"/>
      <c r="H5" s="31"/>
      <c r="I5" s="31"/>
      <c r="J5" s="31"/>
    </row>
    <row r="6" spans="1:18" ht="27" customHeight="1" x14ac:dyDescent="0.3">
      <c r="A6" s="13" t="s">
        <v>10</v>
      </c>
      <c r="B6" s="32" t="s">
        <v>47</v>
      </c>
      <c r="C6" s="33"/>
      <c r="D6" s="33"/>
      <c r="E6" s="13" t="s">
        <v>11</v>
      </c>
      <c r="F6" s="34"/>
      <c r="G6" s="35"/>
      <c r="H6" s="35"/>
      <c r="I6" s="13" t="s">
        <v>12</v>
      </c>
      <c r="J6" s="36"/>
      <c r="K6" s="36"/>
      <c r="L6" s="36"/>
      <c r="M6" s="36"/>
      <c r="N6" s="6"/>
      <c r="O6" s="64"/>
      <c r="P6" s="64"/>
    </row>
    <row r="7" spans="1:18" ht="13.2" x14ac:dyDescent="0.3">
      <c r="A7" s="13" t="s">
        <v>13</v>
      </c>
      <c r="B7" s="33" t="s">
        <v>48</v>
      </c>
      <c r="C7" s="33"/>
      <c r="D7" s="33"/>
      <c r="E7" s="33"/>
      <c r="F7" s="13" t="s">
        <v>14</v>
      </c>
      <c r="G7" s="33" t="s">
        <v>49</v>
      </c>
      <c r="H7" s="33"/>
      <c r="I7" s="33"/>
      <c r="J7" s="33"/>
      <c r="K7" s="33"/>
      <c r="L7" s="33"/>
      <c r="M7" s="33"/>
      <c r="N7" s="1"/>
    </row>
    <row r="8" spans="1:18" ht="13.2" x14ac:dyDescent="0.3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16"/>
    </row>
    <row r="9" spans="1:18" ht="15" customHeight="1" x14ac:dyDescent="0.3">
      <c r="A9" s="38" t="s">
        <v>15</v>
      </c>
      <c r="B9" s="38"/>
      <c r="C9" s="38"/>
      <c r="D9" s="39" t="s">
        <v>46</v>
      </c>
      <c r="E9" s="39"/>
      <c r="F9" s="39"/>
      <c r="G9" s="39"/>
      <c r="H9" s="39"/>
      <c r="I9" s="39"/>
      <c r="J9" s="39"/>
      <c r="K9" s="39"/>
      <c r="L9" s="39"/>
      <c r="M9" s="39"/>
      <c r="N9" s="1"/>
    </row>
    <row r="10" spans="1:18" s="17" customFormat="1" ht="12" x14ac:dyDescent="0.3">
      <c r="A10" s="40" t="s">
        <v>16</v>
      </c>
      <c r="B10" s="41" t="s">
        <v>17</v>
      </c>
      <c r="C10" s="41" t="s">
        <v>18</v>
      </c>
      <c r="D10" s="42" t="s">
        <v>56</v>
      </c>
      <c r="E10" s="42"/>
      <c r="F10" s="42" t="s">
        <v>57</v>
      </c>
      <c r="G10" s="42"/>
      <c r="H10" s="42" t="s">
        <v>58</v>
      </c>
      <c r="I10" s="42"/>
      <c r="J10" s="42" t="s">
        <v>59</v>
      </c>
      <c r="K10" s="42"/>
      <c r="L10" s="40"/>
      <c r="M10" s="40"/>
      <c r="N10" s="40" t="s">
        <v>19</v>
      </c>
      <c r="O10" s="40"/>
      <c r="P10" s="40"/>
    </row>
    <row r="11" spans="1:18" s="17" customFormat="1" ht="12" x14ac:dyDescent="0.3">
      <c r="A11" s="40"/>
      <c r="B11" s="41"/>
      <c r="C11" s="41"/>
      <c r="D11" s="11" t="s">
        <v>20</v>
      </c>
      <c r="E11" s="11" t="s">
        <v>21</v>
      </c>
      <c r="F11" s="11" t="s">
        <v>20</v>
      </c>
      <c r="G11" s="11" t="s">
        <v>21</v>
      </c>
      <c r="H11" s="11" t="s">
        <v>20</v>
      </c>
      <c r="I11" s="11" t="s">
        <v>21</v>
      </c>
      <c r="J11" s="11" t="s">
        <v>20</v>
      </c>
      <c r="K11" s="11" t="s">
        <v>21</v>
      </c>
      <c r="L11" s="11" t="s">
        <v>20</v>
      </c>
      <c r="M11" s="11" t="s">
        <v>21</v>
      </c>
      <c r="N11" s="11" t="s">
        <v>22</v>
      </c>
      <c r="O11" s="11" t="s">
        <v>23</v>
      </c>
      <c r="P11" s="11" t="s">
        <v>21</v>
      </c>
      <c r="R11" s="18"/>
    </row>
    <row r="12" spans="1:18" ht="18.600000000000001" customHeight="1" x14ac:dyDescent="0.3">
      <c r="A12" s="9" t="s">
        <v>51</v>
      </c>
      <c r="B12" s="7">
        <v>1</v>
      </c>
      <c r="C12" s="7" t="s">
        <v>18</v>
      </c>
      <c r="D12" s="4"/>
      <c r="E12" s="12">
        <f>+D12*B12</f>
        <v>0</v>
      </c>
      <c r="F12" s="4">
        <v>65450</v>
      </c>
      <c r="G12" s="12">
        <f t="shared" ref="G12:G25" si="0">B12*F12</f>
        <v>65450</v>
      </c>
      <c r="H12" s="8">
        <v>69000</v>
      </c>
      <c r="I12" s="12">
        <f t="shared" ref="I12:I25" si="1">H12*B12</f>
        <v>69000</v>
      </c>
      <c r="J12" s="8">
        <v>98000</v>
      </c>
      <c r="K12" s="12">
        <f t="shared" ref="K12:K15" si="2">J12*B12</f>
        <v>98000</v>
      </c>
      <c r="L12" s="4"/>
      <c r="M12" s="12">
        <f t="shared" ref="M12:M16" si="3">L12*B12</f>
        <v>0</v>
      </c>
      <c r="N12" s="14" t="str">
        <f>+HLOOKUP(O12,A12:M57,Q12,FALSE)</f>
        <v>TIENDAS</v>
      </c>
      <c r="O12" s="4">
        <f>+MIN(D12,F12,H12,J12,L12)</f>
        <v>65450</v>
      </c>
      <c r="P12" s="4">
        <f>O12*B12</f>
        <v>65450</v>
      </c>
      <c r="Q12" s="15">
        <f>+COUNT(R12:R57)</f>
        <v>46</v>
      </c>
      <c r="R12" s="19">
        <v>1</v>
      </c>
    </row>
    <row r="13" spans="1:18" ht="18.600000000000001" customHeight="1" x14ac:dyDescent="0.3">
      <c r="A13" s="9" t="s">
        <v>52</v>
      </c>
      <c r="B13" s="7">
        <v>1</v>
      </c>
      <c r="C13" s="7" t="s">
        <v>18</v>
      </c>
      <c r="D13" s="4"/>
      <c r="E13" s="12">
        <f t="shared" ref="E13:E25" si="4">+D13*B13</f>
        <v>0</v>
      </c>
      <c r="F13" s="4">
        <v>19600</v>
      </c>
      <c r="G13" s="12">
        <f t="shared" si="0"/>
        <v>19600</v>
      </c>
      <c r="H13" s="8">
        <v>25100</v>
      </c>
      <c r="I13" s="12">
        <f t="shared" si="1"/>
        <v>25100</v>
      </c>
      <c r="J13" s="8">
        <v>7373</v>
      </c>
      <c r="K13" s="12">
        <f t="shared" si="2"/>
        <v>7373</v>
      </c>
      <c r="L13" s="4"/>
      <c r="M13" s="12">
        <f t="shared" si="3"/>
        <v>0</v>
      </c>
      <c r="N13" s="14" t="str">
        <f>+HLOOKUP(O13,A13:M58,Q13,FALSE)</f>
        <v>ALMACEN PANAMERICANO</v>
      </c>
      <c r="O13" s="4">
        <f t="shared" ref="O13:O24" si="5">+MIN(D13,F13,H13,J13,L13)</f>
        <v>7373</v>
      </c>
      <c r="P13" s="4">
        <f t="shared" ref="P13:P24" si="6">O13*B13</f>
        <v>7373</v>
      </c>
      <c r="Q13" s="15">
        <f>+COUNT(R13:R58)</f>
        <v>45</v>
      </c>
      <c r="R13" s="19">
        <f>1+R12</f>
        <v>2</v>
      </c>
    </row>
    <row r="14" spans="1:18" ht="18.600000000000001" customHeight="1" x14ac:dyDescent="0.3">
      <c r="A14" s="9" t="s">
        <v>53</v>
      </c>
      <c r="B14" s="7">
        <v>1</v>
      </c>
      <c r="C14" s="7" t="s">
        <v>18</v>
      </c>
      <c r="D14" s="4"/>
      <c r="E14" s="12">
        <f>+D14*B14</f>
        <v>0</v>
      </c>
      <c r="F14" s="4">
        <v>32321</v>
      </c>
      <c r="G14" s="12">
        <f t="shared" si="0"/>
        <v>32321</v>
      </c>
      <c r="H14" s="8">
        <v>39000</v>
      </c>
      <c r="I14" s="12">
        <f t="shared" si="1"/>
        <v>39000</v>
      </c>
      <c r="J14" s="8">
        <v>25526</v>
      </c>
      <c r="K14" s="12">
        <f t="shared" si="2"/>
        <v>25526</v>
      </c>
      <c r="L14" s="4"/>
      <c r="M14" s="12">
        <f t="shared" si="3"/>
        <v>0</v>
      </c>
      <c r="N14" s="14" t="str">
        <f>+HLOOKUP(O14,A14:M59,Q14,FALSE)</f>
        <v>ALMACEN PANAMERICANO</v>
      </c>
      <c r="O14" s="4">
        <f t="shared" si="5"/>
        <v>25526</v>
      </c>
      <c r="P14" s="4">
        <f t="shared" si="6"/>
        <v>25526</v>
      </c>
      <c r="Q14" s="15">
        <f>+COUNT(R14:R59)</f>
        <v>44</v>
      </c>
      <c r="R14" s="19">
        <f t="shared" ref="R14:R57" si="7">1+R13</f>
        <v>3</v>
      </c>
    </row>
    <row r="15" spans="1:18" ht="18.600000000000001" customHeight="1" x14ac:dyDescent="0.3">
      <c r="A15" s="9" t="s">
        <v>54</v>
      </c>
      <c r="B15" s="7">
        <v>1</v>
      </c>
      <c r="C15" s="7" t="s">
        <v>18</v>
      </c>
      <c r="D15" s="4"/>
      <c r="E15" s="12">
        <f t="shared" si="4"/>
        <v>0</v>
      </c>
      <c r="F15" s="4">
        <v>30770</v>
      </c>
      <c r="G15" s="12">
        <f t="shared" si="0"/>
        <v>30770</v>
      </c>
      <c r="H15" s="8">
        <v>16500</v>
      </c>
      <c r="I15" s="12">
        <f t="shared" si="1"/>
        <v>16500</v>
      </c>
      <c r="J15" s="8">
        <v>21680</v>
      </c>
      <c r="K15" s="12">
        <f t="shared" si="2"/>
        <v>21680</v>
      </c>
      <c r="L15" s="4"/>
      <c r="M15" s="12">
        <f t="shared" si="3"/>
        <v>0</v>
      </c>
      <c r="N15" s="14" t="str">
        <f>+HLOOKUP(O15,A15:M61,Q15,FALSE)</f>
        <v>FERROSERVICE</v>
      </c>
      <c r="O15" s="4">
        <f t="shared" si="5"/>
        <v>16500</v>
      </c>
      <c r="P15" s="4">
        <f t="shared" si="6"/>
        <v>16500</v>
      </c>
      <c r="Q15" s="15">
        <f>+COUNT(R15:R61)</f>
        <v>43</v>
      </c>
      <c r="R15" s="19">
        <f t="shared" si="7"/>
        <v>4</v>
      </c>
    </row>
    <row r="16" spans="1:18" ht="18.600000000000001" customHeight="1" x14ac:dyDescent="0.3">
      <c r="A16" s="9" t="s">
        <v>55</v>
      </c>
      <c r="B16" s="7">
        <v>1</v>
      </c>
      <c r="C16" s="7" t="s">
        <v>18</v>
      </c>
      <c r="D16" s="4"/>
      <c r="E16" s="12">
        <f t="shared" si="4"/>
        <v>0</v>
      </c>
      <c r="F16" s="4"/>
      <c r="G16" s="12">
        <f t="shared" si="0"/>
        <v>0</v>
      </c>
      <c r="H16" s="8">
        <v>38000</v>
      </c>
      <c r="I16" s="12">
        <f t="shared" si="1"/>
        <v>38000</v>
      </c>
      <c r="J16" s="8">
        <v>4349</v>
      </c>
      <c r="K16" s="12">
        <f t="shared" ref="K16:K25" si="8">+J16*B16</f>
        <v>4349</v>
      </c>
      <c r="L16" s="4"/>
      <c r="M16" s="12">
        <f t="shared" si="3"/>
        <v>0</v>
      </c>
      <c r="N16" s="14" t="str">
        <f>+HLOOKUP(O16,A16:M62,Q16,FALSE)</f>
        <v>ALMACEN PANAMERICANO</v>
      </c>
      <c r="O16" s="4">
        <f t="shared" si="5"/>
        <v>4349</v>
      </c>
      <c r="P16" s="4">
        <f t="shared" si="6"/>
        <v>4349</v>
      </c>
      <c r="Q16" s="15">
        <f>+COUNT(R16:R62)</f>
        <v>42</v>
      </c>
      <c r="R16" s="19">
        <f t="shared" si="7"/>
        <v>5</v>
      </c>
    </row>
    <row r="17" spans="1:18" ht="18.600000000000001" customHeight="1" x14ac:dyDescent="0.3">
      <c r="A17" s="9" t="s">
        <v>64</v>
      </c>
      <c r="B17" s="7">
        <v>1</v>
      </c>
      <c r="C17" s="7" t="s">
        <v>18</v>
      </c>
      <c r="D17" s="4">
        <v>461513</v>
      </c>
      <c r="E17" s="12">
        <f t="shared" si="4"/>
        <v>461513</v>
      </c>
      <c r="F17" s="4"/>
      <c r="G17" s="12">
        <f t="shared" si="0"/>
        <v>0</v>
      </c>
      <c r="H17" s="8"/>
      <c r="I17" s="12">
        <f t="shared" si="1"/>
        <v>0</v>
      </c>
      <c r="J17" s="8"/>
      <c r="K17" s="12">
        <f t="shared" si="8"/>
        <v>0</v>
      </c>
      <c r="L17" s="4"/>
      <c r="M17" s="12">
        <f t="shared" ref="M17:M25" si="9">L17*B17</f>
        <v>0</v>
      </c>
      <c r="N17" s="14" t="str">
        <f>+HLOOKUP(O17,A17:M64,Q17,FALSE)</f>
        <v>TIG</v>
      </c>
      <c r="O17" s="4">
        <f t="shared" si="5"/>
        <v>461513</v>
      </c>
      <c r="P17" s="4">
        <f t="shared" si="6"/>
        <v>461513</v>
      </c>
      <c r="Q17" s="15">
        <f t="shared" ref="Q17:Q26" si="10">+COUNT(R17:R64)</f>
        <v>41</v>
      </c>
      <c r="R17" s="19">
        <f t="shared" si="7"/>
        <v>6</v>
      </c>
    </row>
    <row r="18" spans="1:18" ht="18.600000000000001" customHeight="1" x14ac:dyDescent="0.3">
      <c r="A18" s="9" t="s">
        <v>65</v>
      </c>
      <c r="B18" s="7">
        <v>1</v>
      </c>
      <c r="C18" s="7" t="s">
        <v>18</v>
      </c>
      <c r="D18" s="4">
        <v>728800</v>
      </c>
      <c r="E18" s="12">
        <f t="shared" si="4"/>
        <v>728800</v>
      </c>
      <c r="F18" s="4"/>
      <c r="G18" s="12">
        <f t="shared" si="0"/>
        <v>0</v>
      </c>
      <c r="H18" s="8"/>
      <c r="I18" s="12">
        <f t="shared" si="1"/>
        <v>0</v>
      </c>
      <c r="J18" s="8"/>
      <c r="K18" s="12">
        <f t="shared" si="8"/>
        <v>0</v>
      </c>
      <c r="L18" s="4"/>
      <c r="M18" s="12">
        <f t="shared" si="9"/>
        <v>0</v>
      </c>
      <c r="N18" s="14" t="str">
        <f>+HLOOKUP(O18,A18:M65,Q18,FALSE)</f>
        <v>TIG</v>
      </c>
      <c r="O18" s="4">
        <f t="shared" si="5"/>
        <v>728800</v>
      </c>
      <c r="P18" s="4">
        <f t="shared" si="6"/>
        <v>728800</v>
      </c>
      <c r="Q18" s="15">
        <f t="shared" si="10"/>
        <v>40</v>
      </c>
      <c r="R18" s="19">
        <f t="shared" si="7"/>
        <v>7</v>
      </c>
    </row>
    <row r="19" spans="1:18" ht="18.600000000000001" hidden="1" customHeight="1" x14ac:dyDescent="0.3">
      <c r="A19" s="9"/>
      <c r="B19" s="7"/>
      <c r="C19" s="7"/>
      <c r="D19" s="4"/>
      <c r="E19" s="12">
        <f t="shared" si="4"/>
        <v>0</v>
      </c>
      <c r="F19" s="4"/>
      <c r="G19" s="12">
        <f t="shared" si="0"/>
        <v>0</v>
      </c>
      <c r="H19" s="8"/>
      <c r="I19" s="12">
        <f t="shared" si="1"/>
        <v>0</v>
      </c>
      <c r="J19" s="8"/>
      <c r="K19" s="12">
        <f t="shared" si="8"/>
        <v>0</v>
      </c>
      <c r="L19" s="4"/>
      <c r="M19" s="12">
        <f t="shared" si="9"/>
        <v>0</v>
      </c>
      <c r="N19" s="14">
        <f>+HLOOKUP(O19,A19:M66,Q19,FALSE)</f>
        <v>0</v>
      </c>
      <c r="O19" s="4">
        <f t="shared" si="5"/>
        <v>0</v>
      </c>
      <c r="P19" s="4">
        <f t="shared" si="6"/>
        <v>0</v>
      </c>
      <c r="Q19" s="15">
        <f t="shared" si="10"/>
        <v>39</v>
      </c>
      <c r="R19" s="19">
        <f t="shared" si="7"/>
        <v>8</v>
      </c>
    </row>
    <row r="20" spans="1:18" ht="18.600000000000001" hidden="1" customHeight="1" x14ac:dyDescent="0.3">
      <c r="A20" s="9"/>
      <c r="B20" s="7"/>
      <c r="C20" s="7"/>
      <c r="D20" s="4"/>
      <c r="E20" s="12">
        <f t="shared" si="4"/>
        <v>0</v>
      </c>
      <c r="F20" s="4"/>
      <c r="G20" s="12">
        <f t="shared" si="0"/>
        <v>0</v>
      </c>
      <c r="H20" s="8"/>
      <c r="I20" s="12">
        <f t="shared" si="1"/>
        <v>0</v>
      </c>
      <c r="J20" s="8"/>
      <c r="K20" s="12">
        <f t="shared" si="8"/>
        <v>0</v>
      </c>
      <c r="L20" s="4"/>
      <c r="M20" s="12">
        <f t="shared" si="9"/>
        <v>0</v>
      </c>
      <c r="N20" s="14">
        <f>+HLOOKUP(O20,A20:M67,Q20,FALSE)</f>
        <v>0</v>
      </c>
      <c r="O20" s="4">
        <f t="shared" ref="O20" si="11">+MIN(D20,F20,H20,J20,L20)</f>
        <v>0</v>
      </c>
      <c r="P20" s="4">
        <f t="shared" ref="P20" si="12">O20*B20</f>
        <v>0</v>
      </c>
      <c r="Q20" s="15">
        <f t="shared" si="10"/>
        <v>38</v>
      </c>
      <c r="R20" s="19">
        <f t="shared" si="7"/>
        <v>9</v>
      </c>
    </row>
    <row r="21" spans="1:18" ht="18.600000000000001" hidden="1" customHeight="1" x14ac:dyDescent="0.3">
      <c r="A21" s="9"/>
      <c r="B21" s="7"/>
      <c r="C21" s="7"/>
      <c r="D21" s="4"/>
      <c r="E21" s="12">
        <f t="shared" si="4"/>
        <v>0</v>
      </c>
      <c r="F21" s="4"/>
      <c r="G21" s="12">
        <f t="shared" si="0"/>
        <v>0</v>
      </c>
      <c r="H21" s="8"/>
      <c r="I21" s="12">
        <f t="shared" si="1"/>
        <v>0</v>
      </c>
      <c r="J21" s="8"/>
      <c r="K21" s="12">
        <f t="shared" si="8"/>
        <v>0</v>
      </c>
      <c r="L21" s="4"/>
      <c r="M21" s="12">
        <f t="shared" si="9"/>
        <v>0</v>
      </c>
      <c r="N21" s="14">
        <f>+HLOOKUP(O21,A21:M67,Q21,FALSE)</f>
        <v>0</v>
      </c>
      <c r="O21" s="4">
        <f t="shared" ref="O21" si="13">+MIN(D21,F21,H21,J21,L21)</f>
        <v>0</v>
      </c>
      <c r="P21" s="4">
        <f t="shared" ref="P21" si="14">O21*B21</f>
        <v>0</v>
      </c>
      <c r="Q21" s="15">
        <f t="shared" si="10"/>
        <v>37</v>
      </c>
      <c r="R21" s="19">
        <f t="shared" si="7"/>
        <v>10</v>
      </c>
    </row>
    <row r="22" spans="1:18" ht="18.600000000000001" hidden="1" customHeight="1" x14ac:dyDescent="0.3">
      <c r="A22" s="9"/>
      <c r="B22" s="7"/>
      <c r="C22" s="7"/>
      <c r="D22" s="4"/>
      <c r="E22" s="12">
        <f t="shared" si="4"/>
        <v>0</v>
      </c>
      <c r="F22" s="4"/>
      <c r="G22" s="12">
        <f t="shared" si="0"/>
        <v>0</v>
      </c>
      <c r="H22" s="8"/>
      <c r="I22" s="12">
        <f t="shared" si="1"/>
        <v>0</v>
      </c>
      <c r="J22" s="8"/>
      <c r="K22" s="12">
        <f t="shared" si="8"/>
        <v>0</v>
      </c>
      <c r="L22" s="4"/>
      <c r="M22" s="12">
        <f t="shared" si="9"/>
        <v>0</v>
      </c>
      <c r="N22" s="14">
        <f>+HLOOKUP(O22,A22:M67,Q22,FALSE)</f>
        <v>0</v>
      </c>
      <c r="O22" s="4">
        <f t="shared" ref="O22" si="15">+MIN(D22,F22,H22,J22,L22)</f>
        <v>0</v>
      </c>
      <c r="P22" s="4">
        <f t="shared" ref="P22" si="16">O22*B22</f>
        <v>0</v>
      </c>
      <c r="Q22" s="15">
        <f t="shared" si="10"/>
        <v>36</v>
      </c>
      <c r="R22" s="19">
        <f t="shared" si="7"/>
        <v>11</v>
      </c>
    </row>
    <row r="23" spans="1:18" ht="18.600000000000001" hidden="1" customHeight="1" x14ac:dyDescent="0.3">
      <c r="A23" s="9"/>
      <c r="B23" s="7"/>
      <c r="C23" s="7"/>
      <c r="D23" s="4"/>
      <c r="E23" s="12">
        <f t="shared" si="4"/>
        <v>0</v>
      </c>
      <c r="F23" s="4"/>
      <c r="G23" s="12">
        <f t="shared" si="0"/>
        <v>0</v>
      </c>
      <c r="H23" s="8"/>
      <c r="I23" s="12">
        <f t="shared" si="1"/>
        <v>0</v>
      </c>
      <c r="J23" s="8"/>
      <c r="K23" s="12">
        <f t="shared" si="8"/>
        <v>0</v>
      </c>
      <c r="L23" s="4"/>
      <c r="M23" s="12">
        <f t="shared" si="9"/>
        <v>0</v>
      </c>
      <c r="N23" s="14">
        <f>+HLOOKUP(O23,A23:M67,Q23,FALSE)</f>
        <v>0</v>
      </c>
      <c r="O23" s="4">
        <f t="shared" ref="O23" si="17">+MIN(D23,F23,H23,J23,L23)</f>
        <v>0</v>
      </c>
      <c r="P23" s="4">
        <f t="shared" ref="P23" si="18">O23*B23</f>
        <v>0</v>
      </c>
      <c r="Q23" s="15">
        <f t="shared" si="10"/>
        <v>35</v>
      </c>
      <c r="R23" s="19">
        <f t="shared" si="7"/>
        <v>12</v>
      </c>
    </row>
    <row r="24" spans="1:18" ht="18.600000000000001" hidden="1" customHeight="1" x14ac:dyDescent="0.3">
      <c r="A24" s="9"/>
      <c r="B24" s="7"/>
      <c r="C24" s="7"/>
      <c r="D24" s="4"/>
      <c r="E24" s="12">
        <f t="shared" si="4"/>
        <v>0</v>
      </c>
      <c r="F24" s="4"/>
      <c r="G24" s="12">
        <f t="shared" si="0"/>
        <v>0</v>
      </c>
      <c r="H24" s="8"/>
      <c r="I24" s="12">
        <f t="shared" si="1"/>
        <v>0</v>
      </c>
      <c r="J24" s="8"/>
      <c r="K24" s="12">
        <f t="shared" si="8"/>
        <v>0</v>
      </c>
      <c r="L24" s="4"/>
      <c r="M24" s="12">
        <f t="shared" si="9"/>
        <v>0</v>
      </c>
      <c r="N24" s="14">
        <f>+HLOOKUP(O24,A24:M66,Q24,FALSE)</f>
        <v>0</v>
      </c>
      <c r="O24" s="4">
        <f t="shared" si="5"/>
        <v>0</v>
      </c>
      <c r="P24" s="4">
        <f t="shared" si="6"/>
        <v>0</v>
      </c>
      <c r="Q24" s="15">
        <f t="shared" si="10"/>
        <v>34</v>
      </c>
      <c r="R24" s="19">
        <f t="shared" si="7"/>
        <v>13</v>
      </c>
    </row>
    <row r="25" spans="1:18" ht="18.600000000000001" hidden="1" customHeight="1" x14ac:dyDescent="0.3">
      <c r="A25" s="9"/>
      <c r="B25" s="7"/>
      <c r="C25" s="7"/>
      <c r="D25" s="4"/>
      <c r="E25" s="12">
        <f t="shared" si="4"/>
        <v>0</v>
      </c>
      <c r="F25" s="4"/>
      <c r="G25" s="12">
        <f t="shared" si="0"/>
        <v>0</v>
      </c>
      <c r="H25" s="8"/>
      <c r="I25" s="12">
        <f t="shared" si="1"/>
        <v>0</v>
      </c>
      <c r="J25" s="8"/>
      <c r="K25" s="12">
        <f t="shared" si="8"/>
        <v>0</v>
      </c>
      <c r="L25" s="4"/>
      <c r="M25" s="12">
        <f t="shared" si="9"/>
        <v>0</v>
      </c>
      <c r="N25" s="14">
        <f>+HLOOKUP(O25,A25:M67,Q25,FALSE)</f>
        <v>0</v>
      </c>
      <c r="O25" s="4">
        <f t="shared" ref="O25" si="19">+MIN(D25,F25,H25,J25,L25)</f>
        <v>0</v>
      </c>
      <c r="P25" s="4">
        <f t="shared" ref="P25" si="20">O25*B25</f>
        <v>0</v>
      </c>
      <c r="Q25" s="15">
        <f t="shared" si="10"/>
        <v>33</v>
      </c>
      <c r="R25" s="19">
        <f t="shared" si="7"/>
        <v>14</v>
      </c>
    </row>
    <row r="26" spans="1:18" ht="18.600000000000001" hidden="1" customHeight="1" x14ac:dyDescent="0.3">
      <c r="A26" s="9"/>
      <c r="B26" s="7"/>
      <c r="C26" s="7"/>
      <c r="D26" s="4"/>
      <c r="E26" s="12">
        <f t="shared" ref="E26:E44" si="21">+D26*B26</f>
        <v>0</v>
      </c>
      <c r="F26" s="4"/>
      <c r="G26" s="12">
        <f t="shared" ref="G26:G44" si="22">B26*F26</f>
        <v>0</v>
      </c>
      <c r="H26" s="8"/>
      <c r="I26" s="12">
        <f t="shared" ref="I26:I44" si="23">H26*B26</f>
        <v>0</v>
      </c>
      <c r="J26" s="8"/>
      <c r="K26" s="12">
        <f t="shared" ref="K26:K44" si="24">+J26*B26</f>
        <v>0</v>
      </c>
      <c r="L26" s="4"/>
      <c r="M26" s="12">
        <f t="shared" ref="M26:M44" si="25">L26*B26</f>
        <v>0</v>
      </c>
      <c r="N26" s="14">
        <f>+HLOOKUP(O26,A26:M68,Q26,FALSE)</f>
        <v>0</v>
      </c>
      <c r="O26" s="4">
        <f t="shared" ref="O26" si="26">+MIN(D26,F26,H26,J26,L26)</f>
        <v>0</v>
      </c>
      <c r="P26" s="4">
        <f t="shared" ref="P26" si="27">O26*B26</f>
        <v>0</v>
      </c>
      <c r="Q26" s="15">
        <f t="shared" si="10"/>
        <v>32</v>
      </c>
      <c r="R26" s="19">
        <f t="shared" si="7"/>
        <v>15</v>
      </c>
    </row>
    <row r="27" spans="1:18" ht="18.600000000000001" hidden="1" customHeight="1" x14ac:dyDescent="0.3">
      <c r="A27" s="9"/>
      <c r="B27" s="7"/>
      <c r="C27" s="7"/>
      <c r="D27" s="4"/>
      <c r="E27" s="12">
        <f t="shared" si="21"/>
        <v>0</v>
      </c>
      <c r="F27" s="4"/>
      <c r="G27" s="12">
        <f t="shared" si="22"/>
        <v>0</v>
      </c>
      <c r="H27" s="8"/>
      <c r="I27" s="12">
        <f t="shared" si="23"/>
        <v>0</v>
      </c>
      <c r="J27" s="8"/>
      <c r="K27" s="12">
        <f t="shared" si="24"/>
        <v>0</v>
      </c>
      <c r="L27" s="4"/>
      <c r="M27" s="12">
        <f t="shared" si="25"/>
        <v>0</v>
      </c>
      <c r="N27" s="14">
        <f t="shared" ref="N27:N44" si="28">+HLOOKUP(O27,A27:M69,Q27,FALSE)</f>
        <v>0</v>
      </c>
      <c r="O27" s="4">
        <f t="shared" ref="O27:O44" si="29">+MIN(D27,F27,H27,J27,L27)</f>
        <v>0</v>
      </c>
      <c r="P27" s="4">
        <f t="shared" ref="P27:P44" si="30">O27*B27</f>
        <v>0</v>
      </c>
      <c r="Q27" s="15">
        <f t="shared" ref="Q27:Q57" si="31">+COUNT(R27:R74)</f>
        <v>31</v>
      </c>
      <c r="R27" s="19">
        <f t="shared" si="7"/>
        <v>16</v>
      </c>
    </row>
    <row r="28" spans="1:18" ht="18.600000000000001" hidden="1" customHeight="1" x14ac:dyDescent="0.3">
      <c r="A28" s="9"/>
      <c r="B28" s="7"/>
      <c r="C28" s="7"/>
      <c r="D28" s="4"/>
      <c r="E28" s="12">
        <f t="shared" si="21"/>
        <v>0</v>
      </c>
      <c r="F28" s="4"/>
      <c r="G28" s="12">
        <f t="shared" si="22"/>
        <v>0</v>
      </c>
      <c r="H28" s="8"/>
      <c r="I28" s="12">
        <f t="shared" si="23"/>
        <v>0</v>
      </c>
      <c r="J28" s="8"/>
      <c r="K28" s="12">
        <f t="shared" si="24"/>
        <v>0</v>
      </c>
      <c r="L28" s="4"/>
      <c r="M28" s="12">
        <f t="shared" si="25"/>
        <v>0</v>
      </c>
      <c r="N28" s="14">
        <f t="shared" si="28"/>
        <v>0</v>
      </c>
      <c r="O28" s="4">
        <f t="shared" si="29"/>
        <v>0</v>
      </c>
      <c r="P28" s="4">
        <f t="shared" si="30"/>
        <v>0</v>
      </c>
      <c r="Q28" s="15">
        <f t="shared" si="31"/>
        <v>30</v>
      </c>
      <c r="R28" s="19">
        <f t="shared" si="7"/>
        <v>17</v>
      </c>
    </row>
    <row r="29" spans="1:18" ht="18.600000000000001" hidden="1" customHeight="1" x14ac:dyDescent="0.3">
      <c r="A29" s="9"/>
      <c r="B29" s="7"/>
      <c r="C29" s="7"/>
      <c r="D29" s="4"/>
      <c r="E29" s="12">
        <f t="shared" si="21"/>
        <v>0</v>
      </c>
      <c r="F29" s="4"/>
      <c r="G29" s="12">
        <f t="shared" si="22"/>
        <v>0</v>
      </c>
      <c r="H29" s="8"/>
      <c r="I29" s="12">
        <f t="shared" si="23"/>
        <v>0</v>
      </c>
      <c r="J29" s="8"/>
      <c r="K29" s="12">
        <f t="shared" si="24"/>
        <v>0</v>
      </c>
      <c r="L29" s="4"/>
      <c r="M29" s="12">
        <f t="shared" si="25"/>
        <v>0</v>
      </c>
      <c r="N29" s="14">
        <f t="shared" si="28"/>
        <v>0</v>
      </c>
      <c r="O29" s="4">
        <f t="shared" si="29"/>
        <v>0</v>
      </c>
      <c r="P29" s="4">
        <f t="shared" si="30"/>
        <v>0</v>
      </c>
      <c r="Q29" s="15">
        <f t="shared" si="31"/>
        <v>29</v>
      </c>
      <c r="R29" s="19">
        <f t="shared" si="7"/>
        <v>18</v>
      </c>
    </row>
    <row r="30" spans="1:18" ht="18.600000000000001" hidden="1" customHeight="1" x14ac:dyDescent="0.3">
      <c r="A30" s="9"/>
      <c r="B30" s="7"/>
      <c r="C30" s="7"/>
      <c r="D30" s="4"/>
      <c r="E30" s="12">
        <f t="shared" si="21"/>
        <v>0</v>
      </c>
      <c r="F30" s="4"/>
      <c r="G30" s="12">
        <f t="shared" si="22"/>
        <v>0</v>
      </c>
      <c r="H30" s="8"/>
      <c r="I30" s="12">
        <f t="shared" si="23"/>
        <v>0</v>
      </c>
      <c r="J30" s="8"/>
      <c r="K30" s="12">
        <f t="shared" si="24"/>
        <v>0</v>
      </c>
      <c r="L30" s="4"/>
      <c r="M30" s="12">
        <f t="shared" si="25"/>
        <v>0</v>
      </c>
      <c r="N30" s="14">
        <f t="shared" si="28"/>
        <v>0</v>
      </c>
      <c r="O30" s="4">
        <f t="shared" si="29"/>
        <v>0</v>
      </c>
      <c r="P30" s="4">
        <f t="shared" si="30"/>
        <v>0</v>
      </c>
      <c r="Q30" s="15">
        <f t="shared" si="31"/>
        <v>28</v>
      </c>
      <c r="R30" s="19">
        <f t="shared" si="7"/>
        <v>19</v>
      </c>
    </row>
    <row r="31" spans="1:18" ht="18.600000000000001" hidden="1" customHeight="1" x14ac:dyDescent="0.3">
      <c r="A31" s="9"/>
      <c r="B31" s="7"/>
      <c r="C31" s="7"/>
      <c r="D31" s="4"/>
      <c r="E31" s="12">
        <f t="shared" si="21"/>
        <v>0</v>
      </c>
      <c r="F31" s="4"/>
      <c r="G31" s="12">
        <f t="shared" si="22"/>
        <v>0</v>
      </c>
      <c r="H31" s="8"/>
      <c r="I31" s="12">
        <f t="shared" si="23"/>
        <v>0</v>
      </c>
      <c r="J31" s="8"/>
      <c r="K31" s="12">
        <f t="shared" si="24"/>
        <v>0</v>
      </c>
      <c r="L31" s="4"/>
      <c r="M31" s="12">
        <f t="shared" si="25"/>
        <v>0</v>
      </c>
      <c r="N31" s="14">
        <f t="shared" si="28"/>
        <v>0</v>
      </c>
      <c r="O31" s="4">
        <f t="shared" si="29"/>
        <v>0</v>
      </c>
      <c r="P31" s="4">
        <f t="shared" si="30"/>
        <v>0</v>
      </c>
      <c r="Q31" s="15">
        <f t="shared" si="31"/>
        <v>27</v>
      </c>
      <c r="R31" s="19">
        <f t="shared" si="7"/>
        <v>20</v>
      </c>
    </row>
    <row r="32" spans="1:18" ht="18.600000000000001" hidden="1" customHeight="1" x14ac:dyDescent="0.3">
      <c r="A32" s="9"/>
      <c r="B32" s="7"/>
      <c r="C32" s="7"/>
      <c r="D32" s="4"/>
      <c r="E32" s="12">
        <f t="shared" si="21"/>
        <v>0</v>
      </c>
      <c r="F32" s="4"/>
      <c r="G32" s="12">
        <f t="shared" si="22"/>
        <v>0</v>
      </c>
      <c r="H32" s="8"/>
      <c r="I32" s="12">
        <f t="shared" si="23"/>
        <v>0</v>
      </c>
      <c r="J32" s="8"/>
      <c r="K32" s="12">
        <f t="shared" si="24"/>
        <v>0</v>
      </c>
      <c r="L32" s="4"/>
      <c r="M32" s="12">
        <f t="shared" si="25"/>
        <v>0</v>
      </c>
      <c r="N32" s="14">
        <f t="shared" si="28"/>
        <v>0</v>
      </c>
      <c r="O32" s="4">
        <f t="shared" si="29"/>
        <v>0</v>
      </c>
      <c r="P32" s="4">
        <f t="shared" si="30"/>
        <v>0</v>
      </c>
      <c r="Q32" s="15">
        <f t="shared" si="31"/>
        <v>26</v>
      </c>
      <c r="R32" s="19">
        <f t="shared" si="7"/>
        <v>21</v>
      </c>
    </row>
    <row r="33" spans="1:18" ht="18.600000000000001" hidden="1" customHeight="1" x14ac:dyDescent="0.3">
      <c r="A33" s="9"/>
      <c r="B33" s="7"/>
      <c r="C33" s="7"/>
      <c r="D33" s="4"/>
      <c r="E33" s="12">
        <f t="shared" si="21"/>
        <v>0</v>
      </c>
      <c r="F33" s="4"/>
      <c r="G33" s="12">
        <f t="shared" si="22"/>
        <v>0</v>
      </c>
      <c r="H33" s="8"/>
      <c r="I33" s="12">
        <f t="shared" si="23"/>
        <v>0</v>
      </c>
      <c r="J33" s="8"/>
      <c r="K33" s="12">
        <f t="shared" si="24"/>
        <v>0</v>
      </c>
      <c r="L33" s="4"/>
      <c r="M33" s="12">
        <f t="shared" si="25"/>
        <v>0</v>
      </c>
      <c r="N33" s="14">
        <f t="shared" si="28"/>
        <v>0</v>
      </c>
      <c r="O33" s="4">
        <f t="shared" si="29"/>
        <v>0</v>
      </c>
      <c r="P33" s="4">
        <f t="shared" si="30"/>
        <v>0</v>
      </c>
      <c r="Q33" s="15">
        <f t="shared" si="31"/>
        <v>25</v>
      </c>
      <c r="R33" s="19">
        <f t="shared" si="7"/>
        <v>22</v>
      </c>
    </row>
    <row r="34" spans="1:18" ht="24.6" hidden="1" customHeight="1" x14ac:dyDescent="0.3">
      <c r="A34" s="9"/>
      <c r="B34" s="7"/>
      <c r="C34" s="7"/>
      <c r="D34" s="4"/>
      <c r="E34" s="12">
        <f t="shared" si="21"/>
        <v>0</v>
      </c>
      <c r="F34" s="4"/>
      <c r="G34" s="12">
        <f t="shared" si="22"/>
        <v>0</v>
      </c>
      <c r="H34" s="8"/>
      <c r="I34" s="12">
        <f t="shared" si="23"/>
        <v>0</v>
      </c>
      <c r="J34" s="8"/>
      <c r="K34" s="12">
        <f t="shared" si="24"/>
        <v>0</v>
      </c>
      <c r="L34" s="4"/>
      <c r="M34" s="12">
        <f t="shared" si="25"/>
        <v>0</v>
      </c>
      <c r="N34" s="14">
        <f t="shared" si="28"/>
        <v>0</v>
      </c>
      <c r="O34" s="4">
        <f t="shared" si="29"/>
        <v>0</v>
      </c>
      <c r="P34" s="4">
        <f t="shared" si="30"/>
        <v>0</v>
      </c>
      <c r="Q34" s="15">
        <f t="shared" si="31"/>
        <v>24</v>
      </c>
      <c r="R34" s="19">
        <f t="shared" si="7"/>
        <v>23</v>
      </c>
    </row>
    <row r="35" spans="1:18" ht="18.600000000000001" hidden="1" customHeight="1" x14ac:dyDescent="0.3">
      <c r="A35" s="9"/>
      <c r="B35" s="7"/>
      <c r="C35" s="7"/>
      <c r="D35" s="4"/>
      <c r="E35" s="12">
        <f t="shared" si="21"/>
        <v>0</v>
      </c>
      <c r="F35" s="4"/>
      <c r="G35" s="12">
        <f t="shared" si="22"/>
        <v>0</v>
      </c>
      <c r="H35" s="8"/>
      <c r="I35" s="12">
        <f t="shared" si="23"/>
        <v>0</v>
      </c>
      <c r="J35" s="8"/>
      <c r="K35" s="12">
        <f t="shared" si="24"/>
        <v>0</v>
      </c>
      <c r="L35" s="4"/>
      <c r="M35" s="12">
        <f t="shared" si="25"/>
        <v>0</v>
      </c>
      <c r="N35" s="14">
        <f t="shared" si="28"/>
        <v>0</v>
      </c>
      <c r="O35" s="4">
        <f t="shared" si="29"/>
        <v>0</v>
      </c>
      <c r="P35" s="4">
        <f t="shared" si="30"/>
        <v>0</v>
      </c>
      <c r="Q35" s="15">
        <f t="shared" si="31"/>
        <v>23</v>
      </c>
      <c r="R35" s="19">
        <f t="shared" si="7"/>
        <v>24</v>
      </c>
    </row>
    <row r="36" spans="1:18" ht="18.600000000000001" hidden="1" customHeight="1" x14ac:dyDescent="0.3">
      <c r="A36" s="9"/>
      <c r="B36" s="7"/>
      <c r="C36" s="7"/>
      <c r="D36" s="4"/>
      <c r="E36" s="12">
        <f t="shared" si="21"/>
        <v>0</v>
      </c>
      <c r="F36" s="4"/>
      <c r="G36" s="12">
        <f t="shared" si="22"/>
        <v>0</v>
      </c>
      <c r="H36" s="8"/>
      <c r="I36" s="12">
        <f t="shared" si="23"/>
        <v>0</v>
      </c>
      <c r="J36" s="8"/>
      <c r="K36" s="12">
        <f t="shared" si="24"/>
        <v>0</v>
      </c>
      <c r="L36" s="4"/>
      <c r="M36" s="12">
        <f t="shared" si="25"/>
        <v>0</v>
      </c>
      <c r="N36" s="14">
        <f t="shared" si="28"/>
        <v>0</v>
      </c>
      <c r="O36" s="4">
        <f t="shared" si="29"/>
        <v>0</v>
      </c>
      <c r="P36" s="4">
        <f t="shared" si="30"/>
        <v>0</v>
      </c>
      <c r="Q36" s="15">
        <f t="shared" si="31"/>
        <v>22</v>
      </c>
      <c r="R36" s="19">
        <f t="shared" si="7"/>
        <v>25</v>
      </c>
    </row>
    <row r="37" spans="1:18" ht="18.600000000000001" hidden="1" customHeight="1" x14ac:dyDescent="0.3">
      <c r="A37" s="9"/>
      <c r="B37" s="7"/>
      <c r="C37" s="7"/>
      <c r="D37" s="4"/>
      <c r="E37" s="12">
        <f t="shared" si="21"/>
        <v>0</v>
      </c>
      <c r="F37" s="4"/>
      <c r="G37" s="12">
        <f t="shared" si="22"/>
        <v>0</v>
      </c>
      <c r="H37" s="8"/>
      <c r="I37" s="12">
        <f t="shared" si="23"/>
        <v>0</v>
      </c>
      <c r="J37" s="8"/>
      <c r="K37" s="12">
        <f t="shared" si="24"/>
        <v>0</v>
      </c>
      <c r="L37" s="4"/>
      <c r="M37" s="12">
        <f t="shared" si="25"/>
        <v>0</v>
      </c>
      <c r="N37" s="14">
        <f t="shared" si="28"/>
        <v>0</v>
      </c>
      <c r="O37" s="4">
        <f t="shared" si="29"/>
        <v>0</v>
      </c>
      <c r="P37" s="4">
        <f t="shared" si="30"/>
        <v>0</v>
      </c>
      <c r="Q37" s="15">
        <f t="shared" si="31"/>
        <v>21</v>
      </c>
      <c r="R37" s="19">
        <f t="shared" si="7"/>
        <v>26</v>
      </c>
    </row>
    <row r="38" spans="1:18" ht="27" hidden="1" customHeight="1" x14ac:dyDescent="0.3">
      <c r="A38" s="9"/>
      <c r="B38" s="7"/>
      <c r="C38" s="7"/>
      <c r="D38" s="4"/>
      <c r="E38" s="12">
        <f t="shared" si="21"/>
        <v>0</v>
      </c>
      <c r="F38" s="4"/>
      <c r="G38" s="12">
        <f t="shared" si="22"/>
        <v>0</v>
      </c>
      <c r="H38" s="8"/>
      <c r="I38" s="12">
        <f t="shared" si="23"/>
        <v>0</v>
      </c>
      <c r="J38" s="8"/>
      <c r="K38" s="12">
        <f t="shared" si="24"/>
        <v>0</v>
      </c>
      <c r="L38" s="4"/>
      <c r="M38" s="12">
        <f t="shared" si="25"/>
        <v>0</v>
      </c>
      <c r="N38" s="14">
        <f t="shared" si="28"/>
        <v>0</v>
      </c>
      <c r="O38" s="4">
        <f t="shared" si="29"/>
        <v>0</v>
      </c>
      <c r="P38" s="4">
        <f t="shared" si="30"/>
        <v>0</v>
      </c>
      <c r="Q38" s="15">
        <f t="shared" si="31"/>
        <v>20</v>
      </c>
      <c r="R38" s="19">
        <f t="shared" si="7"/>
        <v>27</v>
      </c>
    </row>
    <row r="39" spans="1:18" ht="22.2" hidden="1" customHeight="1" x14ac:dyDescent="0.3">
      <c r="A39" s="9"/>
      <c r="B39" s="7"/>
      <c r="C39" s="7"/>
      <c r="D39" s="4"/>
      <c r="E39" s="12">
        <f t="shared" si="21"/>
        <v>0</v>
      </c>
      <c r="F39" s="4"/>
      <c r="G39" s="12">
        <f t="shared" si="22"/>
        <v>0</v>
      </c>
      <c r="H39" s="8"/>
      <c r="I39" s="12">
        <f t="shared" si="23"/>
        <v>0</v>
      </c>
      <c r="J39" s="8"/>
      <c r="K39" s="12">
        <f t="shared" si="24"/>
        <v>0</v>
      </c>
      <c r="L39" s="4"/>
      <c r="M39" s="12">
        <f t="shared" si="25"/>
        <v>0</v>
      </c>
      <c r="N39" s="14">
        <f t="shared" si="28"/>
        <v>0</v>
      </c>
      <c r="O39" s="4">
        <f t="shared" si="29"/>
        <v>0</v>
      </c>
      <c r="P39" s="4">
        <f t="shared" si="30"/>
        <v>0</v>
      </c>
      <c r="Q39" s="15">
        <f t="shared" si="31"/>
        <v>19</v>
      </c>
      <c r="R39" s="19">
        <f t="shared" si="7"/>
        <v>28</v>
      </c>
    </row>
    <row r="40" spans="1:18" ht="18.600000000000001" hidden="1" customHeight="1" x14ac:dyDescent="0.3">
      <c r="A40" s="9"/>
      <c r="B40" s="7"/>
      <c r="C40" s="7"/>
      <c r="D40" s="4"/>
      <c r="E40" s="12">
        <f t="shared" si="21"/>
        <v>0</v>
      </c>
      <c r="F40" s="4"/>
      <c r="G40" s="12">
        <f t="shared" si="22"/>
        <v>0</v>
      </c>
      <c r="H40" s="8"/>
      <c r="I40" s="12">
        <f t="shared" si="23"/>
        <v>0</v>
      </c>
      <c r="J40" s="8"/>
      <c r="K40" s="12">
        <f t="shared" si="24"/>
        <v>0</v>
      </c>
      <c r="L40" s="4"/>
      <c r="M40" s="12">
        <f t="shared" si="25"/>
        <v>0</v>
      </c>
      <c r="N40" s="14">
        <f t="shared" si="28"/>
        <v>0</v>
      </c>
      <c r="O40" s="4">
        <f t="shared" si="29"/>
        <v>0</v>
      </c>
      <c r="P40" s="4">
        <f t="shared" si="30"/>
        <v>0</v>
      </c>
      <c r="Q40" s="15">
        <f t="shared" si="31"/>
        <v>18</v>
      </c>
      <c r="R40" s="19">
        <f t="shared" si="7"/>
        <v>29</v>
      </c>
    </row>
    <row r="41" spans="1:18" ht="18.600000000000001" hidden="1" customHeight="1" x14ac:dyDescent="0.3">
      <c r="A41" s="9"/>
      <c r="B41" s="7"/>
      <c r="C41" s="7"/>
      <c r="D41" s="4"/>
      <c r="E41" s="12">
        <f t="shared" si="21"/>
        <v>0</v>
      </c>
      <c r="F41" s="4"/>
      <c r="G41" s="12">
        <f t="shared" si="22"/>
        <v>0</v>
      </c>
      <c r="H41" s="8"/>
      <c r="I41" s="12">
        <f t="shared" si="23"/>
        <v>0</v>
      </c>
      <c r="J41" s="8"/>
      <c r="K41" s="12">
        <f t="shared" si="24"/>
        <v>0</v>
      </c>
      <c r="L41" s="4"/>
      <c r="M41" s="12">
        <f t="shared" si="25"/>
        <v>0</v>
      </c>
      <c r="N41" s="14">
        <f t="shared" si="28"/>
        <v>0</v>
      </c>
      <c r="O41" s="4">
        <f t="shared" si="29"/>
        <v>0</v>
      </c>
      <c r="P41" s="4">
        <f t="shared" si="30"/>
        <v>0</v>
      </c>
      <c r="Q41" s="15">
        <f t="shared" si="31"/>
        <v>17</v>
      </c>
      <c r="R41" s="19">
        <f t="shared" si="7"/>
        <v>30</v>
      </c>
    </row>
    <row r="42" spans="1:18" ht="18.600000000000001" hidden="1" customHeight="1" x14ac:dyDescent="0.3">
      <c r="A42" s="9"/>
      <c r="B42" s="7"/>
      <c r="C42" s="7"/>
      <c r="D42" s="4"/>
      <c r="E42" s="12">
        <f t="shared" si="21"/>
        <v>0</v>
      </c>
      <c r="F42" s="4"/>
      <c r="G42" s="12">
        <f t="shared" si="22"/>
        <v>0</v>
      </c>
      <c r="H42" s="8"/>
      <c r="I42" s="12">
        <f t="shared" si="23"/>
        <v>0</v>
      </c>
      <c r="J42" s="8"/>
      <c r="K42" s="12">
        <f t="shared" si="24"/>
        <v>0</v>
      </c>
      <c r="L42" s="4"/>
      <c r="M42" s="12">
        <f t="shared" si="25"/>
        <v>0</v>
      </c>
      <c r="N42" s="14">
        <f t="shared" si="28"/>
        <v>0</v>
      </c>
      <c r="O42" s="4">
        <f t="shared" si="29"/>
        <v>0</v>
      </c>
      <c r="P42" s="4">
        <f t="shared" si="30"/>
        <v>0</v>
      </c>
      <c r="Q42" s="15">
        <f t="shared" si="31"/>
        <v>16</v>
      </c>
      <c r="R42" s="19">
        <f t="shared" si="7"/>
        <v>31</v>
      </c>
    </row>
    <row r="43" spans="1:18" ht="18.600000000000001" hidden="1" customHeight="1" x14ac:dyDescent="0.3">
      <c r="A43" s="9"/>
      <c r="B43" s="7"/>
      <c r="C43" s="7"/>
      <c r="D43" s="4"/>
      <c r="E43" s="12">
        <f t="shared" si="21"/>
        <v>0</v>
      </c>
      <c r="F43" s="4"/>
      <c r="G43" s="12">
        <f t="shared" si="22"/>
        <v>0</v>
      </c>
      <c r="H43" s="8"/>
      <c r="I43" s="12">
        <f t="shared" si="23"/>
        <v>0</v>
      </c>
      <c r="J43" s="8"/>
      <c r="K43" s="12">
        <f t="shared" si="24"/>
        <v>0</v>
      </c>
      <c r="L43" s="4"/>
      <c r="M43" s="12">
        <f t="shared" si="25"/>
        <v>0</v>
      </c>
      <c r="N43" s="14">
        <f t="shared" si="28"/>
        <v>0</v>
      </c>
      <c r="O43" s="4">
        <f t="shared" si="29"/>
        <v>0</v>
      </c>
      <c r="P43" s="4">
        <f t="shared" si="30"/>
        <v>0</v>
      </c>
      <c r="Q43" s="15">
        <f t="shared" si="31"/>
        <v>15</v>
      </c>
      <c r="R43" s="19">
        <f t="shared" si="7"/>
        <v>32</v>
      </c>
    </row>
    <row r="44" spans="1:18" ht="18.600000000000001" hidden="1" customHeight="1" x14ac:dyDescent="0.3">
      <c r="A44" s="9"/>
      <c r="B44" s="7"/>
      <c r="C44" s="7"/>
      <c r="D44" s="4"/>
      <c r="E44" s="12">
        <f t="shared" si="21"/>
        <v>0</v>
      </c>
      <c r="F44" s="4"/>
      <c r="G44" s="12">
        <f t="shared" si="22"/>
        <v>0</v>
      </c>
      <c r="H44" s="8"/>
      <c r="I44" s="12">
        <f t="shared" si="23"/>
        <v>0</v>
      </c>
      <c r="J44" s="8"/>
      <c r="K44" s="12">
        <f t="shared" si="24"/>
        <v>0</v>
      </c>
      <c r="L44" s="4"/>
      <c r="M44" s="12">
        <f t="shared" si="25"/>
        <v>0</v>
      </c>
      <c r="N44" s="14">
        <f t="shared" si="28"/>
        <v>0</v>
      </c>
      <c r="O44" s="4">
        <f t="shared" si="29"/>
        <v>0</v>
      </c>
      <c r="P44" s="4">
        <f t="shared" si="30"/>
        <v>0</v>
      </c>
      <c r="Q44" s="15">
        <f t="shared" si="31"/>
        <v>14</v>
      </c>
      <c r="R44" s="19">
        <f t="shared" si="7"/>
        <v>33</v>
      </c>
    </row>
    <row r="45" spans="1:18" x14ac:dyDescent="0.3">
      <c r="A45" s="9"/>
      <c r="B45" s="7"/>
      <c r="C45" s="7"/>
      <c r="D45" s="20"/>
      <c r="E45" s="20"/>
      <c r="F45" s="21"/>
      <c r="G45" s="22"/>
      <c r="H45" s="23"/>
      <c r="I45" s="23"/>
      <c r="J45" s="23"/>
      <c r="K45" s="23"/>
      <c r="L45" s="21"/>
      <c r="M45" s="21"/>
      <c r="N45" s="24"/>
      <c r="O45" s="21"/>
      <c r="P45" s="21"/>
      <c r="Q45" s="15">
        <f t="shared" si="31"/>
        <v>13</v>
      </c>
      <c r="R45" s="19">
        <f t="shared" si="7"/>
        <v>34</v>
      </c>
    </row>
    <row r="46" spans="1:18" ht="15" customHeight="1" x14ac:dyDescent="0.3">
      <c r="A46" s="56" t="s">
        <v>21</v>
      </c>
      <c r="B46" s="56"/>
      <c r="C46" s="56"/>
      <c r="D46" s="20"/>
      <c r="E46" s="20">
        <f>+SUM(E12:E45)</f>
        <v>1190313</v>
      </c>
      <c r="F46" s="20"/>
      <c r="G46" s="20">
        <f>+SUM(G12:G45)</f>
        <v>148141</v>
      </c>
      <c r="H46" s="20"/>
      <c r="I46" s="20">
        <f>+SUM(I12:I45)</f>
        <v>187600</v>
      </c>
      <c r="J46" s="20"/>
      <c r="K46" s="20">
        <f>+SUM(K12:K45)</f>
        <v>156928</v>
      </c>
      <c r="L46" s="20"/>
      <c r="M46" s="20">
        <f>+SUM(M12:M45)</f>
        <v>0</v>
      </c>
      <c r="N46" s="20"/>
      <c r="O46" s="20"/>
      <c r="P46" s="20">
        <f>+SUM(P12:P45)</f>
        <v>1309511</v>
      </c>
      <c r="Q46" s="15">
        <f t="shared" si="31"/>
        <v>12</v>
      </c>
      <c r="R46" s="19">
        <f t="shared" si="7"/>
        <v>35</v>
      </c>
    </row>
    <row r="47" spans="1:18" ht="15" customHeight="1" x14ac:dyDescent="0.3">
      <c r="A47" s="65" t="s">
        <v>25</v>
      </c>
      <c r="B47" s="65"/>
      <c r="C47" s="65"/>
      <c r="D47" s="25">
        <v>0</v>
      </c>
      <c r="E47" s="20">
        <f>+D47*E46</f>
        <v>0</v>
      </c>
      <c r="F47" s="25">
        <v>0</v>
      </c>
      <c r="G47" s="20">
        <f>+F47*G46</f>
        <v>0</v>
      </c>
      <c r="H47" s="25">
        <v>0</v>
      </c>
      <c r="I47" s="20">
        <f>+H47*I46</f>
        <v>0</v>
      </c>
      <c r="J47" s="25">
        <v>0</v>
      </c>
      <c r="K47" s="20">
        <f>+J47*K46</f>
        <v>0</v>
      </c>
      <c r="L47" s="25">
        <v>0</v>
      </c>
      <c r="M47" s="20">
        <f>+L47*M46</f>
        <v>0</v>
      </c>
      <c r="N47" s="20"/>
      <c r="O47" s="25">
        <v>0</v>
      </c>
      <c r="P47" s="20">
        <f>+O47*P46</f>
        <v>0</v>
      </c>
      <c r="Q47" s="15">
        <f t="shared" si="31"/>
        <v>11</v>
      </c>
      <c r="R47" s="19">
        <f t="shared" si="7"/>
        <v>36</v>
      </c>
    </row>
    <row r="48" spans="1:18" ht="15" customHeight="1" x14ac:dyDescent="0.3">
      <c r="A48" s="56" t="s">
        <v>26</v>
      </c>
      <c r="B48" s="56"/>
      <c r="C48" s="56"/>
      <c r="D48" s="25">
        <v>0.19</v>
      </c>
      <c r="E48" s="20">
        <f>+E46*D48</f>
        <v>226159.47</v>
      </c>
      <c r="F48" s="25">
        <v>0.19</v>
      </c>
      <c r="G48" s="20">
        <f>+G46*F48</f>
        <v>28146.79</v>
      </c>
      <c r="H48" s="25">
        <v>0.19</v>
      </c>
      <c r="I48" s="20">
        <f>+I46*H48</f>
        <v>35644</v>
      </c>
      <c r="J48" s="25">
        <v>0.19</v>
      </c>
      <c r="K48" s="20">
        <v>0</v>
      </c>
      <c r="L48" s="25">
        <v>0.19</v>
      </c>
      <c r="M48" s="20">
        <f>+M46*B48</f>
        <v>0</v>
      </c>
      <c r="N48" s="20"/>
      <c r="O48" s="25">
        <v>0.19</v>
      </c>
      <c r="P48" s="20">
        <f>+P46*D48</f>
        <v>248807.09</v>
      </c>
      <c r="Q48" s="15">
        <f t="shared" si="31"/>
        <v>10</v>
      </c>
      <c r="R48" s="19">
        <f t="shared" si="7"/>
        <v>37</v>
      </c>
    </row>
    <row r="49" spans="1:18" ht="15" customHeight="1" x14ac:dyDescent="0.3">
      <c r="A49" s="56" t="s">
        <v>27</v>
      </c>
      <c r="B49" s="56"/>
      <c r="C49" s="56"/>
      <c r="D49" s="20"/>
      <c r="E49" s="20">
        <f>+E48+E46</f>
        <v>1416472.47</v>
      </c>
      <c r="F49" s="20"/>
      <c r="G49" s="20">
        <f>+G48+G46</f>
        <v>176287.79</v>
      </c>
      <c r="H49" s="20"/>
      <c r="I49" s="20">
        <f>+I48+I46</f>
        <v>223244</v>
      </c>
      <c r="J49" s="20"/>
      <c r="K49" s="20">
        <v>0</v>
      </c>
      <c r="L49" s="20"/>
      <c r="M49" s="20">
        <f>+M48+M46</f>
        <v>0</v>
      </c>
      <c r="N49" s="20"/>
      <c r="O49" s="20"/>
      <c r="P49" s="20">
        <f>+P48+P46</f>
        <v>1558318.09</v>
      </c>
      <c r="Q49" s="15">
        <f t="shared" si="31"/>
        <v>9</v>
      </c>
      <c r="R49" s="19">
        <f t="shared" si="7"/>
        <v>38</v>
      </c>
    </row>
    <row r="50" spans="1:18" ht="15" customHeight="1" x14ac:dyDescent="0.3">
      <c r="A50" s="56" t="s">
        <v>28</v>
      </c>
      <c r="B50" s="56"/>
      <c r="C50" s="56"/>
      <c r="D50" s="37" t="s">
        <v>29</v>
      </c>
      <c r="E50" s="37"/>
      <c r="F50" s="66" t="s">
        <v>29</v>
      </c>
      <c r="G50" s="66"/>
      <c r="H50" s="66" t="s">
        <v>29</v>
      </c>
      <c r="I50" s="66"/>
      <c r="J50" s="66"/>
      <c r="K50" s="66"/>
      <c r="L50" s="66"/>
      <c r="M50" s="66"/>
      <c r="Q50" s="15">
        <f t="shared" si="31"/>
        <v>8</v>
      </c>
      <c r="R50" s="19">
        <f t="shared" si="7"/>
        <v>39</v>
      </c>
    </row>
    <row r="51" spans="1:18" ht="15" customHeight="1" x14ac:dyDescent="0.3">
      <c r="A51" s="65" t="s">
        <v>30</v>
      </c>
      <c r="B51" s="65"/>
      <c r="C51" s="65"/>
      <c r="D51" s="37" t="s">
        <v>24</v>
      </c>
      <c r="E51" s="37"/>
      <c r="F51" s="37" t="s">
        <v>24</v>
      </c>
      <c r="G51" s="37"/>
      <c r="H51" s="37" t="s">
        <v>24</v>
      </c>
      <c r="I51" s="37"/>
      <c r="J51" s="37"/>
      <c r="K51" s="37"/>
      <c r="L51" s="37"/>
      <c r="M51" s="37"/>
      <c r="Q51" s="15">
        <f t="shared" si="31"/>
        <v>7</v>
      </c>
      <c r="R51" s="19">
        <f t="shared" si="7"/>
        <v>40</v>
      </c>
    </row>
    <row r="52" spans="1:18" ht="15" customHeight="1" x14ac:dyDescent="0.3">
      <c r="A52" s="65" t="s">
        <v>31</v>
      </c>
      <c r="B52" s="65"/>
      <c r="C52" s="65"/>
      <c r="D52" s="37"/>
      <c r="E52" s="37"/>
      <c r="F52" s="37"/>
      <c r="G52" s="37"/>
      <c r="H52" s="37"/>
      <c r="I52" s="37"/>
      <c r="J52" s="37"/>
      <c r="K52" s="37"/>
      <c r="L52" s="37"/>
      <c r="M52" s="37"/>
      <c r="Q52" s="15">
        <f t="shared" si="31"/>
        <v>6</v>
      </c>
      <c r="R52" s="19">
        <f t="shared" si="7"/>
        <v>41</v>
      </c>
    </row>
    <row r="53" spans="1:18" ht="15" customHeight="1" x14ac:dyDescent="0.3">
      <c r="A53" s="65" t="s">
        <v>32</v>
      </c>
      <c r="B53" s="65"/>
      <c r="C53" s="65"/>
      <c r="D53" s="37"/>
      <c r="E53" s="37"/>
      <c r="F53" s="37"/>
      <c r="G53" s="37"/>
      <c r="H53" s="37"/>
      <c r="I53" s="37"/>
      <c r="J53" s="37"/>
      <c r="K53" s="37"/>
      <c r="L53" s="37"/>
      <c r="M53" s="37"/>
      <c r="Q53" s="15">
        <f t="shared" si="31"/>
        <v>5</v>
      </c>
      <c r="R53" s="19">
        <f t="shared" si="7"/>
        <v>42</v>
      </c>
    </row>
    <row r="54" spans="1:18" ht="15" customHeight="1" x14ac:dyDescent="0.3">
      <c r="A54" s="56" t="s">
        <v>33</v>
      </c>
      <c r="B54" s="56"/>
      <c r="C54" s="56"/>
      <c r="D54" s="37"/>
      <c r="E54" s="37"/>
      <c r="F54" s="57"/>
      <c r="G54" s="37"/>
      <c r="H54" s="37"/>
      <c r="I54" s="37"/>
      <c r="J54" s="37"/>
      <c r="K54" s="37"/>
      <c r="L54" s="37"/>
      <c r="M54" s="37"/>
      <c r="Q54" s="15">
        <f t="shared" si="31"/>
        <v>4</v>
      </c>
      <c r="R54" s="19">
        <f t="shared" si="7"/>
        <v>43</v>
      </c>
    </row>
    <row r="55" spans="1:18" ht="6.9" customHeight="1" x14ac:dyDescent="0.3">
      <c r="A55" s="53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5"/>
      <c r="N55" s="10"/>
      <c r="Q55" s="15">
        <f t="shared" si="31"/>
        <v>3</v>
      </c>
      <c r="R55" s="19">
        <f t="shared" si="7"/>
        <v>44</v>
      </c>
    </row>
    <row r="56" spans="1:18" ht="16.5" customHeight="1" x14ac:dyDescent="0.3">
      <c r="A56" s="70" t="s">
        <v>34</v>
      </c>
      <c r="B56" s="70"/>
      <c r="C56" s="70"/>
      <c r="D56" s="70"/>
      <c r="E56" s="70"/>
      <c r="F56" s="70"/>
      <c r="G56" s="70"/>
      <c r="H56" s="70"/>
      <c r="I56" s="70"/>
      <c r="J56" s="70"/>
      <c r="K56" s="70"/>
      <c r="L56" s="70"/>
      <c r="M56" s="70"/>
      <c r="Q56" s="15">
        <f t="shared" si="31"/>
        <v>2</v>
      </c>
      <c r="R56" s="19">
        <f t="shared" si="7"/>
        <v>45</v>
      </c>
    </row>
    <row r="57" spans="1:18" ht="15" customHeight="1" x14ac:dyDescent="0.3">
      <c r="A57" s="71" t="s">
        <v>35</v>
      </c>
      <c r="B57" s="71"/>
      <c r="C57" s="71"/>
      <c r="D57" s="40" t="str">
        <f>+D10</f>
        <v>TIG</v>
      </c>
      <c r="E57" s="40"/>
      <c r="F57" s="40" t="str">
        <f t="shared" ref="F57" si="32">+F10</f>
        <v>TIENDAS</v>
      </c>
      <c r="G57" s="41"/>
      <c r="H57" s="40" t="str">
        <f t="shared" ref="H57" si="33">+H10</f>
        <v>FERROSERVICE</v>
      </c>
      <c r="I57" s="41"/>
      <c r="J57" s="40" t="str">
        <f t="shared" ref="J57" si="34">+J10</f>
        <v>ALMACEN PANAMERICANO</v>
      </c>
      <c r="K57" s="41"/>
      <c r="L57" s="40">
        <f t="shared" ref="L57" si="35">+L10</f>
        <v>0</v>
      </c>
      <c r="M57" s="41"/>
      <c r="Q57" s="15">
        <f t="shared" si="31"/>
        <v>1</v>
      </c>
      <c r="R57" s="19">
        <f t="shared" si="7"/>
        <v>46</v>
      </c>
    </row>
    <row r="58" spans="1:18" ht="15" customHeight="1" x14ac:dyDescent="0.3">
      <c r="A58" s="61" t="s">
        <v>36</v>
      </c>
      <c r="B58" s="61"/>
      <c r="C58" s="61"/>
      <c r="D58" s="37">
        <v>811025918</v>
      </c>
      <c r="E58" s="37"/>
      <c r="F58" s="37">
        <v>890929922</v>
      </c>
      <c r="G58" s="37"/>
      <c r="H58" s="37">
        <v>900195999</v>
      </c>
      <c r="I58" s="37"/>
      <c r="J58" s="37" t="s">
        <v>63</v>
      </c>
      <c r="K58" s="37"/>
      <c r="L58" s="37"/>
      <c r="M58" s="37"/>
    </row>
    <row r="59" spans="1:18" ht="15" customHeight="1" x14ac:dyDescent="0.3">
      <c r="A59" s="61" t="s">
        <v>37</v>
      </c>
      <c r="B59" s="61"/>
      <c r="C59" s="61"/>
      <c r="D59" s="37" t="s">
        <v>66</v>
      </c>
      <c r="E59" s="37"/>
      <c r="F59" s="37" t="s">
        <v>50</v>
      </c>
      <c r="G59" s="37"/>
      <c r="H59" s="37" t="s">
        <v>75</v>
      </c>
      <c r="I59" s="37"/>
      <c r="J59" s="37" t="s">
        <v>50</v>
      </c>
      <c r="K59" s="37"/>
      <c r="L59" s="37"/>
      <c r="M59" s="37"/>
    </row>
    <row r="60" spans="1:18" ht="15" customHeight="1" x14ac:dyDescent="0.3">
      <c r="A60" s="61" t="s">
        <v>38</v>
      </c>
      <c r="B60" s="61"/>
      <c r="C60" s="61"/>
      <c r="D60" s="37" t="s">
        <v>67</v>
      </c>
      <c r="E60" s="37"/>
      <c r="F60" s="37" t="s">
        <v>70</v>
      </c>
      <c r="G60" s="37"/>
      <c r="H60" s="37" t="s">
        <v>76</v>
      </c>
      <c r="I60" s="37"/>
      <c r="J60" s="37" t="s">
        <v>60</v>
      </c>
      <c r="K60" s="37"/>
      <c r="L60" s="37"/>
      <c r="M60" s="37"/>
    </row>
    <row r="61" spans="1:18" ht="15" customHeight="1" x14ac:dyDescent="0.3">
      <c r="A61" s="61" t="s">
        <v>39</v>
      </c>
      <c r="B61" s="61"/>
      <c r="C61" s="61"/>
      <c r="D61" s="37" t="s">
        <v>71</v>
      </c>
      <c r="E61" s="37"/>
      <c r="F61" s="37" t="s">
        <v>72</v>
      </c>
      <c r="G61" s="37"/>
      <c r="H61" s="37" t="s">
        <v>77</v>
      </c>
      <c r="I61" s="37"/>
      <c r="J61" s="37" t="s">
        <v>63</v>
      </c>
      <c r="K61" s="37"/>
      <c r="L61" s="37"/>
      <c r="M61" s="37"/>
    </row>
    <row r="62" spans="1:18" ht="15" customHeight="1" x14ac:dyDescent="0.3">
      <c r="A62" s="61" t="s">
        <v>40</v>
      </c>
      <c r="B62" s="61"/>
      <c r="C62" s="61"/>
      <c r="D62" s="37" t="s">
        <v>68</v>
      </c>
      <c r="E62" s="37"/>
      <c r="F62" s="37" t="s">
        <v>73</v>
      </c>
      <c r="G62" s="37"/>
      <c r="H62" s="37" t="s">
        <v>78</v>
      </c>
      <c r="I62" s="37"/>
      <c r="J62" s="37" t="s">
        <v>61</v>
      </c>
      <c r="K62" s="37"/>
      <c r="L62" s="37"/>
      <c r="M62" s="37"/>
    </row>
    <row r="63" spans="1:18" ht="15" customHeight="1" x14ac:dyDescent="0.3">
      <c r="A63" s="61" t="s">
        <v>41</v>
      </c>
      <c r="B63" s="61"/>
      <c r="C63" s="61"/>
      <c r="D63" s="63" t="s">
        <v>69</v>
      </c>
      <c r="E63" s="62"/>
      <c r="F63" s="63" t="s">
        <v>74</v>
      </c>
      <c r="G63" s="69"/>
      <c r="H63" s="63" t="s">
        <v>79</v>
      </c>
      <c r="I63" s="37"/>
      <c r="J63" s="63" t="s">
        <v>62</v>
      </c>
      <c r="K63" s="37"/>
      <c r="L63" s="37"/>
      <c r="M63" s="37"/>
    </row>
    <row r="64" spans="1:18" ht="15" customHeight="1" x14ac:dyDescent="0.3">
      <c r="A64" s="61" t="s">
        <v>42</v>
      </c>
      <c r="B64" s="61"/>
      <c r="C64" s="61"/>
      <c r="D64" s="59">
        <f>IFERROR((COUNTIF($N$12:$N$45,D57))/COUNT($B$12:$B$45),"")</f>
        <v>0.2857142857142857</v>
      </c>
      <c r="E64" s="59"/>
      <c r="F64" s="59">
        <f>IFERROR((COUNTIF($N$12:$N$45,F57))/COUNT($B$12:$B$45),"")</f>
        <v>0.14285714285714285</v>
      </c>
      <c r="G64" s="59"/>
      <c r="H64" s="59">
        <f>IFERROR((COUNTIF($N$12:$N$45,H57))/COUNT($B$12:$B$45),"")</f>
        <v>0.14285714285714285</v>
      </c>
      <c r="I64" s="59"/>
      <c r="J64" s="59">
        <v>0</v>
      </c>
      <c r="K64" s="59"/>
      <c r="L64" s="59">
        <v>0</v>
      </c>
      <c r="M64" s="59"/>
    </row>
    <row r="65" spans="1:13" ht="6.9" customHeight="1" x14ac:dyDescent="0.3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</row>
    <row r="66" spans="1:13" ht="12" x14ac:dyDescent="0.3">
      <c r="A66" s="26" t="s">
        <v>43</v>
      </c>
      <c r="B66" s="60" t="str">
        <f>IFERROR(CONCATENATE("Según el análisis económico comparativo, el proveedor ",HLOOKUP(MAX(D64:M64),D64:M69,7,FALSE)," es el más adecuado"),"")</f>
        <v/>
      </c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</row>
    <row r="67" spans="1:13" ht="12" x14ac:dyDescent="0.3">
      <c r="A67" s="72" t="s">
        <v>44</v>
      </c>
      <c r="B67" s="72"/>
      <c r="C67" s="28" t="s">
        <v>45</v>
      </c>
      <c r="D67" s="29"/>
      <c r="E67" s="29"/>
      <c r="F67" s="29"/>
      <c r="G67" s="29"/>
      <c r="H67" s="29"/>
      <c r="I67" s="29"/>
      <c r="J67" s="29"/>
      <c r="K67" s="29"/>
      <c r="L67" s="29"/>
      <c r="M67" s="30"/>
    </row>
    <row r="69" spans="1:13" ht="12" hidden="1" x14ac:dyDescent="0.3">
      <c r="D69" s="67" t="str">
        <f>+D57</f>
        <v>TIG</v>
      </c>
      <c r="E69" s="68"/>
      <c r="F69" s="67" t="str">
        <f t="shared" ref="F69" si="36">+F57</f>
        <v>TIENDAS</v>
      </c>
      <c r="G69" s="68"/>
      <c r="H69" s="67" t="str">
        <f t="shared" ref="H69" si="37">+H57</f>
        <v>FERROSERVICE</v>
      </c>
      <c r="I69" s="68"/>
      <c r="J69" s="67" t="str">
        <f t="shared" ref="J69" si="38">+J57</f>
        <v>ALMACEN PANAMERICANO</v>
      </c>
      <c r="K69" s="68"/>
      <c r="L69" s="67">
        <f t="shared" ref="L69" si="39">+L57</f>
        <v>0</v>
      </c>
      <c r="M69" s="68"/>
    </row>
    <row r="70" spans="1:13" x14ac:dyDescent="0.3">
      <c r="H70" s="27"/>
    </row>
  </sheetData>
  <mergeCells count="117">
    <mergeCell ref="D69:E69"/>
    <mergeCell ref="F69:G69"/>
    <mergeCell ref="H69:I69"/>
    <mergeCell ref="J69:K69"/>
    <mergeCell ref="L69:M69"/>
    <mergeCell ref="A63:C63"/>
    <mergeCell ref="D63:E63"/>
    <mergeCell ref="F63:G63"/>
    <mergeCell ref="A56:M56"/>
    <mergeCell ref="D57:E57"/>
    <mergeCell ref="D58:E58"/>
    <mergeCell ref="D59:E59"/>
    <mergeCell ref="D60:E60"/>
    <mergeCell ref="A57:C57"/>
    <mergeCell ref="A58:C58"/>
    <mergeCell ref="A59:C59"/>
    <mergeCell ref="A60:C60"/>
    <mergeCell ref="A67:B67"/>
    <mergeCell ref="F64:G64"/>
    <mergeCell ref="H64:I64"/>
    <mergeCell ref="J64:K64"/>
    <mergeCell ref="D64:E64"/>
    <mergeCell ref="A64:C64"/>
    <mergeCell ref="A65:M65"/>
    <mergeCell ref="N10:P10"/>
    <mergeCell ref="O6:P6"/>
    <mergeCell ref="A46:C46"/>
    <mergeCell ref="A47:C47"/>
    <mergeCell ref="A51:C51"/>
    <mergeCell ref="A52:C52"/>
    <mergeCell ref="A53:C53"/>
    <mergeCell ref="A48:C48"/>
    <mergeCell ref="A49:C49"/>
    <mergeCell ref="A50:C50"/>
    <mergeCell ref="F51:G51"/>
    <mergeCell ref="H51:I51"/>
    <mergeCell ref="J51:K51"/>
    <mergeCell ref="L51:M51"/>
    <mergeCell ref="D51:E51"/>
    <mergeCell ref="F52:G52"/>
    <mergeCell ref="H52:I52"/>
    <mergeCell ref="J52:K52"/>
    <mergeCell ref="L52:M52"/>
    <mergeCell ref="D52:E52"/>
    <mergeCell ref="F50:G50"/>
    <mergeCell ref="H50:I50"/>
    <mergeCell ref="J50:K50"/>
    <mergeCell ref="L50:M50"/>
    <mergeCell ref="H60:I60"/>
    <mergeCell ref="J60:K60"/>
    <mergeCell ref="L60:M60"/>
    <mergeCell ref="F57:G57"/>
    <mergeCell ref="H57:I57"/>
    <mergeCell ref="J57:K57"/>
    <mergeCell ref="L57:M57"/>
    <mergeCell ref="L64:M64"/>
    <mergeCell ref="B66:M66"/>
    <mergeCell ref="F61:G61"/>
    <mergeCell ref="H61:I61"/>
    <mergeCell ref="J61:K61"/>
    <mergeCell ref="L61:M61"/>
    <mergeCell ref="F62:G62"/>
    <mergeCell ref="H62:I62"/>
    <mergeCell ref="J62:K62"/>
    <mergeCell ref="L62:M62"/>
    <mergeCell ref="D61:E61"/>
    <mergeCell ref="D62:E62"/>
    <mergeCell ref="A61:C61"/>
    <mergeCell ref="A62:C62"/>
    <mergeCell ref="H63:I63"/>
    <mergeCell ref="J63:K63"/>
    <mergeCell ref="L63:M63"/>
    <mergeCell ref="A1:B3"/>
    <mergeCell ref="C1:H3"/>
    <mergeCell ref="A4:B4"/>
    <mergeCell ref="A55:M55"/>
    <mergeCell ref="D54:E54"/>
    <mergeCell ref="A54:C54"/>
    <mergeCell ref="F58:G58"/>
    <mergeCell ref="H58:I58"/>
    <mergeCell ref="J58:K58"/>
    <mergeCell ref="L58:M58"/>
    <mergeCell ref="F53:G53"/>
    <mergeCell ref="H53:I53"/>
    <mergeCell ref="J53:K53"/>
    <mergeCell ref="L53:M53"/>
    <mergeCell ref="D53:E53"/>
    <mergeCell ref="F54:G54"/>
    <mergeCell ref="H54:I54"/>
    <mergeCell ref="J54:K54"/>
    <mergeCell ref="L54:M54"/>
    <mergeCell ref="F4:H4"/>
    <mergeCell ref="C4:D4"/>
    <mergeCell ref="C67:M67"/>
    <mergeCell ref="A5:J5"/>
    <mergeCell ref="B6:D6"/>
    <mergeCell ref="F6:H6"/>
    <mergeCell ref="J6:M6"/>
    <mergeCell ref="D50:E50"/>
    <mergeCell ref="B7:E7"/>
    <mergeCell ref="G7:M7"/>
    <mergeCell ref="A9:C9"/>
    <mergeCell ref="D9:M9"/>
    <mergeCell ref="A10:A11"/>
    <mergeCell ref="B10:B11"/>
    <mergeCell ref="C10:C11"/>
    <mergeCell ref="D10:E10"/>
    <mergeCell ref="F10:G10"/>
    <mergeCell ref="H10:I10"/>
    <mergeCell ref="J10:K10"/>
    <mergeCell ref="L10:M10"/>
    <mergeCell ref="A8:M8"/>
    <mergeCell ref="F59:G59"/>
    <mergeCell ref="H59:I59"/>
    <mergeCell ref="J59:K59"/>
    <mergeCell ref="L59:M59"/>
    <mergeCell ref="F60:G60"/>
  </mergeCells>
  <phoneticPr fontId="12" type="noConversion"/>
  <hyperlinks>
    <hyperlink ref="J63" r:id="rId1" xr:uid="{CF476F77-7091-4331-B885-0DD3E9E59D0F}"/>
    <hyperlink ref="D63" r:id="rId2" xr:uid="{1147762B-2393-43B2-8990-4137303C66B8}"/>
    <hyperlink ref="F63" r:id="rId3" xr:uid="{7589834B-830F-455D-91BF-AB6F9ACE658C}"/>
    <hyperlink ref="H63" r:id="rId4" xr:uid="{D2F6B164-B4FA-40C6-8951-943D2A19A25B}"/>
  </hyperlinks>
  <printOptions horizontalCentered="1" verticalCentered="1"/>
  <pageMargins left="0.31496062992125984" right="0.31496062992125984" top="0.35433070866141736" bottom="0.35433070866141736" header="0.31496062992125984" footer="0.31496062992125984"/>
  <pageSetup scale="48" orientation="landscape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A5ECD-A29B-4AB9-B2ED-6137571B3A3D}">
  <sheetPr>
    <tabColor rgb="FF92D050"/>
  </sheetPr>
  <dimension ref="A1"/>
  <sheetViews>
    <sheetView showGridLines="0" workbookViewId="0">
      <selection activeCell="K19" sqref="K19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99287-AB7D-4757-98B6-730DC6A5CCEC}">
  <sheetPr>
    <tabColor rgb="FF92D050"/>
  </sheetPr>
  <dimension ref="A1"/>
  <sheetViews>
    <sheetView showGridLines="0" workbookViewId="0">
      <selection activeCell="C28" sqref="C28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66799-1A22-4586-864A-684601DFE03E}">
  <sheetPr>
    <tabColor rgb="FF92D050"/>
  </sheetPr>
  <dimension ref="A1"/>
  <sheetViews>
    <sheetView showGridLines="0" workbookViewId="0">
      <selection activeCell="L21" sqref="L21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B9030-92AD-4D16-9589-17BBF83AD2E4}">
  <sheetPr>
    <tabColor rgb="FF92D050"/>
  </sheetPr>
  <dimension ref="A1"/>
  <sheetViews>
    <sheetView showGridLines="0" workbookViewId="0">
      <selection activeCell="K17" sqref="K17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E58333A7FA8ED47AE997B3C051B91C9" ma:contentTypeVersion="14" ma:contentTypeDescription="Crear nuevo documento." ma:contentTypeScope="" ma:versionID="27380c58e825d07aa93672a06e5dfb6f">
  <xsd:schema xmlns:xsd="http://www.w3.org/2001/XMLSchema" xmlns:xs="http://www.w3.org/2001/XMLSchema" xmlns:p="http://schemas.microsoft.com/office/2006/metadata/properties" xmlns:ns2="0e48cec0-cc19-4e5b-84a7-83cb7ff85836" xmlns:ns3="a48abf51-0622-4536-a904-370db087c848" targetNamespace="http://schemas.microsoft.com/office/2006/metadata/properties" ma:root="true" ma:fieldsID="87cf5d9da6c3fac8f592e23c157f04c5" ns2:_="" ns3:_="">
    <xsd:import namespace="0e48cec0-cc19-4e5b-84a7-83cb7ff85836"/>
    <xsd:import namespace="a48abf51-0622-4536-a904-370db087c84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48cec0-cc19-4e5b-84a7-83cb7ff858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n" ma:readOnly="false" ma:fieldId="{5cf76f15-5ced-4ddc-b409-7134ff3c332f}" ma:taxonomyMulti="true" ma:sspId="166a8ef6-8a66-4e83-9a5a-219d91e0ed4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8abf51-0622-4536-a904-370db087c848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da17c5e-5a47-4729-b745-83170dbc06fd}" ma:internalName="TaxCatchAll" ma:showField="CatchAllData" ma:web="a48abf51-0622-4536-a904-370db087c84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48abf51-0622-4536-a904-370db087c848" xsi:nil="true"/>
    <lcf76f155ced4ddcb4097134ff3c332f xmlns="0e48cec0-cc19-4e5b-84a7-83cb7ff8583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E26B97F-16E7-45BB-B724-9A451BB055F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48cec0-cc19-4e5b-84a7-83cb7ff85836"/>
    <ds:schemaRef ds:uri="a48abf51-0622-4536-a904-370db087c84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F7E2E50-CD29-446D-8F75-2CCF3BC8972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4FCD33E-AA52-4781-9524-D9183ACA1308}">
  <ds:schemaRefs>
    <ds:schemaRef ds:uri="http://schemas.microsoft.com/office/2006/metadata/properties"/>
    <ds:schemaRef ds:uri="http://schemas.microsoft.com/office/infopath/2007/PartnerControls"/>
    <ds:schemaRef ds:uri="a48abf51-0622-4536-a904-370db087c848"/>
    <ds:schemaRef ds:uri="0e48cec0-cc19-4e5b-84a7-83cb7ff8583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Cuadro comparativo</vt:lpstr>
      <vt:lpstr>FERROSERVICE</vt:lpstr>
      <vt:lpstr>TIENDAS </vt:lpstr>
      <vt:lpstr>TIG </vt:lpstr>
      <vt:lpstr>PANAMERICANO 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Marbelys Barreto</cp:lastModifiedBy>
  <cp:revision/>
  <dcterms:created xsi:type="dcterms:W3CDTF">2012-04-24T22:03:28Z</dcterms:created>
  <dcterms:modified xsi:type="dcterms:W3CDTF">2026-01-31T13:34:08Z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0x010100EE58333A7FA8ED47AE997B3C051B91C9</vt:lpwstr>
  </property>
  <property fmtid="{D5CDD505-2E9C-101B-9397-08002B2CF9AE}" pid="3" name="Order">
    <vt:r8>5400</vt:r8>
  </property>
  <property fmtid="{D5CDD505-2E9C-101B-9397-08002B2CF9AE}" pid="4" name="MediaServiceImageTags">
    <vt:lpwstr/>
  </property>
</Properties>
</file>