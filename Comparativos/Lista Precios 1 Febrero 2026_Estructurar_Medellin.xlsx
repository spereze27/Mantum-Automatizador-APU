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ATRIZ PROVEEDORES\LISTAS DE COSTOS 2025\SIKA OK\"/>
    </mc:Choice>
  </mc:AlternateContent>
  <xr:revisionPtr revIDLastSave="0" documentId="8_{C7D49C74-4E35-46C4-86AE-EC7C2FE149FE}" xr6:coauthVersionLast="37" xr6:coauthVersionMax="37" xr10:uidLastSave="{00000000-0000-0000-0000-000000000000}"/>
  <bookViews>
    <workbookView xWindow="0" yWindow="0" windowWidth="20490" windowHeight="7545" xr2:uid="{E1FEF13A-85AA-4861-B2E2-BBCBBC5E8B56}"/>
  </bookViews>
  <sheets>
    <sheet name="Lista " sheetId="1" r:id="rId1"/>
    <sheet name="Lista Especiales Distribucion" sheetId="2" r:id="rId2"/>
  </sheets>
  <definedNames>
    <definedName name="_xlnm._FilterDatabase" localSheetId="0" hidden="1">'Lista '!$A$4:$M$907</definedName>
    <definedName name="_xlnm._FilterDatabase" localSheetId="1" hidden="1">'Lista Especiales Distribucion'!$A$4:$F$45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49" i="1" l="1"/>
  <c r="D716" i="1"/>
  <c r="D718" i="1"/>
  <c r="D727" i="1"/>
  <c r="D719" i="1"/>
  <c r="D726" i="1"/>
  <c r="D715" i="1"/>
  <c r="D389" i="1"/>
  <c r="D688" i="1"/>
  <c r="D390" i="1"/>
  <c r="D545" i="1"/>
  <c r="D637" i="1"/>
  <c r="D833" i="1"/>
  <c r="D875" i="1"/>
  <c r="D568" i="1"/>
  <c r="D8" i="1"/>
  <c r="D566" i="1"/>
  <c r="D565" i="1"/>
  <c r="D567" i="1"/>
  <c r="D569" i="1"/>
  <c r="D365" i="1"/>
  <c r="D301" i="1"/>
  <c r="D300" i="1"/>
  <c r="D299" i="1"/>
  <c r="D298" i="1"/>
  <c r="D303" i="1"/>
  <c r="D302" i="1"/>
  <c r="D439" i="1"/>
  <c r="D459" i="1"/>
  <c r="D472" i="1"/>
  <c r="D9" i="1"/>
  <c r="D294" i="1"/>
  <c r="D81" i="1"/>
  <c r="D82" i="1"/>
  <c r="D578" i="1"/>
  <c r="D295" i="1"/>
  <c r="D240" i="1"/>
  <c r="D477" i="1"/>
  <c r="D161" i="1"/>
  <c r="D493" i="1"/>
  <c r="D494" i="1"/>
  <c r="D117" i="1"/>
  <c r="D708" i="1"/>
  <c r="D636" i="1"/>
  <c r="D640" i="1"/>
  <c r="D843" i="1"/>
  <c r="D812" i="1"/>
  <c r="D800" i="1"/>
  <c r="D863" i="1"/>
  <c r="D844" i="1"/>
  <c r="D170" i="1"/>
  <c r="D169" i="1"/>
  <c r="D168" i="1"/>
  <c r="D259" i="1"/>
  <c r="D118" i="1"/>
  <c r="D172" i="1"/>
  <c r="D644" i="1"/>
  <c r="D507" i="1"/>
  <c r="D508" i="1"/>
  <c r="D280" i="1"/>
  <c r="D258" i="1"/>
  <c r="D509" i="1"/>
  <c r="D238" i="1"/>
  <c r="D159" i="1"/>
  <c r="D627" i="1"/>
  <c r="D213" i="1"/>
  <c r="D212" i="1"/>
  <c r="D364" i="1"/>
  <c r="D362" i="1"/>
  <c r="D363" i="1"/>
  <c r="D230" i="1"/>
  <c r="D133" i="1"/>
  <c r="D391" i="1"/>
  <c r="D386" i="1"/>
  <c r="D357" i="1"/>
  <c r="D353" i="1"/>
  <c r="D355" i="1"/>
  <c r="D126" i="1"/>
  <c r="D127" i="1"/>
  <c r="D128" i="1"/>
  <c r="D84" i="1"/>
  <c r="D231" i="1"/>
  <c r="D237" i="1"/>
  <c r="D531" i="1"/>
  <c r="D233" i="1"/>
  <c r="D232" i="1"/>
  <c r="D415" i="1"/>
  <c r="D385" i="1"/>
  <c r="D246" i="1"/>
  <c r="D245" i="1"/>
  <c r="D244" i="1"/>
  <c r="D226" i="1"/>
  <c r="D223" i="1"/>
  <c r="D228" i="1"/>
  <c r="D224" i="1"/>
  <c r="D227" i="1"/>
  <c r="D229" i="1"/>
  <c r="D225" i="1"/>
  <c r="D132" i="1"/>
  <c r="D131" i="1"/>
  <c r="D388" i="1"/>
  <c r="D214" i="1"/>
  <c r="D219" i="1"/>
  <c r="D209" i="1"/>
  <c r="D203" i="1"/>
  <c r="D379" i="1"/>
  <c r="D217" i="1"/>
  <c r="D378" i="1"/>
  <c r="D487" i="1"/>
  <c r="D383" i="1"/>
  <c r="D374" i="1"/>
  <c r="D205" i="1"/>
  <c r="D206" i="1"/>
  <c r="D204" i="1"/>
  <c r="D491" i="1"/>
  <c r="D208" i="1"/>
  <c r="D222" i="1"/>
  <c r="D380" i="1"/>
  <c r="D221" i="1"/>
  <c r="D372" i="1"/>
  <c r="D207" i="1"/>
  <c r="D210" i="1"/>
  <c r="D381" i="1"/>
  <c r="D215" i="1"/>
  <c r="D216" i="1"/>
  <c r="D377" i="1"/>
  <c r="D490" i="1"/>
  <c r="D211" i="1"/>
  <c r="D384" i="1"/>
  <c r="D382" i="1"/>
  <c r="D373" i="1"/>
  <c r="D375" i="1"/>
  <c r="D218" i="1"/>
  <c r="D376" i="1"/>
  <c r="D220" i="1"/>
  <c r="D433" i="1"/>
  <c r="D432" i="1"/>
  <c r="D431" i="1"/>
  <c r="D478" i="1"/>
  <c r="D429" i="1"/>
  <c r="D446" i="1"/>
  <c r="D430" i="1"/>
  <c r="D458" i="1"/>
  <c r="D242" i="1"/>
  <c r="D243" i="1"/>
  <c r="D134" i="1"/>
  <c r="D136" i="1"/>
  <c r="D135" i="1"/>
  <c r="D137" i="1"/>
  <c r="D139" i="1"/>
  <c r="D138" i="1"/>
  <c r="D140" i="1"/>
  <c r="D141" i="1"/>
  <c r="D125" i="1"/>
  <c r="D498" i="1"/>
  <c r="D496" i="1"/>
  <c r="D497" i="1"/>
  <c r="D499" i="1"/>
  <c r="D265" i="1"/>
  <c r="D267" i="1"/>
  <c r="D266" i="1"/>
  <c r="D268" i="1"/>
  <c r="D130" i="1"/>
  <c r="D129" i="1"/>
  <c r="D292" i="1"/>
  <c r="D356" i="1"/>
  <c r="D486" i="1"/>
  <c r="D427" i="1"/>
  <c r="D418" i="1"/>
  <c r="D354" i="1"/>
  <c r="D291" i="1"/>
  <c r="D290" i="1"/>
  <c r="D286" i="1"/>
  <c r="D287" i="1"/>
  <c r="D284" i="1"/>
  <c r="D285" i="1"/>
  <c r="D92" i="1"/>
  <c r="D89" i="1"/>
  <c r="D90" i="1"/>
  <c r="D91" i="1"/>
  <c r="D188" i="1"/>
  <c r="D184" i="1"/>
  <c r="D93" i="1"/>
  <c r="D187" i="1"/>
  <c r="D186" i="1"/>
  <c r="D189" i="1"/>
  <c r="D185" i="1"/>
  <c r="D733" i="1"/>
  <c r="D324" i="1"/>
  <c r="D321" i="1"/>
  <c r="D323" i="1"/>
  <c r="D322" i="1"/>
  <c r="D423" i="1"/>
  <c r="D864" i="1"/>
  <c r="D870" i="1"/>
  <c r="D865" i="1"/>
  <c r="D866" i="1"/>
  <c r="D867" i="1"/>
  <c r="D869" i="1"/>
  <c r="D868" i="1"/>
  <c r="D511" i="1"/>
  <c r="D596" i="1"/>
  <c r="D518" i="1"/>
  <c r="D515" i="1"/>
  <c r="D512" i="1"/>
  <c r="D517" i="1"/>
  <c r="D522" i="1"/>
  <c r="D521" i="1"/>
  <c r="D523" i="1"/>
  <c r="D514" i="1"/>
  <c r="D516" i="1"/>
  <c r="D513" i="1"/>
  <c r="D520" i="1"/>
  <c r="D524" i="1"/>
  <c r="D519" i="1"/>
  <c r="D87" i="1"/>
  <c r="D181" i="1"/>
  <c r="D183" i="1"/>
  <c r="D180" i="1"/>
  <c r="D88" i="1"/>
  <c r="D629" i="1"/>
  <c r="D239" i="1"/>
  <c r="D182" i="1"/>
  <c r="D570" i="1"/>
  <c r="D179" i="1"/>
  <c r="D178" i="1"/>
  <c r="D123" i="1"/>
  <c r="D312" i="1"/>
  <c r="D552" i="1"/>
  <c r="D314" i="1"/>
  <c r="D475" i="1"/>
  <c r="D313" i="1"/>
  <c r="D85" i="1"/>
  <c r="D86" i="1"/>
  <c r="D7" i="1"/>
  <c r="D822" i="1"/>
  <c r="D241" i="1"/>
  <c r="D171" i="1"/>
  <c r="D119" i="1"/>
  <c r="D173" i="1"/>
  <c r="D279" i="1"/>
  <c r="D278" i="1"/>
  <c r="D277" i="1"/>
  <c r="D190" i="1"/>
  <c r="D191" i="1"/>
  <c r="D192" i="1"/>
  <c r="D193" i="1"/>
  <c r="D750" i="1"/>
  <c r="D156" i="1"/>
  <c r="D591" i="1"/>
  <c r="D589" i="1"/>
  <c r="D590" i="1"/>
  <c r="D146" i="1"/>
  <c r="D147" i="1"/>
  <c r="D297" i="1"/>
  <c r="D473" i="1"/>
  <c r="D474" i="1"/>
  <c r="D293" i="1"/>
  <c r="D202" i="1"/>
  <c r="D540" i="1"/>
  <c r="D327" i="1"/>
  <c r="D328" i="1"/>
  <c r="D422" i="1"/>
  <c r="D533" i="1"/>
  <c r="D823" i="1"/>
  <c r="D731" i="1"/>
  <c r="D744" i="1"/>
  <c r="D253" i="1"/>
  <c r="D149" i="1"/>
  <c r="D148" i="1"/>
  <c r="D333" i="1"/>
  <c r="D749" i="1"/>
  <c r="D762" i="1"/>
  <c r="D761" i="1"/>
  <c r="D898" i="1"/>
  <c r="D899" i="1"/>
  <c r="D906" i="1"/>
  <c r="D157" i="1"/>
  <c r="D281" i="1"/>
  <c r="D745" i="1"/>
  <c r="D746" i="1"/>
  <c r="D747" i="1"/>
  <c r="D717" i="1"/>
  <c r="D737" i="1"/>
  <c r="D848" i="1"/>
  <c r="D650" i="1"/>
  <c r="D862" i="1"/>
  <c r="D254" i="1"/>
  <c r="D255" i="1"/>
  <c r="D256" i="1"/>
  <c r="D510" i="1"/>
  <c r="D269" i="1"/>
  <c r="D64" i="1"/>
  <c r="D66" i="1"/>
  <c r="D67" i="1"/>
  <c r="D555" i="1"/>
  <c r="D311" i="1"/>
  <c r="D361" i="1"/>
  <c r="D316" i="1"/>
  <c r="D198" i="1"/>
  <c r="D197" i="1"/>
  <c r="D456" i="1"/>
  <c r="D196" i="1"/>
  <c r="D457" i="1"/>
  <c r="D54" i="1"/>
  <c r="D52" i="1"/>
  <c r="D55" i="1"/>
  <c r="D53" i="1"/>
  <c r="D562" i="1"/>
  <c r="D264" i="1"/>
  <c r="D263" i="1"/>
  <c r="D352" i="1"/>
  <c r="D270" i="1"/>
  <c r="D850" i="1"/>
  <c r="D309" i="1"/>
  <c r="D308" i="1"/>
  <c r="D554" i="1"/>
  <c r="D310" i="1"/>
  <c r="D849" i="1"/>
  <c r="D69" i="1"/>
  <c r="D559" i="1"/>
  <c r="D70" i="1"/>
  <c r="D71" i="1"/>
  <c r="D72" i="1"/>
  <c r="D560" i="1"/>
  <c r="D73" i="1"/>
  <c r="D74" i="1"/>
  <c r="D271" i="1"/>
  <c r="D272" i="1"/>
  <c r="D273" i="1"/>
  <c r="D619" i="1"/>
  <c r="D592" i="1"/>
  <c r="D618" i="1"/>
  <c r="D615" i="1"/>
  <c r="D617" i="1"/>
  <c r="D616" i="1"/>
  <c r="D283" i="1"/>
  <c r="D282" i="1"/>
  <c r="D408" i="1"/>
  <c r="D407" i="1"/>
  <c r="D409" i="1"/>
  <c r="D410" i="1"/>
  <c r="D411" i="1"/>
  <c r="D440" i="1"/>
  <c r="D401" i="1"/>
  <c r="D403" i="1"/>
  <c r="D402" i="1"/>
  <c r="D404" i="1"/>
  <c r="D68" i="1"/>
  <c r="D599" i="1"/>
  <c r="D600" i="1"/>
  <c r="D598" i="1"/>
  <c r="D709" i="1"/>
  <c r="D711" i="1"/>
  <c r="D710" i="1"/>
  <c r="D712" i="1"/>
  <c r="D406" i="1"/>
  <c r="D405" i="1"/>
  <c r="D57" i="1"/>
  <c r="D358" i="1"/>
  <c r="D359" i="1"/>
  <c r="D360" i="1"/>
  <c r="D877" i="1"/>
  <c r="D876" i="1"/>
  <c r="D671" i="1"/>
  <c r="D675" i="1"/>
  <c r="D666" i="1"/>
  <c r="D669" i="1"/>
  <c r="D673" i="1"/>
  <c r="D674" i="1"/>
  <c r="D668" i="1"/>
  <c r="D667" i="1"/>
  <c r="D672" i="1"/>
  <c r="D670" i="1"/>
  <c r="D664" i="1"/>
  <c r="D681" i="1"/>
  <c r="D685" i="1"/>
  <c r="D676" i="1"/>
  <c r="D679" i="1"/>
  <c r="D683" i="1"/>
  <c r="D684" i="1"/>
  <c r="D678" i="1"/>
  <c r="D677" i="1"/>
  <c r="D682" i="1"/>
  <c r="D680" i="1"/>
  <c r="D665" i="1"/>
  <c r="D575" i="1"/>
  <c r="D576" i="1"/>
  <c r="D175" i="1"/>
  <c r="D174" i="1"/>
  <c r="D79" i="1"/>
  <c r="D177" i="1"/>
  <c r="D176" i="1"/>
  <c r="D80" i="1"/>
  <c r="D394" i="1"/>
  <c r="D412" i="1"/>
  <c r="D251" i="1"/>
  <c r="D248" i="1"/>
  <c r="D249" i="1"/>
  <c r="D250" i="1"/>
  <c r="D289" i="1"/>
  <c r="D274" i="1"/>
  <c r="D275" i="1"/>
  <c r="D276" i="1"/>
  <c r="D539" i="1"/>
  <c r="D628" i="1"/>
  <c r="D471" i="1"/>
  <c r="D549" i="1"/>
  <c r="D550" i="1"/>
  <c r="D757" i="1"/>
  <c r="D756" i="1"/>
  <c r="D532" i="1"/>
  <c r="D775" i="1"/>
  <c r="D774" i="1"/>
  <c r="D732" i="1"/>
  <c r="D503" i="1"/>
  <c r="D613" i="1"/>
  <c r="D614" i="1"/>
  <c r="D325" i="1"/>
  <c r="D326" i="1"/>
  <c r="D58" i="1"/>
  <c r="D59" i="1"/>
  <c r="D620" i="1"/>
  <c r="D60" i="1"/>
  <c r="D61" i="1"/>
  <c r="D370" i="1"/>
  <c r="D371" i="1"/>
  <c r="D641" i="1"/>
  <c r="D62" i="1"/>
  <c r="D63" i="1"/>
  <c r="D41" i="1"/>
  <c r="D728" i="1"/>
  <c r="D23" i="1"/>
  <c r="D262" i="1"/>
  <c r="D261" i="1"/>
  <c r="D743" i="1"/>
  <c r="D28" i="1"/>
  <c r="D537" i="1"/>
  <c r="D803" i="1"/>
  <c r="D834" i="1"/>
  <c r="D738" i="1"/>
  <c r="D417" i="1"/>
  <c r="D481" i="1"/>
  <c r="D15" i="1"/>
  <c r="D17" i="1"/>
  <c r="D16" i="1"/>
  <c r="D647" i="1"/>
  <c r="D656" i="1"/>
  <c r="D663" i="1"/>
  <c r="D654" i="1"/>
  <c r="D662" i="1"/>
  <c r="D652" i="1"/>
  <c r="D660" i="1"/>
  <c r="D653" i="1"/>
  <c r="D235" i="1"/>
  <c r="D593" i="1"/>
  <c r="D18" i="1"/>
  <c r="D19" i="1"/>
  <c r="D20" i="1"/>
  <c r="D714" i="1"/>
  <c r="D624" i="1"/>
  <c r="D810" i="1"/>
  <c r="D792" i="1"/>
  <c r="D790" i="1"/>
  <c r="D791" i="1"/>
  <c r="D845" i="1"/>
  <c r="D821" i="1"/>
  <c r="D65" i="1"/>
  <c r="D538" i="1"/>
  <c r="D734" i="1"/>
  <c r="D351" i="1"/>
  <c r="D701" i="1"/>
  <c r="D400" i="1"/>
  <c r="D399" i="1"/>
  <c r="D871" i="1"/>
  <c r="D813" i="1"/>
  <c r="D818" i="1"/>
  <c r="D814" i="1"/>
  <c r="D815" i="1"/>
  <c r="D897" i="1"/>
  <c r="D893" i="1"/>
  <c r="D896" i="1"/>
  <c r="D892" i="1"/>
  <c r="D574" i="1"/>
  <c r="D577" i="1"/>
  <c r="D392" i="1"/>
  <c r="D393" i="1"/>
  <c r="D735" i="1"/>
  <c r="D840" i="1"/>
  <c r="D802" i="1"/>
  <c r="D835" i="1"/>
  <c r="D740" i="1"/>
  <c r="D770" i="1"/>
  <c r="D563" i="1"/>
  <c r="D807" i="1"/>
  <c r="D816" i="1"/>
  <c r="D808" i="1"/>
  <c r="D842" i="1"/>
  <c r="D804" i="1"/>
  <c r="D820" i="1"/>
  <c r="D819" i="1"/>
  <c r="D648" i="1"/>
  <c r="D658" i="1"/>
  <c r="D699" i="1"/>
  <c r="D776" i="1"/>
  <c r="D529" i="1"/>
  <c r="D528" i="1"/>
  <c r="D704" i="1"/>
  <c r="D557" i="1"/>
  <c r="D556" i="1"/>
  <c r="D700" i="1"/>
  <c r="D705" i="1"/>
  <c r="D706" i="1"/>
  <c r="D694" i="1"/>
  <c r="D874" i="1"/>
  <c r="D349" i="1"/>
  <c r="D350" i="1"/>
  <c r="D646" i="1"/>
  <c r="D642" i="1"/>
  <c r="D40" i="1"/>
  <c r="D22" i="1"/>
  <c r="D21" i="1"/>
  <c r="D626" i="1"/>
  <c r="D817" i="1"/>
  <c r="D855" i="1"/>
  <c r="D468" i="1"/>
  <c r="D720" i="1"/>
  <c r="D722" i="1"/>
  <c r="D723" i="1"/>
  <c r="D721" i="1"/>
  <c r="D625" i="1"/>
  <c r="D799" i="1"/>
  <c r="D861" i="1"/>
  <c r="D883" i="1"/>
  <c r="D891" i="1"/>
  <c r="D888" i="1"/>
  <c r="D234" i="1"/>
  <c r="D14" i="1"/>
  <c r="D623" i="1"/>
  <c r="D155" i="1"/>
  <c r="D558" i="1"/>
  <c r="D809" i="1"/>
  <c r="D838" i="1"/>
  <c r="D837" i="1"/>
  <c r="D839" i="1"/>
  <c r="D811" i="1"/>
  <c r="D564" i="1"/>
  <c r="D13" i="1"/>
  <c r="D12" i="1"/>
  <c r="D45" i="1"/>
  <c r="D44" i="1"/>
  <c r="D260" i="1"/>
  <c r="D416" i="1"/>
  <c r="D482" i="1"/>
  <c r="D698" i="1"/>
  <c r="D798" i="1"/>
  <c r="D805" i="1"/>
  <c r="D806" i="1"/>
  <c r="D395" i="1"/>
  <c r="D553" i="1"/>
  <c r="D398" i="1"/>
  <c r="D397" i="1"/>
  <c r="D396" i="1"/>
  <c r="D713" i="1"/>
  <c r="D787" i="1"/>
  <c r="D788" i="1"/>
  <c r="D789" i="1"/>
  <c r="D707" i="1"/>
  <c r="D504" i="1"/>
  <c r="D686" i="1"/>
  <c r="D687" i="1"/>
  <c r="D703" i="1"/>
  <c r="D739" i="1"/>
  <c r="D771" i="1"/>
  <c r="D777" i="1"/>
  <c r="D758" i="1"/>
  <c r="D741" i="1"/>
  <c r="D655" i="1"/>
  <c r="D836" i="1"/>
  <c r="D841" i="1"/>
  <c r="D801" i="1"/>
  <c r="D27" i="1"/>
  <c r="D594" i="1"/>
  <c r="D24" i="1"/>
  <c r="D25" i="1"/>
  <c r="D26" i="1"/>
  <c r="D348" i="1"/>
  <c r="D236" i="1"/>
  <c r="D793" i="1"/>
  <c r="D794" i="1"/>
  <c r="D795" i="1"/>
  <c r="D43" i="1"/>
  <c r="D42" i="1"/>
  <c r="D742" i="1"/>
  <c r="D332" i="1"/>
  <c r="D331" i="1"/>
  <c r="D530" i="1"/>
  <c r="D724" i="1"/>
  <c r="D769" i="1"/>
  <c r="D661" i="1"/>
  <c r="D413" i="1"/>
  <c r="D657" i="1"/>
  <c r="D296" i="1"/>
  <c r="D525" i="1"/>
  <c r="D414" i="1"/>
  <c r="D651" i="1"/>
  <c r="D320" i="1"/>
  <c r="D319" i="1"/>
  <c r="D318" i="1"/>
  <c r="D317" i="1"/>
  <c r="D505" i="1"/>
  <c r="D506" i="1"/>
  <c r="D105" i="1"/>
  <c r="D121" i="1"/>
  <c r="D247" i="1"/>
  <c r="D120" i="1"/>
  <c r="D112" i="1"/>
  <c r="D113" i="1"/>
  <c r="D114" i="1"/>
  <c r="D736" i="1"/>
  <c r="D115" i="1"/>
  <c r="D116" i="1"/>
  <c r="D495" i="1"/>
  <c r="D106" i="1"/>
  <c r="D107" i="1"/>
  <c r="D108" i="1"/>
  <c r="D109" i="1"/>
  <c r="D110" i="1"/>
  <c r="D111" i="1"/>
  <c r="D50" i="1"/>
  <c r="D51" i="1"/>
  <c r="D36" i="1"/>
  <c r="D561" i="1"/>
  <c r="D34" i="1"/>
  <c r="D35" i="1"/>
  <c r="D37" i="1"/>
  <c r="D621" i="1"/>
  <c r="D622" i="1"/>
  <c r="D257" i="1"/>
  <c r="D479" i="1"/>
  <c r="D697" i="1"/>
  <c r="D438" i="1"/>
  <c r="D47" i="1"/>
  <c r="D46" i="1"/>
  <c r="D49" i="1"/>
  <c r="D48" i="1"/>
  <c r="D330" i="1"/>
  <c r="D83" i="1"/>
  <c r="D158" i="1"/>
  <c r="D347" i="1"/>
  <c r="D124" i="1"/>
  <c r="D645" i="1"/>
  <c r="D343" i="1"/>
  <c r="D340" i="1"/>
  <c r="D341" i="1"/>
  <c r="D339" i="1"/>
  <c r="D342" i="1"/>
  <c r="D338" i="1"/>
  <c r="D597" i="1"/>
  <c r="D335" i="1"/>
  <c r="D488" i="1"/>
  <c r="D595" i="1"/>
  <c r="D336" i="1"/>
  <c r="D334" i="1"/>
  <c r="D337" i="1"/>
  <c r="D346" i="1"/>
  <c r="D344" i="1"/>
  <c r="D492" i="1"/>
  <c r="D345" i="1"/>
  <c r="D162" i="1"/>
  <c r="D167" i="1"/>
  <c r="D166" i="1"/>
  <c r="D547" i="1"/>
  <c r="D163" i="1"/>
  <c r="D122" i="1"/>
  <c r="D165" i="1"/>
  <c r="D164" i="1"/>
  <c r="D367" i="1"/>
  <c r="D366" i="1"/>
  <c r="D369" i="1"/>
  <c r="D368" i="1"/>
  <c r="D535" i="1"/>
  <c r="D534" i="1"/>
  <c r="D195" i="1"/>
  <c r="D194" i="1"/>
  <c r="D154" i="1"/>
  <c r="D56" i="1"/>
  <c r="D886" i="1"/>
  <c r="D885" i="1"/>
  <c r="D887" i="1"/>
  <c r="D890" i="1"/>
  <c r="D884" i="1"/>
  <c r="D889" i="1"/>
  <c r="D696" i="1"/>
  <c r="D96" i="1"/>
  <c r="D97" i="1"/>
  <c r="D98" i="1"/>
  <c r="D634" i="1"/>
  <c r="D102" i="1"/>
  <c r="D635" i="1"/>
  <c r="D104" i="1"/>
  <c r="D103" i="1"/>
  <c r="D630" i="1"/>
  <c r="D100" i="1"/>
  <c r="D631" i="1"/>
  <c r="D99" i="1"/>
  <c r="D101" i="1"/>
  <c r="D633" i="1"/>
  <c r="D199" i="1"/>
  <c r="D632" i="1"/>
  <c r="D200" i="1"/>
  <c r="D201" i="1"/>
  <c r="D150" i="1"/>
  <c r="D572" i="1"/>
  <c r="D573" i="1"/>
  <c r="D387" i="1"/>
  <c r="D571" i="1"/>
  <c r="D691" i="1"/>
  <c r="D689" i="1"/>
  <c r="D692" i="1"/>
  <c r="D690" i="1"/>
  <c r="D451" i="1"/>
  <c r="D449" i="1"/>
  <c r="D450" i="1"/>
  <c r="D448" i="1"/>
  <c r="D828" i="1"/>
  <c r="D825" i="1"/>
  <c r="D831" i="1"/>
  <c r="D827" i="1"/>
  <c r="D455" i="1"/>
  <c r="D453" i="1"/>
  <c r="D454" i="1"/>
  <c r="D452" i="1"/>
  <c r="D541" i="1"/>
  <c r="D543" i="1"/>
  <c r="D542" i="1"/>
  <c r="D544" i="1"/>
  <c r="D905" i="1"/>
  <c r="D904" i="1"/>
  <c r="D901" i="1"/>
  <c r="D900" i="1"/>
  <c r="D782" i="1"/>
  <c r="D783" i="1"/>
  <c r="D784" i="1"/>
  <c r="D786" i="1"/>
  <c r="D612" i="1"/>
  <c r="D606" i="1"/>
  <c r="D609" i="1"/>
  <c r="D603" i="1"/>
  <c r="D611" i="1"/>
  <c r="D605" i="1"/>
  <c r="D608" i="1"/>
  <c r="D602" i="1"/>
  <c r="D830" i="1"/>
  <c r="D826" i="1"/>
  <c r="D824" i="1"/>
  <c r="D829" i="1"/>
  <c r="D610" i="1"/>
  <c r="D604" i="1"/>
  <c r="D607" i="1"/>
  <c r="D601" i="1"/>
  <c r="D748" i="1"/>
  <c r="D754" i="1"/>
  <c r="D894" i="1"/>
  <c r="D895" i="1"/>
  <c r="D536" i="1"/>
  <c r="D695" i="1"/>
  <c r="D643" i="1"/>
  <c r="D489" i="1"/>
  <c r="D315" i="1"/>
  <c r="D659" i="1"/>
  <c r="D304" i="1"/>
  <c r="D305" i="1"/>
  <c r="D306" i="1"/>
  <c r="D307" i="1"/>
  <c r="D11" i="1"/>
  <c r="D10" i="1"/>
  <c r="D5" i="1"/>
  <c r="D6" i="1"/>
  <c r="D476" i="1"/>
  <c r="D551" i="1"/>
  <c r="D480" i="1"/>
  <c r="D142" i="1"/>
  <c r="D160" i="1"/>
  <c r="D145" i="1"/>
  <c r="D144" i="1"/>
  <c r="D143" i="1"/>
  <c r="D582" i="1"/>
  <c r="D435" i="1"/>
  <c r="D752" i="1"/>
  <c r="D753" i="1"/>
  <c r="D751" i="1"/>
  <c r="D436" i="1"/>
  <c r="D437" i="1"/>
  <c r="D434" i="1"/>
  <c r="D483" i="1"/>
  <c r="D484" i="1"/>
  <c r="D485" i="1"/>
  <c r="D755" i="1"/>
  <c r="D902" i="1"/>
  <c r="D903" i="1"/>
  <c r="D797" i="1"/>
  <c r="D588" i="1"/>
  <c r="D729" i="1"/>
  <c r="D546" i="1"/>
  <c r="D858" i="1"/>
  <c r="D796" i="1"/>
  <c r="D859" i="1"/>
  <c r="D860" i="1"/>
  <c r="D853" i="1"/>
  <c r="D470" i="1"/>
  <c r="D502" i="1"/>
  <c r="D469" i="1"/>
  <c r="D778" i="1"/>
  <c r="D779" i="1"/>
  <c r="D857" i="1"/>
  <c r="D856" i="1"/>
  <c r="D846" i="1"/>
  <c r="D847" i="1"/>
  <c r="D428" i="1"/>
  <c r="D447" i="1"/>
  <c r="D548" i="1"/>
  <c r="D501" i="1"/>
  <c r="D500" i="1"/>
  <c r="D854" i="1"/>
  <c r="D851" i="1"/>
  <c r="D872" i="1"/>
  <c r="D852" i="1"/>
  <c r="D873" i="1"/>
  <c r="D882" i="1"/>
  <c r="D881" i="1"/>
  <c r="D880" i="1"/>
  <c r="D879" i="1"/>
  <c r="D585" i="1"/>
  <c r="D586" i="1"/>
  <c r="D583" i="1"/>
  <c r="D584" i="1"/>
  <c r="D587" i="1"/>
  <c r="D252" i="1"/>
  <c r="D288" i="1"/>
  <c r="D424" i="1"/>
  <c r="D425" i="1"/>
  <c r="D426" i="1"/>
  <c r="D421" i="1"/>
  <c r="D420" i="1"/>
  <c r="D419" i="1"/>
  <c r="D94" i="1"/>
  <c r="D95" i="1"/>
  <c r="D78" i="1"/>
  <c r="D77" i="1"/>
  <c r="D76" i="1"/>
  <c r="D75" i="1"/>
  <c r="D693" i="1"/>
  <c r="D832" i="1"/>
  <c r="D639" i="1"/>
  <c r="D579" i="1"/>
  <c r="D580" i="1"/>
  <c r="D581" i="1"/>
  <c r="D730" i="1"/>
  <c r="D725" i="1"/>
  <c r="D442" i="1"/>
  <c r="D443" i="1"/>
  <c r="D441" i="1"/>
  <c r="D445" i="1"/>
  <c r="D444" i="1"/>
  <c r="D29" i="1"/>
  <c r="D30" i="1"/>
  <c r="D31" i="1"/>
  <c r="D32" i="1"/>
  <c r="D33" i="1"/>
  <c r="D527" i="1"/>
  <c r="D526" i="1"/>
  <c r="D785" i="1"/>
  <c r="D780" i="1"/>
  <c r="D781" i="1"/>
  <c r="D764" i="1"/>
  <c r="D763" i="1"/>
  <c r="D766" i="1"/>
  <c r="D765" i="1"/>
  <c r="D767" i="1"/>
  <c r="D768" i="1"/>
  <c r="D772" i="1"/>
  <c r="D773" i="1"/>
  <c r="D465" i="1"/>
  <c r="D464" i="1"/>
  <c r="D466" i="1"/>
  <c r="D467" i="1"/>
  <c r="D461" i="1"/>
  <c r="D460" i="1"/>
  <c r="D463" i="1"/>
  <c r="D462" i="1"/>
  <c r="D38" i="1"/>
  <c r="D39" i="1"/>
  <c r="D151" i="1"/>
  <c r="D152" i="1"/>
  <c r="D153" i="1"/>
  <c r="D878" i="1"/>
  <c r="D760" i="1"/>
  <c r="D759" i="1"/>
  <c r="D638" i="1"/>
  <c r="D702" i="1"/>
  <c r="D329" i="1"/>
  <c r="M907" i="1" l="1"/>
</calcChain>
</file>

<file path=xl/sharedStrings.xml><?xml version="1.0" encoding="utf-8"?>
<sst xmlns="http://schemas.openxmlformats.org/spreadsheetml/2006/main" count="4243" uniqueCount="1511">
  <si>
    <r>
      <t xml:space="preserve">LISTA DE PRECIOS DISTRIBUIDORES - </t>
    </r>
    <r>
      <rPr>
        <b/>
        <sz val="18"/>
        <color rgb="FFFF0000"/>
        <rFont val="Arial"/>
        <family val="2"/>
      </rPr>
      <t>Vigente desde el 1 de Febrero 2026</t>
    </r>
  </si>
  <si>
    <t>Feb 01 206 V1.0</t>
  </si>
  <si>
    <t>Item</t>
  </si>
  <si>
    <t>Código</t>
  </si>
  <si>
    <t>Descripción Tecnica</t>
  </si>
  <si>
    <t>Descripción Comercial</t>
  </si>
  <si>
    <t>Lanzamientos</t>
  </si>
  <si>
    <t>Comentario</t>
  </si>
  <si>
    <t>Un</t>
  </si>
  <si>
    <t>Presentacion</t>
  </si>
  <si>
    <t>Embalaje</t>
  </si>
  <si>
    <t>Presentación Embalaje</t>
  </si>
  <si>
    <t>$ Empaque 
Público            (sin IVA)</t>
  </si>
  <si>
    <t>% Incremento</t>
  </si>
  <si>
    <t>Gris</t>
  </si>
  <si>
    <t>Blanco</t>
  </si>
  <si>
    <t>Extra Gris</t>
  </si>
  <si>
    <t>Extra Blanco</t>
  </si>
  <si>
    <t>Galón</t>
  </si>
  <si>
    <t>Cuñete</t>
  </si>
  <si>
    <t>1/4 De galon</t>
  </si>
  <si>
    <t>Bolsa</t>
  </si>
  <si>
    <t>Caja</t>
  </si>
  <si>
    <t>Medio cuñete</t>
  </si>
  <si>
    <t>Tambor</t>
  </si>
  <si>
    <t>Transparente</t>
  </si>
  <si>
    <t xml:space="preserve">Blanco </t>
  </si>
  <si>
    <t xml:space="preserve">Gris </t>
  </si>
  <si>
    <t>Almendra</t>
  </si>
  <si>
    <t>Alpaca / Bone</t>
  </si>
  <si>
    <t>Beige</t>
  </si>
  <si>
    <t>Negro</t>
  </si>
  <si>
    <t>Café oscuro</t>
  </si>
  <si>
    <t>Gris Capri</t>
  </si>
  <si>
    <t>Gris Garza</t>
  </si>
  <si>
    <t>Marfil</t>
  </si>
  <si>
    <t>Café claro</t>
  </si>
  <si>
    <t>Tacora</t>
  </si>
  <si>
    <t xml:space="preserve">Alpaca/Bone </t>
  </si>
  <si>
    <t>Café Oscuro</t>
  </si>
  <si>
    <t>Café Claro</t>
  </si>
  <si>
    <t>Basalto Gris</t>
  </si>
  <si>
    <t>Gris Hormigón</t>
  </si>
  <si>
    <t>Gris Basalto</t>
  </si>
  <si>
    <t>Bicomponente</t>
  </si>
  <si>
    <t>Doypack</t>
  </si>
  <si>
    <t>Base Oscura</t>
  </si>
  <si>
    <t>Base Clara</t>
  </si>
  <si>
    <t>Rojo</t>
  </si>
  <si>
    <t>Blanco Pigmentado</t>
  </si>
  <si>
    <t>Kg</t>
  </si>
  <si>
    <t xml:space="preserve"> </t>
  </si>
  <si>
    <t>Neutro</t>
  </si>
  <si>
    <t>300 ml</t>
  </si>
  <si>
    <t>600 ml</t>
  </si>
  <si>
    <t>585 ml</t>
  </si>
  <si>
    <t>Transparente Mate</t>
  </si>
  <si>
    <t>Blanco Brillante</t>
  </si>
  <si>
    <t>Gris concreto</t>
  </si>
  <si>
    <t>Gris oscuro</t>
  </si>
  <si>
    <t>Gris Claro</t>
  </si>
  <si>
    <t>Gris 7030</t>
  </si>
  <si>
    <t>Rojo Óxido</t>
  </si>
  <si>
    <t>Gris 7035</t>
  </si>
  <si>
    <t xml:space="preserve"> Clima cálido</t>
  </si>
  <si>
    <t xml:space="preserve"> Clima frío</t>
  </si>
  <si>
    <t>Gris 7047</t>
  </si>
  <si>
    <t>Blanco 9016</t>
  </si>
  <si>
    <t>Aluminio</t>
  </si>
  <si>
    <t>Azul Banacol</t>
  </si>
  <si>
    <t>Gris Plata</t>
  </si>
  <si>
    <t>Amarillo</t>
  </si>
  <si>
    <t>Amarillo 1003</t>
  </si>
  <si>
    <t>Naranja 2009</t>
  </si>
  <si>
    <t>Azul 5017</t>
  </si>
  <si>
    <t>Negro 9005</t>
  </si>
  <si>
    <t>Aluminio HS</t>
  </si>
  <si>
    <t>Gris ansi 70</t>
  </si>
  <si>
    <t>Marfil 1015</t>
  </si>
  <si>
    <t>Naranja 2010</t>
  </si>
  <si>
    <t>Rojo ral 3001</t>
  </si>
  <si>
    <t>Rosa 3015</t>
  </si>
  <si>
    <t>Azul 5010</t>
  </si>
  <si>
    <t>Azul 5012</t>
  </si>
  <si>
    <t>Azul 5015</t>
  </si>
  <si>
    <t>Verde 6001</t>
  </si>
  <si>
    <t>Verde 6002</t>
  </si>
  <si>
    <t>Verde 6016</t>
  </si>
  <si>
    <t>Verde 6019</t>
  </si>
  <si>
    <t>Verde 6021</t>
  </si>
  <si>
    <t>Gris 7031</t>
  </si>
  <si>
    <t>Gris 7032</t>
  </si>
  <si>
    <t>Gris 7035C</t>
  </si>
  <si>
    <t>Gris 7038</t>
  </si>
  <si>
    <t>Gris 7040</t>
  </si>
  <si>
    <t>Gris 7042</t>
  </si>
  <si>
    <t>Gris 7045 tran</t>
  </si>
  <si>
    <t>Marron 8016</t>
  </si>
  <si>
    <t>Blanco 9002</t>
  </si>
  <si>
    <t>Blanco 9003</t>
  </si>
  <si>
    <t>Negro 9004</t>
  </si>
  <si>
    <t>Blanco 9010</t>
  </si>
  <si>
    <t>Verde esmeralda</t>
  </si>
  <si>
    <t>Rojo 3001</t>
  </si>
  <si>
    <t>Verde argos</t>
  </si>
  <si>
    <t>Gris claro</t>
  </si>
  <si>
    <t>M</t>
  </si>
  <si>
    <t>Azul</t>
  </si>
  <si>
    <t>Gris Oscuro</t>
  </si>
  <si>
    <t>Café</t>
  </si>
  <si>
    <t>Verde</t>
  </si>
  <si>
    <t xml:space="preserve">Azul </t>
  </si>
  <si>
    <t>Gris Concreto</t>
  </si>
  <si>
    <t>Naranja cálido</t>
  </si>
  <si>
    <t>Azul agua brisa</t>
  </si>
  <si>
    <t>Azul 5007</t>
  </si>
  <si>
    <t>Verde 6011</t>
  </si>
  <si>
    <t>Sahara</t>
  </si>
  <si>
    <t>Ocre</t>
  </si>
  <si>
    <t>Gris perla</t>
  </si>
  <si>
    <t>Sand</t>
  </si>
  <si>
    <t>Gris 7045</t>
  </si>
  <si>
    <t>Caja * 10 un</t>
  </si>
  <si>
    <t>Blanco Mate</t>
  </si>
  <si>
    <t xml:space="preserve">Blanco Semibrillante           </t>
  </si>
  <si>
    <t>Blanco Semimate</t>
  </si>
  <si>
    <t>Verde Reseda</t>
  </si>
  <si>
    <t>Lajilla</t>
  </si>
  <si>
    <t>Terracota</t>
  </si>
  <si>
    <t>Nuevo</t>
  </si>
  <si>
    <t>Pc</t>
  </si>
  <si>
    <t>Gris Mate</t>
  </si>
  <si>
    <t>Negro Mate</t>
  </si>
  <si>
    <t>Rollo * 100 m</t>
  </si>
  <si>
    <t>Lámina * 2 m2</t>
  </si>
  <si>
    <t>M2</t>
  </si>
  <si>
    <t>SF T metal sheet RAL7040 1,00/2       M2</t>
  </si>
  <si>
    <t>Rollo * 50 m2</t>
  </si>
  <si>
    <t>3 mm Aluminio (10m2)</t>
  </si>
  <si>
    <t>3 mm liso (10m2)</t>
  </si>
  <si>
    <t>4 mm Aluminio (10m2)</t>
  </si>
  <si>
    <t>Rollo 48 m2 (1.2m*40m)</t>
  </si>
  <si>
    <t>Rollo 1m * 10m (10 m2)</t>
  </si>
  <si>
    <t xml:space="preserve">Rollo 0.15m x 20m (3m²) Nuevo                      </t>
  </si>
  <si>
    <t>Rollo 1m * 50m (50m2)</t>
  </si>
  <si>
    <t xml:space="preserve">Rollo 1.27 m x 120 m </t>
  </si>
  <si>
    <t xml:space="preserve">Blanco         </t>
  </si>
  <si>
    <t>SPL G-12 light grey RO 2,00/20 -03-   M2</t>
  </si>
  <si>
    <t>Sikaplan® G-12</t>
  </si>
  <si>
    <t>SPL Perfil de Borde(edge) CO      /60 PC</t>
  </si>
  <si>
    <t>Caja * 70 un</t>
  </si>
  <si>
    <t>SikaRoof LaminaDrenaje 20 CO (2m x 25m)</t>
  </si>
  <si>
    <t>SSH P45 MG MX 3,5 mm white 1,00/10   ROL</t>
  </si>
  <si>
    <t>SikaShield® P45 MG MX 3,5 mm</t>
  </si>
  <si>
    <t>SSH P45 S MX 3 mm smooth 1,00/10     ROL</t>
  </si>
  <si>
    <t>SikaShield® P45 S MX 3 mm</t>
  </si>
  <si>
    <t>500 ml</t>
  </si>
  <si>
    <t>Rollo * 10m (10 cm ancho)</t>
  </si>
  <si>
    <t>Rollo * 10m (15 cm ancho)</t>
  </si>
  <si>
    <t>(10 mm) 1.097m.</t>
  </si>
  <si>
    <t>(32 mm) 125m.</t>
  </si>
  <si>
    <t>(6 mm) 1.700m.</t>
  </si>
  <si>
    <t>(22 mm) 259m.</t>
  </si>
  <si>
    <t>(16 mm) 472m.</t>
  </si>
  <si>
    <t>Cartucho 300 ml</t>
  </si>
  <si>
    <t>Salchicha</t>
  </si>
  <si>
    <t>Rollo 20 m</t>
  </si>
  <si>
    <t>Rollo 15 m</t>
  </si>
  <si>
    <t>Rollo 30 m</t>
  </si>
  <si>
    <t>Rollo *12.5 m</t>
  </si>
  <si>
    <t xml:space="preserve">Nuevo </t>
  </si>
  <si>
    <t>SikaProof A-08 0,8mm FPO RO 2,00/25   M2</t>
  </si>
  <si>
    <r>
      <t xml:space="preserve">LISTA DE PRECIO ESPECIALES DISTRIBUIDORES - </t>
    </r>
    <r>
      <rPr>
        <b/>
        <sz val="18"/>
        <color rgb="FFFF0000"/>
        <rFont val="Arial"/>
        <family val="2"/>
      </rPr>
      <t>Vigente desde el 1 de Febrero 2026</t>
    </r>
  </si>
  <si>
    <t>Febrero 01 2026 V1.0</t>
  </si>
  <si>
    <t>Sgan</t>
  </si>
  <si>
    <t>PVP Distrib 2026 Empaque</t>
  </si>
  <si>
    <t>Tipo de lista</t>
  </si>
  <si>
    <t>Sikagard-62 (AB) RAL5012 CO          3KG</t>
  </si>
  <si>
    <r>
      <t xml:space="preserve">Sikagard®-62                                                         </t>
    </r>
    <r>
      <rPr>
        <b/>
        <sz val="8"/>
        <color rgb="FFFF0000"/>
        <rFont val="Arial"/>
        <family val="2"/>
      </rPr>
      <t xml:space="preserve"> P</t>
    </r>
  </si>
  <si>
    <t>Sikafloor-2430CO (AB) white CO      40KG</t>
  </si>
  <si>
    <t>Sikafloor®-2430</t>
  </si>
  <si>
    <t>Sikafloor MetalTop-300    COL    Bg 40KG</t>
  </si>
  <si>
    <t>Sikafloor® MetalTop-300</t>
  </si>
  <si>
    <t>Sikafloor MetalTop-200 natur. V1 Bg 40KG</t>
  </si>
  <si>
    <t>Sikafloor® MetalTop-200</t>
  </si>
  <si>
    <t>Estuka Acrilico CO           /12x0,25GAL</t>
  </si>
  <si>
    <t>Estuka® Acrílico</t>
  </si>
  <si>
    <t>Estuka Acrilico CO               /4x1GAL</t>
  </si>
  <si>
    <t>Estuka Acrilico                  Bg 20KG</t>
  </si>
  <si>
    <t>Estuka Acrilico CO              Car 20KG</t>
  </si>
  <si>
    <t>Estuka Panete CO                 Bg 25KG</t>
  </si>
  <si>
    <t>Estuka® Panete</t>
  </si>
  <si>
    <t>Estuka Panete CO                 Bg 50KG</t>
  </si>
  <si>
    <t>Pega Enchape Sika CO             /3x10KG</t>
  </si>
  <si>
    <t>Pega Enchape Sika®</t>
  </si>
  <si>
    <t>Pega Enchape Sika CO             Bg 25KG</t>
  </si>
  <si>
    <t>Pega Enchape Sika white          Bg 25KG</t>
  </si>
  <si>
    <t>Pega Enchape Sika CO             Bg 50KG</t>
  </si>
  <si>
    <t>Pega Enchape Sika white          Bg 50KG</t>
  </si>
  <si>
    <t>SikaBinda Extra Bath&amp;Kitch. grey Bg 25KG</t>
  </si>
  <si>
    <t>Sika® Binda® Extra Bath and Kitchen</t>
  </si>
  <si>
    <t>SikaBinda Extra Bath&amp;Kitch.white Bg 25KG</t>
  </si>
  <si>
    <t>SikaBinda Extra Bath&amp;Kitch. grey Bg 50KG</t>
  </si>
  <si>
    <t>SikaBinda Extra Bath&amp;Kitch.white Bg 50KG</t>
  </si>
  <si>
    <t>Sika ImperMur                    /20x1KG</t>
  </si>
  <si>
    <t>Sika® ImperMur</t>
  </si>
  <si>
    <t>Sika ImperMur CO                 /12x2KG</t>
  </si>
  <si>
    <t>Sika ImperMur CO                  /6x4KG</t>
  </si>
  <si>
    <t>Sika ImperMur CO                Dr 200KG</t>
  </si>
  <si>
    <t>SikaJoint Compound CO            /4x1GAL</t>
  </si>
  <si>
    <t>Sika® Joint Compound</t>
  </si>
  <si>
    <t>SikaJoint Compound CO            Pl 28KG</t>
  </si>
  <si>
    <t>SikaMastic Interior CO         /12x1,1KG</t>
  </si>
  <si>
    <t>Sika® Mastic Interior</t>
  </si>
  <si>
    <t>SikaMastic Interior CO            /4x5KG</t>
  </si>
  <si>
    <t>SikaMastic Interior              Bg 20KG</t>
  </si>
  <si>
    <t>SikaMastic Interior CO          Car 20KG</t>
  </si>
  <si>
    <t>SikaMastic Interior CO           Pl 28KG</t>
  </si>
  <si>
    <t>SikaTransparente-10 CO            /4x3KG</t>
  </si>
  <si>
    <t>Sika® Transparente 10</t>
  </si>
  <si>
    <t>SikaTransparente-10            Pl 3,6GAL</t>
  </si>
  <si>
    <t>SikaTransparente-10 CO           Pl 16KG</t>
  </si>
  <si>
    <t>SikaTransparente-10 CO          Dr 55GAL</t>
  </si>
  <si>
    <t>SikaTransparente-5 CO             /4x3KG</t>
  </si>
  <si>
    <t>Sika® Transparente 5</t>
  </si>
  <si>
    <t>SikaTransparente-5             Pl 3,6GAL</t>
  </si>
  <si>
    <t>SikaTransparente-5 CO            Pl 16KG</t>
  </si>
  <si>
    <t>SikaTransparente-5 CO           Dr 160KG</t>
  </si>
  <si>
    <t>SikaTransparente-7W CO CO        /4x1GAL</t>
  </si>
  <si>
    <t>Sika® Transparente 7W CO</t>
  </si>
  <si>
    <t>SikaTransparente-7W CO CO        Pl 5GAL</t>
  </si>
  <si>
    <t>SikaTransparente-7W CO CO       Dr 55GAL</t>
  </si>
  <si>
    <t>SikaTransparente-12 CO            /4x3KG</t>
  </si>
  <si>
    <t>Sika® Transparente-12</t>
  </si>
  <si>
    <t>SikaTransparente-12 CO           Pl 16KG</t>
  </si>
  <si>
    <t>SikaTransparente-12 CO          Dr 160KG</t>
  </si>
  <si>
    <t>SikaTransparente-7 CO             /4x3KG</t>
  </si>
  <si>
    <t>Sika® Transparente-7</t>
  </si>
  <si>
    <t>SikaTransparente-7 CO            Pl 16KG</t>
  </si>
  <si>
    <t>SikaTransparente-7 CO           Dr 160KG</t>
  </si>
  <si>
    <t>SikaVinilo Panel CO            Ka 5,26KG</t>
  </si>
  <si>
    <t>Sika® Vinilo Panel®</t>
  </si>
  <si>
    <t>SikaVinilo Panel CO            Pl 26,3KG</t>
  </si>
  <si>
    <t>SikaVinilo T-1 white CO          /4x1GAL</t>
  </si>
  <si>
    <t>Sika®Vinilo T-1</t>
  </si>
  <si>
    <t>SikaVinilo T-1 white CO          Pl 5GAL</t>
  </si>
  <si>
    <t>SikaVinilo T-1 white CO         Dr 55GAL</t>
  </si>
  <si>
    <t>SikaVinilo T-2 white CO          /4x1GAL</t>
  </si>
  <si>
    <t>Sika®Vinilo T-2</t>
  </si>
  <si>
    <t>SikaVinilo T-2 white CO          Pl 5GAL</t>
  </si>
  <si>
    <t>SikaCeram Flex grey CO           Bg 25KG</t>
  </si>
  <si>
    <t>SikaCeram® Flex</t>
  </si>
  <si>
    <t>SikaCeram Porcelanato grey CO    Bg 25KG</t>
  </si>
  <si>
    <t>SikaCeram® Porcelanato</t>
  </si>
  <si>
    <t>SikaCeram Porcelanato white CO   Bg 25KG</t>
  </si>
  <si>
    <t>SikaCeram Porcelanato grey CO    Bg 50KG</t>
  </si>
  <si>
    <t>SikaCeram Porcelanato white CO   Bg 50KG</t>
  </si>
  <si>
    <t>SikaCeram SL CO                  Pl 5GAL</t>
  </si>
  <si>
    <t>SikaCeram® SL</t>
  </si>
  <si>
    <t>SikaCeram-100 Ceramico grey      Bg 25KG</t>
  </si>
  <si>
    <t>SikaCeram®-100 Ceramico</t>
  </si>
  <si>
    <t>SikaCeram-100 Ceramico white     Bg 25KG</t>
  </si>
  <si>
    <t>SikaCeram-100 Ceramico grey      Bg 50KG</t>
  </si>
  <si>
    <t>SikaCeram-130 PegaEnchapePlus bl.Bg 25KG</t>
  </si>
  <si>
    <t>SikaCeram®-130 Pega Enchape Plus</t>
  </si>
  <si>
    <t>SikaCeram-130 PegaEnchapePlus gr.Bg 25KG</t>
  </si>
  <si>
    <t>SikaCeram-130 PegaEnchapePlus bl.Bg 50KG</t>
  </si>
  <si>
    <t>SikaCeram-130 PegaEnchapePlus gr.Bg 50KG</t>
  </si>
  <si>
    <t>SikaCeram-180 Marble             Bg 25KG</t>
  </si>
  <si>
    <t>SikaCeram®-180 Marble</t>
  </si>
  <si>
    <t>SikaCeram-180 Marble             Bg 50KG</t>
  </si>
  <si>
    <t>SikaCeram-230 BA Big Form. grey  Bg 25KG</t>
  </si>
  <si>
    <t>SikaCeram®-230 BA Big Formats</t>
  </si>
  <si>
    <t>SikaCeram-230 BA Big Form. white Bg 25KG</t>
  </si>
  <si>
    <t>SikaCeram-230 BA Big Form. grey  Bg 50KG</t>
  </si>
  <si>
    <t>SikaCeram-230 BA Big Form. white Bg 50KG</t>
  </si>
  <si>
    <t>SikaCeram-280 C.Gruesa &amp; G.Forma.Bg 25KG</t>
  </si>
  <si>
    <t>SikaCeram®-280 Capa Gruesa</t>
  </si>
  <si>
    <t>SikaCeram-280 C.Gruesa &amp; G.Forma.Bg 50KG</t>
  </si>
  <si>
    <t>SikaCeram-630 Color COL almond    /6x2KG</t>
  </si>
  <si>
    <t>SikaCeram®-630 Color</t>
  </si>
  <si>
    <t>SikaCeram-630 Color COL alp./bon. /6x2KG</t>
  </si>
  <si>
    <t>SikaCeram-630 Color COL beige     /6x2KG</t>
  </si>
  <si>
    <t>SikaCeram-630 Color COL black     /6x2KG</t>
  </si>
  <si>
    <t>SikaCeram-630 Color COL dark bro. /6x2KG</t>
  </si>
  <si>
    <t>SikaCeram-630 Color COL grey cap. /6x2KG</t>
  </si>
  <si>
    <t>SikaCeram-630 Color COL grey her. /6x2KG</t>
  </si>
  <si>
    <t>SikaCeram-630 Color COL ivory     /6x2KG</t>
  </si>
  <si>
    <t>SikaCeram-630 Color COL light br. /6x2KG</t>
  </si>
  <si>
    <t>SikaCeram-630 Color COL tacora    /6x2KG</t>
  </si>
  <si>
    <t>SikaCeram-630 Color COL white     /6x2KG</t>
  </si>
  <si>
    <t>SikaCeram-630 Color almond       /3x10KG</t>
  </si>
  <si>
    <t>SikaCeram-630 Color alpaca/bond  /3x10KG</t>
  </si>
  <si>
    <t>SikaCeram-630 Color beige        /3x10KG</t>
  </si>
  <si>
    <t>SikaCeram-630 Color black        /3x10KG</t>
  </si>
  <si>
    <t>SikaCeram-630 Color dark brown   /3x10KG</t>
  </si>
  <si>
    <t>SikaCeram-630 Color grey capri   /3x10KG</t>
  </si>
  <si>
    <t>SikaCeram-630 Color grey heron   /3x10KG</t>
  </si>
  <si>
    <t>SikaCeram-630 Color ivory        /3x10KG</t>
  </si>
  <si>
    <t>SikaCeram-630 Color light brown  /3x10KG</t>
  </si>
  <si>
    <t>SikaCeram-630 Color tacora       /3x10KG</t>
  </si>
  <si>
    <t>SikaCeram-630 Color white        /3x10KG</t>
  </si>
  <si>
    <t>SikaCeram-650 Tile Grout PLus wh./20x2KG</t>
  </si>
  <si>
    <t>SikaCeram®-650 Tile Grout Plus</t>
  </si>
  <si>
    <t>SikaCeram-650 Tile Grout PLus wh./3x10KG</t>
  </si>
  <si>
    <t>SikaColor C basalt grey CO       /4x1GAL</t>
  </si>
  <si>
    <t>SikaColor® C</t>
  </si>
  <si>
    <t>SikaColor C concrete grey CO     /4x1GAL</t>
  </si>
  <si>
    <t>SikaColor C white CO             /4x1GAL</t>
  </si>
  <si>
    <t>SikaColor C basalt grey CO       Pl 5GAL</t>
  </si>
  <si>
    <t>SikaColor C concrete grey CO     Pl 5GAL</t>
  </si>
  <si>
    <t>SikaColor C white CO             Pl 5GAL</t>
  </si>
  <si>
    <t>SikaColor C white CO            Dr 55GAL</t>
  </si>
  <si>
    <t>SikaColor F basalt grey CO       /4x1GAL</t>
  </si>
  <si>
    <t>SikaColor® F</t>
  </si>
  <si>
    <t>SikaColor F white CO             /4x1GAL</t>
  </si>
  <si>
    <t>SikaColor F basalt grey CO       Pl 5GAL</t>
  </si>
  <si>
    <t>SikaColor F concrete grey CO     Pl 5GAL</t>
  </si>
  <si>
    <t>SikaColor F white CO             Pl 5GAL</t>
  </si>
  <si>
    <t>Sikagard-719W CO                  /6x4KG</t>
  </si>
  <si>
    <t>Sikagard®-719 W</t>
  </si>
  <si>
    <t>Sikagard Decor transparent CO    Pl 18KG</t>
  </si>
  <si>
    <t>Sikaguard® Décor</t>
  </si>
  <si>
    <t>SikaLimpiador Rinse CO        /12x0,5GAL</t>
  </si>
  <si>
    <t>SikaLimpiador® Rinse</t>
  </si>
  <si>
    <t>SikaLimpiador Rinse CO           /6x1GAL</t>
  </si>
  <si>
    <t>SikaLimpiador Rinse CO           Pl 5GAL</t>
  </si>
  <si>
    <t>SikaMur-150 Pega Mamposteria     Bg 50KG</t>
  </si>
  <si>
    <t>SikaMur®-150 Pega Mamposteria</t>
  </si>
  <si>
    <t>SikaMur-175 Grout Mamposteria(AB)   95KG</t>
  </si>
  <si>
    <t>SikaMur®-175 Grout Mamposteria</t>
  </si>
  <si>
    <t>SikaWall Pega Placa              Bg 25KG</t>
  </si>
  <si>
    <t>SikaWall® Pega Placa</t>
  </si>
  <si>
    <t>SikaWall-1021 Dry Basecoat&amp;Ad.CO Bg 25KG</t>
  </si>
  <si>
    <t>SikaWall®-1021 Dry Basecoat&amp;Adhesive CO</t>
  </si>
  <si>
    <t>SikaWall-125 Panete Rapido Secad.Bg 25KG</t>
  </si>
  <si>
    <t>SikaWall®-125 Pañete Rapido Secado</t>
  </si>
  <si>
    <t>SikaWall-125 Panete Rapido Secad.Bg 50KG</t>
  </si>
  <si>
    <t>SikaWall-190 EstukaDos PRO       Bg 25KG</t>
  </si>
  <si>
    <t>SikaWall®-190 EstukaDos PRO</t>
  </si>
  <si>
    <t>SikaWall-190 EstukaDos PRO       Bg 40KG</t>
  </si>
  <si>
    <t>SikaWall-225 Masilla en Polvo    Bg 25KG</t>
  </si>
  <si>
    <t>SikaWall®-225 Masilla en Polvo</t>
  </si>
  <si>
    <t>SikaWall-250 Estuka Facil PRO    Bg 25KG</t>
  </si>
  <si>
    <t>SikaWall®-250 Estuka® Fácil PRO</t>
  </si>
  <si>
    <t>SikaWall-250 Estuka Facil PRO    Bg 40KG</t>
  </si>
  <si>
    <t>SikaWall-330 Estuka Acrilic.CO /16x1,5KG</t>
  </si>
  <si>
    <t>SikaWall®-330 Estuka Acrilico CO</t>
  </si>
  <si>
    <t>SikaWall-330 Estuka Acrilico CO  Pl 30KG</t>
  </si>
  <si>
    <t>SikaWall-60 Primer DPR dark base Pl 25KG</t>
  </si>
  <si>
    <t>SikaWall®-60 Primer DPR</t>
  </si>
  <si>
    <t>SikaWall-60 Primer DPR light bas.Pl 25KG</t>
  </si>
  <si>
    <t>SikaWall-615 Tx.DPR S.0.7 base osc. 27KG</t>
  </si>
  <si>
    <t>SikaWall®-615 Textura DPR Smooth 0.7</t>
  </si>
  <si>
    <t>SikaWall-615 Tx.DPR S.0.7 light ba. 27KG</t>
  </si>
  <si>
    <t>SikaWall-615 Tx.DPR S.F.1.0 ba.cla. 27KG</t>
  </si>
  <si>
    <t>SikaWall®-615 Texture DPR Sand Fine 1.0</t>
  </si>
  <si>
    <t>SikaWall-615 Tx.DPR S.F.1.0 dark ba.27KG</t>
  </si>
  <si>
    <t>SikaWall-401 Textured Paint white/4x1GAL</t>
  </si>
  <si>
    <t>SikaWall-401 Textured Paint</t>
  </si>
  <si>
    <t>SikaWall-401 Textured Paint whit.Pl 5GAL</t>
  </si>
  <si>
    <t>Sika Antisol Rojo Base Agua  COL Ka 20KG</t>
  </si>
  <si>
    <t>Sika Antisol Rojo Base Agua</t>
  </si>
  <si>
    <t>Sika Antisol Rojo Base Agua COL Dr 210KG</t>
  </si>
  <si>
    <t>Sika Antisol Blanco        COL   Pl 20KG</t>
  </si>
  <si>
    <t>Sika® Antisol® Blanco</t>
  </si>
  <si>
    <t>Sika Antisol Blanco       COL   Dr 200KG</t>
  </si>
  <si>
    <t>Sika Antisol Blanco MO    COL   Dr 200KG</t>
  </si>
  <si>
    <t>Sika® Antisol® Blanco MO</t>
  </si>
  <si>
    <t>Sika Antisol Rojo          COL   Pl 16KG</t>
  </si>
  <si>
    <t>Sika® Antisol® Rojo</t>
  </si>
  <si>
    <t>Sika Antisol Rojo         COL   Dr 170KG</t>
  </si>
  <si>
    <t>Sika Antisol White Pigmented     Pl 20KG</t>
  </si>
  <si>
    <t>Sika® Antisol® White Pigmented</t>
  </si>
  <si>
    <t>Sika Antisol White Pigmented    Dr 200KG</t>
  </si>
  <si>
    <t>SikaDust Seal                   Dr 230KG</t>
  </si>
  <si>
    <t>Sika® Dust Seal</t>
  </si>
  <si>
    <t>SikaFilm CO                      Pl 20KG</t>
  </si>
  <si>
    <t>Sika® Film</t>
  </si>
  <si>
    <t>SikaFilm CO                     Dr 210KG</t>
  </si>
  <si>
    <t>Sika Intraplast Z CO             Bg 30KG</t>
  </si>
  <si>
    <t>Sika® Intraplast® Z CO</t>
  </si>
  <si>
    <t>SikaLightcrete         COL   cisterna KG</t>
  </si>
  <si>
    <t>Sika® Lightcrete</t>
  </si>
  <si>
    <t>SikaLightcrete             COL  Dr 210KG</t>
  </si>
  <si>
    <t>SikaPlastiment AD-30           tanker KG</t>
  </si>
  <si>
    <t>Sika® Plastiment® AD-30</t>
  </si>
  <si>
    <t>SikaPlastiment AD-30            Dr 230KG</t>
  </si>
  <si>
    <t>SikaPlastiment AD-30           Co 1300KG</t>
  </si>
  <si>
    <t>SikaPlastiment AP              tanker KG</t>
  </si>
  <si>
    <t>Sika® Plastiment® AP</t>
  </si>
  <si>
    <t>SikaPlastiment AP               Dr 230KG</t>
  </si>
  <si>
    <t>SikaPlastiment R 790           tanker KG</t>
  </si>
  <si>
    <t>Sika® Plastiment® R 790</t>
  </si>
  <si>
    <t>SikaPlastiment R 790           Co 1182KG</t>
  </si>
  <si>
    <t>SikaPlastiment RI              Co 1100KG</t>
  </si>
  <si>
    <t>Sika® Plastiment® RI</t>
  </si>
  <si>
    <t>SikaPlastiment RI              tanker KG</t>
  </si>
  <si>
    <t>SikaPlastiment RI               Dr 230KG</t>
  </si>
  <si>
    <t>SikaPlastiment TM-10           tanker KG</t>
  </si>
  <si>
    <t>Sika® Plastiment® TM-10</t>
  </si>
  <si>
    <t>SikaPlastiment TM-5            tanker KG</t>
  </si>
  <si>
    <t>Sika® Plastiment® TM-5</t>
  </si>
  <si>
    <t>SikaPlastiment TM-5             Dr 230KG</t>
  </si>
  <si>
    <t>SikaPlastiment-132 MC          tanker KG</t>
  </si>
  <si>
    <t>Sika® Plastiment®-132 MC</t>
  </si>
  <si>
    <t>SikaPlastiment-132 MC           Dr 230KG</t>
  </si>
  <si>
    <t>SikaPlastiment-150 RI          tanker KG</t>
  </si>
  <si>
    <t>Sika® Plastiment®-150 RI</t>
  </si>
  <si>
    <t>SikaPlastiment-150 RI           Dr 230KG</t>
  </si>
  <si>
    <t>SikaPlastiment-160 SO          tanker KG</t>
  </si>
  <si>
    <t>Sika® Plastiment®-160 SO</t>
  </si>
  <si>
    <t>SikaPlastiment-160 SO           Dr 230KG</t>
  </si>
  <si>
    <t>SikaPlastiment-170 SP          tanker KG</t>
  </si>
  <si>
    <t>Sika® Plastiment®-170 SP</t>
  </si>
  <si>
    <t>SikaPlastiment-170 SP           Dr 230KG</t>
  </si>
  <si>
    <t>SikaPlastocrete DM       COL   tanker KG</t>
  </si>
  <si>
    <t>Sika® Plastocrete® DM</t>
  </si>
  <si>
    <t>SikaPlastocrete DM             /12x2,3KG</t>
  </si>
  <si>
    <t>SikaPlastocrete DM        COL   /6x4,5KG</t>
  </si>
  <si>
    <t>SikaPlastocrete DM         COL   Pl 20KG</t>
  </si>
  <si>
    <t>SikaPlastocrete DM        COL   Dr 230KG</t>
  </si>
  <si>
    <t>SikaPlastocrete DM       COL   Co 1100KG</t>
  </si>
  <si>
    <t>SikaPlastocrete DM MO     COL   Dr 230KG</t>
  </si>
  <si>
    <t>Sika® Plastocrete® DM MO</t>
  </si>
  <si>
    <t>SikaPlastocrete PH 753         tanker KG</t>
  </si>
  <si>
    <t>Sika® Plastocrete® PH 753</t>
  </si>
  <si>
    <t>SikaPlastocrete-123 Universal  /12x2,3KG</t>
  </si>
  <si>
    <t>Sika® Plastocrete®-123 Universal</t>
  </si>
  <si>
    <t>SikaPlastocrete-123 Universal   /6x4,5KG</t>
  </si>
  <si>
    <t>SikaPlastocrete-123 Universal    Pl 20KG</t>
  </si>
  <si>
    <t>SikaRetarder R 780             tanker KG</t>
  </si>
  <si>
    <t>Sika® Retarder R 780</t>
  </si>
  <si>
    <t>SikaRetarder R 780             Co 1229KG</t>
  </si>
  <si>
    <t>SikaSeparol powder grey    COL   Bg 25KG</t>
  </si>
  <si>
    <t>Sika® Separol®</t>
  </si>
  <si>
    <t>SikaSeparol powder neutral  COL  Bg 25KG</t>
  </si>
  <si>
    <t>SikaSeparol N             COL   Co 900KG</t>
  </si>
  <si>
    <t>Sika® Separol® N</t>
  </si>
  <si>
    <t>SikaSeparol N             COL   Tb 200KG</t>
  </si>
  <si>
    <t>SikaSeparol               COL   Co 900KG</t>
  </si>
  <si>
    <t>SikaSeparol Ecologico      COL   Pl 20KG</t>
  </si>
  <si>
    <t>Sika® Separol® Ecologico</t>
  </si>
  <si>
    <t>SikaSeparol Ecologico     COL   Tb 200KG</t>
  </si>
  <si>
    <t>SikaSeparol RL 250               Pl 20KG</t>
  </si>
  <si>
    <t>Sika® Separol® RL 250</t>
  </si>
  <si>
    <t>SikaSeparol RL 250              Dr 180KG</t>
  </si>
  <si>
    <t>SikaSeparol RL 258               Ka 15KG</t>
  </si>
  <si>
    <t>Sika® Separol® RL 258</t>
  </si>
  <si>
    <t>SikaSeparol RL 258              Dr 170KG</t>
  </si>
  <si>
    <t>SikaSeparol RL 280              Dr 180KG</t>
  </si>
  <si>
    <t>Sika® Separol® RL 280</t>
  </si>
  <si>
    <t>SikaSeparol RL 250              Co 900KG</t>
  </si>
  <si>
    <t>SikaSeparol RL 258              Co 900KG</t>
  </si>
  <si>
    <t>SikaSeparol RL 280               Bd 20KG</t>
  </si>
  <si>
    <t>SikaSeparol RL 280              Co 900KG</t>
  </si>
  <si>
    <t>SikaSeparol-500 Mixer          tanker KG</t>
  </si>
  <si>
    <t>Sika® Separol®-500 Mixer</t>
  </si>
  <si>
    <t>SikaSeparol-500 Mixer           Dr 200KG</t>
  </si>
  <si>
    <t>SikaSigunit L-53 AF Plus       tanker KG</t>
  </si>
  <si>
    <t>Sika® Sigunit® L-53 AF Plus</t>
  </si>
  <si>
    <t>SikaSigunit L-53 AF Plus        Dr 230KG</t>
  </si>
  <si>
    <t>SikaSigunit L-53 AF Plus       Co 1400KG</t>
  </si>
  <si>
    <t>SikaSigunit L-54 AF MO         tanker KG</t>
  </si>
  <si>
    <t>Sika® Sigunit® L-54 AF MO</t>
  </si>
  <si>
    <t>SikaSigunit L-54 AF MO          Dr 230KG</t>
  </si>
  <si>
    <t>SikaSigunit L-54 AF MO         Co 1200KG</t>
  </si>
  <si>
    <t>SikaSigunit 3405 AFL CO        tanker KG</t>
  </si>
  <si>
    <t>Sika® Sigunit®-3405 AFL CO</t>
  </si>
  <si>
    <t>SikaSigunit L-55 AF       COL   Dr 230KG</t>
  </si>
  <si>
    <t>Sika® Sigunit®L-55 AF</t>
  </si>
  <si>
    <t>SikaStabilizer Delvo           tanker KG</t>
  </si>
  <si>
    <t>Sika® Stabilizer Delvo</t>
  </si>
  <si>
    <t>SikaStabilizer Delvo     COL  Dr 223,6KG</t>
  </si>
  <si>
    <t>SikaStabilizer Delvo           Co 1075KG</t>
  </si>
  <si>
    <t>SikaStabilizer-15 WMR CO       tanker KG</t>
  </si>
  <si>
    <t>Sika® Stabilizer-15 WMR CO</t>
  </si>
  <si>
    <t>SikaStabilizer-15 WMR CO       Co 1100KG</t>
  </si>
  <si>
    <t>SikaStabilizer-4R CO            Dr 200KG</t>
  </si>
  <si>
    <t>Sika® Stabilizer-4 R CO</t>
  </si>
  <si>
    <t>SikaStabilizer-3910 VMC         tanker KG</t>
  </si>
  <si>
    <t>Sika® Stabilizer-3910 VMC</t>
  </si>
  <si>
    <t>SikaStabilizer-3920 VMC         tanker KG</t>
  </si>
  <si>
    <t>Sika® Stabilizer-3920 VMC</t>
  </si>
  <si>
    <t>SikaViscoCrete ACE 310         tanker KG</t>
  </si>
  <si>
    <t>Sika® ViscoCrete® ACE 310</t>
  </si>
  <si>
    <t>SikaViscoCrete ACE 310         Co 1080KG</t>
  </si>
  <si>
    <t>SikaViscoCrete ACE 45          tanker KG</t>
  </si>
  <si>
    <t>Sika® ViscoCrete® ACE 45</t>
  </si>
  <si>
    <t>SikaViscoCrete GL 355 C        tanker KG</t>
  </si>
  <si>
    <t>Sika® ViscoCrete® GL 355 C</t>
  </si>
  <si>
    <t>SikaViscoCrete GL 357          tanker KG</t>
  </si>
  <si>
    <t>Sika® ViscoCrete® GL 357</t>
  </si>
  <si>
    <t>SikaViscoCrete GL 357         Dr 221,5KG</t>
  </si>
  <si>
    <t>SikaViscoCrete GL 357          Co 1065KG</t>
  </si>
  <si>
    <t>SikaViscoCrete-2020 CO         tanker KG</t>
  </si>
  <si>
    <t>Sika® ViscoCrete®-2020 CO</t>
  </si>
  <si>
    <t>SikaViscoCrete-2020 CO          dr 230KG</t>
  </si>
  <si>
    <t>SikaViscoCrete-2020 CO         Co 1100KG</t>
  </si>
  <si>
    <t>SikaViscoCrete-2025 CO         tanker KG</t>
  </si>
  <si>
    <t>Sika® ViscoCrete®-2025 CO</t>
  </si>
  <si>
    <t>SikaViscoCrete-30HE CO         tanker KG</t>
  </si>
  <si>
    <t>Sika® ViscoCrete®-30 HE</t>
  </si>
  <si>
    <t>SikaViscoCrete-30HE CO          Dr 230KG</t>
  </si>
  <si>
    <t>SikaViscoCrete-30HE      COL   Co 1100KG</t>
  </si>
  <si>
    <t>SikaViscoCrete-3100 CO         tanker KG</t>
  </si>
  <si>
    <t>Sika® ViscoCrete®-3100</t>
  </si>
  <si>
    <t>SikaViscoCrete-3100 CO          Dr 230KG</t>
  </si>
  <si>
    <t>SikaViscoCrete-3100 CO         Co 1100KG</t>
  </si>
  <si>
    <t>SikaViscoCrete-50 HE            Dr 230KG</t>
  </si>
  <si>
    <t>Sika® ViscoCrete®-50 HE</t>
  </si>
  <si>
    <t>SikaViscoCrete-50 HE           Co 1100KG</t>
  </si>
  <si>
    <t>SikaViscoCrete-50 HE           tanker KG</t>
  </si>
  <si>
    <t>SikaViscoCrete-711 P             Bg 20KG</t>
  </si>
  <si>
    <t>Sika® ViscoCrete®-711 P</t>
  </si>
  <si>
    <t>Sika WT-100 CO                 tanker KG</t>
  </si>
  <si>
    <t>Sika® WT-100</t>
  </si>
  <si>
    <t>Sika WT-100 CO                  Dr 220KG</t>
  </si>
  <si>
    <t>Sika WT-240 P CO                 Bg 20KG</t>
  </si>
  <si>
    <t>Sika® WT-240 P</t>
  </si>
  <si>
    <t>Sika-3                         /12x2,3KG</t>
  </si>
  <si>
    <t>Sika®-3</t>
  </si>
  <si>
    <t>Sika-3 CO                         /6x5KG</t>
  </si>
  <si>
    <t>Sika Aer D CO                  tanker KG</t>
  </si>
  <si>
    <t>Sika-Aer® D</t>
  </si>
  <si>
    <t>Sika Aer D CO                   Dr 200KG</t>
  </si>
  <si>
    <t>SikaControl PerFin-7            Dr 200KG</t>
  </si>
  <si>
    <t>SikaControl® PerFin-7</t>
  </si>
  <si>
    <t>SikaControl-100 D                Bg 20KG</t>
  </si>
  <si>
    <t>SikaControl®-100 D</t>
  </si>
  <si>
    <t>SikaControl-5 ASR                Bg 25KG</t>
  </si>
  <si>
    <t>SikaControl®-5 ASR</t>
  </si>
  <si>
    <t>SikaControl-50 CO              tanker KG</t>
  </si>
  <si>
    <t>Sika® Control®-50</t>
  </si>
  <si>
    <t>SikaControl-75 CO              tanker KG</t>
  </si>
  <si>
    <t>SikaControl®-75 CO</t>
  </si>
  <si>
    <t>SikaControl-75 CO                Pl 18KG</t>
  </si>
  <si>
    <t>SikaControl-75 CO               Dr 180KG</t>
  </si>
  <si>
    <t>SikaControl-75 CO               Co 950KG</t>
  </si>
  <si>
    <t>SikaControl Perfin-7           tanker KG</t>
  </si>
  <si>
    <t>SikaControl-920 AER             tanker KG</t>
  </si>
  <si>
    <t>SikaControl®-920 AER</t>
  </si>
  <si>
    <t>SikaFiber-540 Twist              /10x1KG</t>
  </si>
  <si>
    <t>SikaFiber®-540 Twist</t>
  </si>
  <si>
    <t>SikaFiber-6 Micro              /10x1,5KG</t>
  </si>
  <si>
    <t>SikaFiber®-6 Micro</t>
  </si>
  <si>
    <t>SikaFiber-600 CO                /25x0,6KG</t>
  </si>
  <si>
    <t>SikaFiber®-600 CO</t>
  </si>
  <si>
    <t>SikaFiber-700 AD                /25x0,7KG</t>
  </si>
  <si>
    <t>SikaFiber®-700 AD</t>
  </si>
  <si>
    <t>SikaFluid CO                   tanker KG</t>
  </si>
  <si>
    <t>SikaFluid®</t>
  </si>
  <si>
    <t>SikaFluid CO                     Pl 25KG</t>
  </si>
  <si>
    <t>SikaFluid MO CO                 Dr 230KG</t>
  </si>
  <si>
    <t>SikaFluid® MO</t>
  </si>
  <si>
    <t>SikaFume CO                      Bg 25KG</t>
  </si>
  <si>
    <t>SikaFume®</t>
  </si>
  <si>
    <t>SikaFume CO (bigbag)</t>
  </si>
  <si>
    <t>SikaFume CO (bigbag)®</t>
  </si>
  <si>
    <t>Sikament PH 2040               tanker KG</t>
  </si>
  <si>
    <t>Sikament® PH 2040</t>
  </si>
  <si>
    <t>Sikament PH 2050               tanker KG</t>
  </si>
  <si>
    <t>Sikament® PH 2050</t>
  </si>
  <si>
    <t>Sikament PH 7000               tanker KG</t>
  </si>
  <si>
    <t>Sikament® PH 7000</t>
  </si>
  <si>
    <t>Sikament PH 7995               tanker KG</t>
  </si>
  <si>
    <t>Sikament® PH 7995</t>
  </si>
  <si>
    <t>Sikament PH 853                tanker KG</t>
  </si>
  <si>
    <t>Sikament® PH 853</t>
  </si>
  <si>
    <t>Sikament-100 SC CO              Dr 230KG</t>
  </si>
  <si>
    <t>Sikament®-100 SC CO</t>
  </si>
  <si>
    <t>Sikament N-100 CO              tanker KG</t>
  </si>
  <si>
    <t>Sikament®-N 100</t>
  </si>
  <si>
    <t>Sikament N-100 CO               Dr 230KG</t>
  </si>
  <si>
    <t>Sikanol M CO                   tanker KG</t>
  </si>
  <si>
    <t>Sikanol®</t>
  </si>
  <si>
    <t>Sikanol M CO                    Dr 200KG</t>
  </si>
  <si>
    <t>SikaPaver HC-1 CO              tanker KG</t>
  </si>
  <si>
    <t>SikaPaver® HC-1 CO</t>
  </si>
  <si>
    <t>SikaPlast-5500           COL   tanker KG</t>
  </si>
  <si>
    <t>SikaPlast® 5500</t>
  </si>
  <si>
    <t>SikaPlast-5500           COL    Dr 230KG</t>
  </si>
  <si>
    <t>SikaPlast-5500           COL   Co 1100KG</t>
  </si>
  <si>
    <t>Sikaplast GL 340               tanker KG</t>
  </si>
  <si>
    <t>Sikaplast® GL 340</t>
  </si>
  <si>
    <t>SikaPlast GL 7975              tanker KG</t>
  </si>
  <si>
    <t>SikaPlast® GL 7975</t>
  </si>
  <si>
    <t>SikaPlast GL 9040              tanker KG</t>
  </si>
  <si>
    <t>SikaPlast® GL 9040</t>
  </si>
  <si>
    <t>SikaPlast MO CO                tanker KG</t>
  </si>
  <si>
    <t>SikaPlast® MO</t>
  </si>
  <si>
    <t>SikaPlast MO                   /12x2,2KG</t>
  </si>
  <si>
    <t>SikaPlast MO CO                   /6x5KG</t>
  </si>
  <si>
    <t>SikaPlast MO CO                  Pl 20KG</t>
  </si>
  <si>
    <t>SikaPlast MO CO                 Dr 230KG</t>
  </si>
  <si>
    <t>SikaPlast MO             COL   Co 1100KG</t>
  </si>
  <si>
    <t>SikaPlast-123 Universal        /12x2,2KG</t>
  </si>
  <si>
    <t>SikaPlast®-123 Universal</t>
  </si>
  <si>
    <t>SikaPlast-123 Universal           /6x5KG</t>
  </si>
  <si>
    <t>SikaPlast-123 Universal          Pl 20KG</t>
  </si>
  <si>
    <t>SikaPlast-19 UC                tanker KG</t>
  </si>
  <si>
    <t>SikaPlast®-19 UC</t>
  </si>
  <si>
    <t>SikaPlast-327                  tanker KG</t>
  </si>
  <si>
    <t>SikaPlast®-327</t>
  </si>
  <si>
    <t>SikaPlast-380 CO               tanker KG</t>
  </si>
  <si>
    <t>SikaPlast®-380 CO</t>
  </si>
  <si>
    <t>SikaPlast-380 CO                Dr 230KG</t>
  </si>
  <si>
    <t>SikaPlast-380 CO               Co 1100KG</t>
  </si>
  <si>
    <t>SikaPlast-385 CO               tanker KG</t>
  </si>
  <si>
    <t>SikaPlast®-385 CO</t>
  </si>
  <si>
    <t>SikaPlast-385 CO               Co 1100KG</t>
  </si>
  <si>
    <t>SikaPlast-387                  tanker KG</t>
  </si>
  <si>
    <t>SikaPlast®-387</t>
  </si>
  <si>
    <t>SikaPlast-5230 CO              tanker KG</t>
  </si>
  <si>
    <t>SikaPlast®-5230 CO</t>
  </si>
  <si>
    <t>SikaPlast-5950 CO              tanker KG</t>
  </si>
  <si>
    <t>SikaPlast®-5950 CO</t>
  </si>
  <si>
    <t>SikaPlast-5800                  Dr 230KG</t>
  </si>
  <si>
    <t>SikaPlastt®-5800</t>
  </si>
  <si>
    <t>SikaRapid AC 122             Dr 277,68KG</t>
  </si>
  <si>
    <t>SikaRapid® AC 122</t>
  </si>
  <si>
    <t>SikaRapid AC 122 V1     (MX)   tanker KG</t>
  </si>
  <si>
    <t>SikaRapid AC 122 V1       COL  Co 1335KG</t>
  </si>
  <si>
    <t>SikaSet L CO                   tanker KG</t>
  </si>
  <si>
    <t>SikaSet® L</t>
  </si>
  <si>
    <t>SikaSet L                      /12x2,6KG</t>
  </si>
  <si>
    <t>SikaSet L CO                      /6x5KG</t>
  </si>
  <si>
    <t>SikaSet L CO                     Pl 25KG</t>
  </si>
  <si>
    <t>SikaSet L CO                    Dr 230KG</t>
  </si>
  <si>
    <t>SikaSet NC               COL   tanker KG</t>
  </si>
  <si>
    <t>SikaSet® NC</t>
  </si>
  <si>
    <t>SikaSet NC CO                   Dr 230KG</t>
  </si>
  <si>
    <t>SikaSet-123 Universal          /12x2,6KG</t>
  </si>
  <si>
    <t>SikaSet®-123 Universal</t>
  </si>
  <si>
    <t>SikaSet-123 Universal             /6x5KG</t>
  </si>
  <si>
    <t>SikaSet-123 Universal            Pl 25KG</t>
  </si>
  <si>
    <t>SikaTard E CO                  tanker KG</t>
  </si>
  <si>
    <t>SikaTard® E</t>
  </si>
  <si>
    <t>SikaTard E CO                   Dr 230KG</t>
  </si>
  <si>
    <t>SikaTard-929 CO                tanker KG</t>
  </si>
  <si>
    <t>SikaTard®-929 CO</t>
  </si>
  <si>
    <t>SikaTard-935 CO                tanker KG</t>
  </si>
  <si>
    <t>SikaTard®-935</t>
  </si>
  <si>
    <t>SikaTard-935 CO                 Dr 230KG</t>
  </si>
  <si>
    <t>SikaTard-935 CO                Co 1100KG</t>
  </si>
  <si>
    <t>SikaTard-938 LH                tanker KG</t>
  </si>
  <si>
    <t>SikaTard®-938 LH</t>
  </si>
  <si>
    <t>SikaFiber Enduro Mirage 54mm    /6x1,8KG</t>
  </si>
  <si>
    <t>SikaFiber® Enduro Mirage</t>
  </si>
  <si>
    <t>SikaPlast-5800                 tanker KG</t>
  </si>
  <si>
    <t>SikaPlast®-5800</t>
  </si>
  <si>
    <t>Battery 20V Lithium f.Gun(PP7000/5026)PC</t>
  </si>
  <si>
    <t>Accessories / Tools</t>
  </si>
  <si>
    <t>Blow out pump for Sika Anchorfix      PC</t>
  </si>
  <si>
    <t>Electric Caulking Gun PP5026 300ml    PC</t>
  </si>
  <si>
    <t>Electric Caulking Gun PP7000 585ml    PC</t>
  </si>
  <si>
    <t>Electric Caulking Gun PP7000 600ml    PC</t>
  </si>
  <si>
    <t>Manual Caulking Gun 585 ml (585-XSP)  PC</t>
  </si>
  <si>
    <t>Epoxifenolico Nov.S.400NF(A)gr.Ka 2,7GAL</t>
  </si>
  <si>
    <t>Epoxifenolico Novolac Serie-400 NF</t>
  </si>
  <si>
    <t>Sika AnchorFix ste.br.18mm ex.ha.CDN BAG</t>
  </si>
  <si>
    <t>Sika AnchorFix®</t>
  </si>
  <si>
    <t>Sika AnchorFix ste.br.22mm ex.ha.CDN BAG</t>
  </si>
  <si>
    <t>Sika AnchorFix ste.br.24mm ex.ha.CDN BAG</t>
  </si>
  <si>
    <t>Sika AnchorFix ste.br.27mm ex.ha.CDN BAG</t>
  </si>
  <si>
    <t>Sika AnchorFix ste.bru.14mm hand.CDN BAG</t>
  </si>
  <si>
    <t>Sika AnchorFix ste.bru.16mm hand.CDN BAG</t>
  </si>
  <si>
    <t>Sika AnchorFix steelbrush 12mm handl.BAG</t>
  </si>
  <si>
    <t>Sika AnchorFix Ex.Tu.(14x300mm)(10pc)Bag</t>
  </si>
  <si>
    <t>Sika AnchorFix® Extension Tube</t>
  </si>
  <si>
    <t>Sika AnchorFix Ex.Tube(9x300mm)(10pc)Bag</t>
  </si>
  <si>
    <t>Sika AnchorFix Static Mixer KW  (5x) BAG</t>
  </si>
  <si>
    <t>Sika AnchorFix® Static Mixer KW</t>
  </si>
  <si>
    <t>Sika AnchorFix Stat.Mixer QH HiFl(5x)BAG</t>
  </si>
  <si>
    <t>Sika AnchorFix® Static Mixer QH HighFlow</t>
  </si>
  <si>
    <t>Sika AnchorFix-2 (AB) CO      /12 CTR300</t>
  </si>
  <si>
    <t>Sika AnchorFix®-2</t>
  </si>
  <si>
    <t>Sika AnchorFix-3001(AB) CO    /12 CTR250</t>
  </si>
  <si>
    <t>Sika AnchorFix®-3001</t>
  </si>
  <si>
    <t>Sika AnchorFix-3001(AB) EN    /12 CTR600</t>
  </si>
  <si>
    <t>Sika AnchorFix-3030 (AB) CO   /12 CTR585</t>
  </si>
  <si>
    <t>Sika AnchorFix®-3030</t>
  </si>
  <si>
    <t>Sika AnchorFix S (AB) CO      /12 CTR300</t>
  </si>
  <si>
    <t>Sika AnchorFix®-S</t>
  </si>
  <si>
    <t>Sika AnchorFix S (AB) CO      /20 CTR150</t>
  </si>
  <si>
    <t>SikaViscoBond CO               /17x0,6KG</t>
  </si>
  <si>
    <t>Sika ViscoBond®</t>
  </si>
  <si>
    <t>SikaViscoBond CO                /6x3,2KG</t>
  </si>
  <si>
    <t>SikaViscoBond CO                 Pl 19KG</t>
  </si>
  <si>
    <t>SikaViscoBond CO                Dr 200KG</t>
  </si>
  <si>
    <t>Sika Acril Estireno              Pl 20KG</t>
  </si>
  <si>
    <t>Sika® AcrilEstireno</t>
  </si>
  <si>
    <t>Sika Acril Estireno             Dr 200KG</t>
  </si>
  <si>
    <t>SikaConcrelisto RE 5000(AB)         80KG</t>
  </si>
  <si>
    <t>Sika® Concrelisto RE 5000</t>
  </si>
  <si>
    <t>SikaFerroGard-903 CO             Pl 20KG</t>
  </si>
  <si>
    <t>Sika® FerroGard®-903</t>
  </si>
  <si>
    <t>SikaFerroGard-903 CO            Dr 200KG</t>
  </si>
  <si>
    <t>SikaPronto-11(AB+Sub Zero)      25,575KG</t>
  </si>
  <si>
    <t>Sika® Pronto-11</t>
  </si>
  <si>
    <t>Static Mixer Sika AnchorFix-3001(5x) BAG</t>
  </si>
  <si>
    <t>Sika® Static mixing nozzle</t>
  </si>
  <si>
    <t>Sika Uretano (AB) transparente CO  3,5KG</t>
  </si>
  <si>
    <t>Sika®Uretano</t>
  </si>
  <si>
    <t>Sika Uretano (AB)transpar.mate CO  3,5KG</t>
  </si>
  <si>
    <t>Sika Uretano (AB) white CO         4,5KG</t>
  </si>
  <si>
    <t>SikaColor-555W concrete grey CO  Pl 25KG</t>
  </si>
  <si>
    <t>SikaColor® 555 W</t>
  </si>
  <si>
    <t>SikaColor-555W basalt grey CO   Dr 230KG</t>
  </si>
  <si>
    <t>Sikadur-42 Anclaje (ABC) CO/MX       5KG</t>
  </si>
  <si>
    <t>Sikadur® 42 Anclaje</t>
  </si>
  <si>
    <t>Sikadur-42 Anclaje (ABC) CO         15KG</t>
  </si>
  <si>
    <t>Sikadur-42 Anclaje (ABC) Slow CO    15KG</t>
  </si>
  <si>
    <t>Sikadur AnchorFix-4(AB)CO/UY/11 CTR900GR</t>
  </si>
  <si>
    <t>Sikadur® AnchorFix®-4</t>
  </si>
  <si>
    <t>Sikadur Crack Repair Kit (AB) CO     SET</t>
  </si>
  <si>
    <t>Sikadur® Crack Repair Kit</t>
  </si>
  <si>
    <t>Sikadur Panel (AB) CO             /9x1KG</t>
  </si>
  <si>
    <t>Sikadur® Panel</t>
  </si>
  <si>
    <t>Sikadur Panel (AB) CO             /4x2KG</t>
  </si>
  <si>
    <t>Sikadur Panel (AB) CO             /4x6KG</t>
  </si>
  <si>
    <t>Sikadur-31 Adhesivo (AB) CO    /16x0,5KG</t>
  </si>
  <si>
    <t>Sikadur®-31 Adhesivo</t>
  </si>
  <si>
    <t>Sikadur-31 Adhesivo (AB) CO       /4x2KG</t>
  </si>
  <si>
    <t>Sikadur-31 Adhesivo (AB) CO       /4x6KG</t>
  </si>
  <si>
    <t>Sikadur-32 Primer (AB) CO         /9x1KG</t>
  </si>
  <si>
    <t>Sikadur®-32</t>
  </si>
  <si>
    <t>Sikadur-32 Primer (AB) CO         /4x3KG</t>
  </si>
  <si>
    <t>Sikadur-32 Primer (AB) CO         /4x6KG</t>
  </si>
  <si>
    <t>Sikadur-32 Primer L (AB) CO       /9x1KG</t>
  </si>
  <si>
    <t>Sikadur®-32 Primer L</t>
  </si>
  <si>
    <t>Sikadur-32 Primer L (AB) CO       /4x3KG</t>
  </si>
  <si>
    <t>Sikadur-35 Hi-Mod LV (AB) CO         3KG</t>
  </si>
  <si>
    <t>Sikadur®-35 Hi-Mod LV</t>
  </si>
  <si>
    <t>Sikadur-42 LE Plus CO (ABC)   Pl 16,72KG</t>
  </si>
  <si>
    <t>Sikadur®-42 LE Plus CO</t>
  </si>
  <si>
    <t>Sikadur-42 LE Plus CO (ABC)      33,82KG</t>
  </si>
  <si>
    <t>Sikadur-51 SL Plus (AB) dark grey 9,07KG</t>
  </si>
  <si>
    <t>Sikadur®-51 SL Plus</t>
  </si>
  <si>
    <t>SikaEmaco N 370                  Bg 20KG</t>
  </si>
  <si>
    <t>SikaEmaco® N 370</t>
  </si>
  <si>
    <t>SikaEmaco S 469                  Bg 25KG</t>
  </si>
  <si>
    <t>SikaEmaco® S 469</t>
  </si>
  <si>
    <t>SikaEmaco S 488 V2        COL    Bg 25KG</t>
  </si>
  <si>
    <t>SikaEmaco® S 488</t>
  </si>
  <si>
    <t>SikaEmaco S 490 (AB)                23KG</t>
  </si>
  <si>
    <t>SikaEmaco® S 490</t>
  </si>
  <si>
    <t>SikaEmaco-488 CI                 Bg 25KG</t>
  </si>
  <si>
    <t>SikaEmaco®-488 CI</t>
  </si>
  <si>
    <t>Sikagard-62 (AB) ivory CO            3KG</t>
  </si>
  <si>
    <t>Sikagard®-62</t>
  </si>
  <si>
    <t>Sikagard-62 (AB) light grey CO       3KG</t>
  </si>
  <si>
    <t>Sikagard-62 (AB) RAL7030 CO          3KG</t>
  </si>
  <si>
    <t>Sikagard-62 (AB) white CO            3KG</t>
  </si>
  <si>
    <t>Sikagard-63N (AB) light grey CO      4KG</t>
  </si>
  <si>
    <t>Sikagard®-63 N</t>
  </si>
  <si>
    <t>Sikagard-63N (AB) oxide red CO       4KG</t>
  </si>
  <si>
    <t>Sikagard-720EC (ABC) CO             21KG</t>
  </si>
  <si>
    <t>Sikagard®-720 EpoCem®</t>
  </si>
  <si>
    <t>SikaGrout-200 CO                 Bg 30KG</t>
  </si>
  <si>
    <t>SikaGrout®-200</t>
  </si>
  <si>
    <t>SikaGrout-200                    Bg 50KG</t>
  </si>
  <si>
    <t>SikaGrout-212 CO                 Bg 30KG</t>
  </si>
  <si>
    <t>SikaGrout®-212</t>
  </si>
  <si>
    <t>SikaGrout-212                    Bg 50KG</t>
  </si>
  <si>
    <t>Sikagard-50 (AB) RAL7030 CO      22,78KG</t>
  </si>
  <si>
    <t>Sikaguard®-50</t>
  </si>
  <si>
    <t>Sikagard-50 (AB) RAL7035 CO      22,78KG</t>
  </si>
  <si>
    <t>SikaLatex CO                  /12x0,25KG</t>
  </si>
  <si>
    <t>SikaLatex®</t>
  </si>
  <si>
    <t>SikaLatex                   COL  /20x1KG</t>
  </si>
  <si>
    <t>SikaLatex CO                    /6x4,5KG</t>
  </si>
  <si>
    <t>SikaLatex CO                     Pl 20KG</t>
  </si>
  <si>
    <t>SikaLatex CO                    Dr 200KG</t>
  </si>
  <si>
    <t>SikaLatex MO CO                  Pl 20KG</t>
  </si>
  <si>
    <t>SikaLatex® MO</t>
  </si>
  <si>
    <t>SikaLatex MO CO                 Dr 200KG</t>
  </si>
  <si>
    <t>SikaQuick-2500 CO                Bg 25KG</t>
  </si>
  <si>
    <t>SikaQuick®-2500</t>
  </si>
  <si>
    <t>SikaRepair-220                   Bg 30KG</t>
  </si>
  <si>
    <t>SikaRepair®-220</t>
  </si>
  <si>
    <t>SikaRepair-224 COL               Bg 25KG</t>
  </si>
  <si>
    <t>SikaRepair®-224</t>
  </si>
  <si>
    <t>SikaTop Armatec-110EC (ABC) CO      20KG</t>
  </si>
  <si>
    <t>SikaTop® Armatec®-110 EpoCem®</t>
  </si>
  <si>
    <t>SikaTop-121 (AB) hot CO             18KG</t>
  </si>
  <si>
    <t>SikaTop®-121</t>
  </si>
  <si>
    <t>SikaTop-121 (AB) cold CO            20KG</t>
  </si>
  <si>
    <t>SikaTop-122 (AB) hot CO             27KG</t>
  </si>
  <si>
    <t>SikaTop®-122</t>
  </si>
  <si>
    <t>SikaTop-122 (AB) cold CO            30KG</t>
  </si>
  <si>
    <t>SikaTop-122 Plus Monocomponen.CO Bg 25KG</t>
  </si>
  <si>
    <t>SikaTop®-122 Plus Monocomponente</t>
  </si>
  <si>
    <t>SikaTop-122 Plus Monocomponente  Bg 50KG</t>
  </si>
  <si>
    <t>SikaTop Armatec-108 (AB) CO          4KG</t>
  </si>
  <si>
    <t>SikaTop®-Armatec® 108</t>
  </si>
  <si>
    <t>Rodillo de piel de carnero(roller)CO  PC</t>
  </si>
  <si>
    <t>Rodillo de puas (spiked roller) CO/UY PC</t>
  </si>
  <si>
    <t>Autoimprimante Epoxico HS FZ(A)7047 3GAL</t>
  </si>
  <si>
    <t>Autoimprimante Epóxico HS FZ</t>
  </si>
  <si>
    <t>Autoimprimante Epoxico HS FZ(A)grey 3GAL</t>
  </si>
  <si>
    <t>Autoimprimante Epoxico HS FZ(A)whit.3GAL</t>
  </si>
  <si>
    <t>Barniz QDS black CO              Pl 5GAL</t>
  </si>
  <si>
    <t>Barniz QDS</t>
  </si>
  <si>
    <t>Barniz QDS grey CO               Pl 5GAL</t>
  </si>
  <si>
    <t>Barniz QDS white CO              Pl 5GAL</t>
  </si>
  <si>
    <t>Barrera Epoxica (A) RAL7035 CO   /4x1GAL</t>
  </si>
  <si>
    <t>Barrera Epóxica</t>
  </si>
  <si>
    <t>Barrera Epoxica (B) CO           /4x1GAL</t>
  </si>
  <si>
    <t>Barrera Epoxica (A) RAL7035 CO   Pl 5GAL</t>
  </si>
  <si>
    <t>Barrera Epoxica (B) CO           Pl 5GAL</t>
  </si>
  <si>
    <t>Catalizador HB-120CO(B) CO       /4x1GAL</t>
  </si>
  <si>
    <t>Catalizador HB 120 CO</t>
  </si>
  <si>
    <t>Catalizador Serie 500-HT (B) CO  /4x1GAL</t>
  </si>
  <si>
    <t>Catalizador Serie 500-HT</t>
  </si>
  <si>
    <t>Catalizador Serie 82-HS (B) CO   /4x1GAL</t>
  </si>
  <si>
    <t>Catalizador Serie 82-HS</t>
  </si>
  <si>
    <t>Coaltar Epoxico (A) CO           /4x1GAL</t>
  </si>
  <si>
    <t>Coaltar Epóxico</t>
  </si>
  <si>
    <t>Coaltar Epoxico (A) CO           Pl 4GAL</t>
  </si>
  <si>
    <t>Colmasolvente Alquidico CO       Pl 5GAL</t>
  </si>
  <si>
    <t>Colmasolvente Alquídico</t>
  </si>
  <si>
    <t>Sikafloor EpoCem Modul (AB) CO    /6x4KG</t>
  </si>
  <si>
    <t>EpoCem® Modul</t>
  </si>
  <si>
    <t>Epoxico Interior de Tanques(A)white 4GAL</t>
  </si>
  <si>
    <t>Epóxico Interior de Tanques</t>
  </si>
  <si>
    <t>Epoxifenolico S-400 (A) grey CO  Pl 3GAL</t>
  </si>
  <si>
    <t>Epoxifenólico S-400</t>
  </si>
  <si>
    <t>Epoxifenolico S-400 (A) white    Pl 3GAL</t>
  </si>
  <si>
    <t>Epoxifenolico Serie 45(A)grey    Pl 5GAL</t>
  </si>
  <si>
    <t>Epoxifenólico Serie 45</t>
  </si>
  <si>
    <t>Epoxifenolico Serie 45(A)RAL9016 Pl 5GAL</t>
  </si>
  <si>
    <t>Esmalte Alquidico aluminium CO   /4x1GAL</t>
  </si>
  <si>
    <t>Esmalte Alquídico</t>
  </si>
  <si>
    <t>Esmalte Alquidico blue Banaco.CO /4x1GAL</t>
  </si>
  <si>
    <t>Esmalte Alquidico silver grey CO /4x1GAL</t>
  </si>
  <si>
    <t>Esmalte Alquidico white CO       /4x1GAL</t>
  </si>
  <si>
    <t>Esmalte Alquidico yellow CO      /4x1GAL</t>
  </si>
  <si>
    <t>Esmalte Epoxico (A) aluminium CO /4x1GAL</t>
  </si>
  <si>
    <t>Esmalte Epóxico</t>
  </si>
  <si>
    <t>Esmalte Epoxico (A) RAL1003 CO   /4x1GAL</t>
  </si>
  <si>
    <t>Esmalte Epoxico (A) RAL2009 CO   /4x1GAL</t>
  </si>
  <si>
    <t>Esmalte Epoxico (A) RAL5017 CO   /4x1GAL</t>
  </si>
  <si>
    <t>Esmalte Epoxico (A) RAL7035 CO   /4x1GAL</t>
  </si>
  <si>
    <t>Esmalte Epoxico (A) RAL9005 CO   /4x1GAL</t>
  </si>
  <si>
    <t>Esmalte Epoxico (A) RAL9016 CO   /4x1GAL</t>
  </si>
  <si>
    <t>Esmalte Epoxico (B) CO           /4x1GAL</t>
  </si>
  <si>
    <t>Esmalte Uretano (B) CO           /4x1GAL</t>
  </si>
  <si>
    <t>Esmalte Uretano</t>
  </si>
  <si>
    <t>Esmalte Uretano (A) alumin.HS CO Pl 4GAL</t>
  </si>
  <si>
    <t>Esmalte Uretano (A) aluminium CO Pl 4GAL</t>
  </si>
  <si>
    <t>Esmalte Uretano (A) grey ansi-70 CO 4GAL</t>
  </si>
  <si>
    <t>Esmalte Uretano (A) R9016 white CO  4GAL</t>
  </si>
  <si>
    <t>Esmalte Uretano (A) RAL1003 CO   Pl 4GAL</t>
  </si>
  <si>
    <t>Esmalte Uretano (A) RAL1015 CO   Pl 4GAL</t>
  </si>
  <si>
    <t>Esmalte Uretano (A) RAL2009 CO   Pl 4GAL</t>
  </si>
  <si>
    <t>Esmalte Uretano (A) RAL2010 CO   Pl 4GAL</t>
  </si>
  <si>
    <t>Esmalte Uretano (A) RAL3001 CO   Pl 4GAL</t>
  </si>
  <si>
    <t>Esmalte Uretano (A) RAL3015 CO   Pl 4GAL</t>
  </si>
  <si>
    <t>Esmalte Uretano (A) RAL5010 CO   Pl 4GAL</t>
  </si>
  <si>
    <t>Esmalte Uretano (A) RAL5012 CO   Pl 4GAL</t>
  </si>
  <si>
    <t>Esmalte Uretano (A) RAL5015 CO   Pl 4GAL</t>
  </si>
  <si>
    <t>Esmalte Uretano (A) RAL5017 CO   Pl 4GAL</t>
  </si>
  <si>
    <t>Esmalte Uretano (A) RAL6001      Pl 4GAL</t>
  </si>
  <si>
    <t>Esmalte Uretano (A) RAL6002 CO   Pl 4GAL</t>
  </si>
  <si>
    <t>Esmalte Uretano (A) RAL6016 CO   Pl 4GAL</t>
  </si>
  <si>
    <t>Esmalte Uretano (A) RAL6019 CO   Pl 4GAL</t>
  </si>
  <si>
    <t>Esmalte Uretano (A) RAL6021 CO   Pl 4GAL</t>
  </si>
  <si>
    <t>Esmalte Uretano (A) RAL7001 CO   Pl 4GAL</t>
  </si>
  <si>
    <t>Esmalte Uretano (A) RAL7030 CO   Pl 4GAL</t>
  </si>
  <si>
    <t>Esmalte Uretano (A) RAL7031 CO   Pl 4GAL</t>
  </si>
  <si>
    <t>Esmalte Uretano (A) RAL7032 CO   Pl 4GAL</t>
  </si>
  <si>
    <t>Esmalte Uretano (A) RAL7035 CO   Pl 4GAL</t>
  </si>
  <si>
    <t>Esmalte Uretano (A) RAL7038 CO   Pl 4GAL</t>
  </si>
  <si>
    <t>Esmalte Uretano (A) RAL7040 CO   Pl 4GAL</t>
  </si>
  <si>
    <t>Esmalte Uretano (A) RAL7042      Pl 4GAL</t>
  </si>
  <si>
    <t>Esmalte Uretano (A) RAL7045 CO   Pl 4GAL</t>
  </si>
  <si>
    <t>Esmalte Uretano (A) RAL8016 CO   Pl 4GAL</t>
  </si>
  <si>
    <t>Esmalte Uretano (A) RAL9002 CO   Pl 4GAL</t>
  </si>
  <si>
    <t>Esmalte Uretano (A) RAL9003 CO   Pl 4GAL</t>
  </si>
  <si>
    <t>Esmalte Uretano (A) RAL9004 CO   Pl 4GAL</t>
  </si>
  <si>
    <t>Esmalte Uretano (A) RAL9005 CO   Pl 4GAL</t>
  </si>
  <si>
    <t>Esmalte Uretano (A) RAL9010 CO   Pl 4GAL</t>
  </si>
  <si>
    <t>Esmalte Uretano(A)esmeraldo green   4GAL</t>
  </si>
  <si>
    <t>Esmalte Uretano AR (B)           /4x1GAL</t>
  </si>
  <si>
    <t>Esmalte Uretano AR</t>
  </si>
  <si>
    <t>Esmalte Uretano AR (A)RAL1003    Pl 5GAL</t>
  </si>
  <si>
    <t>Esmalte Uretano AR (A)RAL3001    Pl 5GAL</t>
  </si>
  <si>
    <t>Esmalte Uretano AR (A)RAL6016    Pl 5GAL</t>
  </si>
  <si>
    <t>Esmalte Uretano AR (A)RAL7035    Pl 5GAL</t>
  </si>
  <si>
    <t>Esmalte Uretano AR (A)RAL9003    Pl 5GAL</t>
  </si>
  <si>
    <t>Esmalte Uretano AR (A)RAL9016    Pl 5GAL</t>
  </si>
  <si>
    <t>Esmalte Uretano AR (A)verd.argos Pl 5GAL</t>
  </si>
  <si>
    <t>Imprimante Alquidico grey CO     /4x1GAL</t>
  </si>
  <si>
    <t>Imprimante Alquídico</t>
  </si>
  <si>
    <t>Imprimante Alquidico grey CO     Pl 5GAL</t>
  </si>
  <si>
    <t>Imprimante Epoxico Fosf.Cinc(A)CO/4x1GAL</t>
  </si>
  <si>
    <t>Imprimante Epóxico Fosfato de Cinc</t>
  </si>
  <si>
    <t>Imprimante Epoxico Fosf.Cinc(B)CO/4x1GAL</t>
  </si>
  <si>
    <t>Imprimante Epoxico Fosf.Cinc(A)CO   5GAL</t>
  </si>
  <si>
    <t>Imprimante Epoxico Fosf.Cinc(B)CO   5GAL</t>
  </si>
  <si>
    <t>Imprimante Epoxico Rico Cinc(B)CO/4x1GAL</t>
  </si>
  <si>
    <t>Imprimante Epóxico Rico en Cinc</t>
  </si>
  <si>
    <t>Imprimante Epoxico Rico Cinc(A)CO   4GAL</t>
  </si>
  <si>
    <t>Imprimante Epoxico Rojo (A) CO   /4x1GAL</t>
  </si>
  <si>
    <t>Imprimante Epóxico Rojo</t>
  </si>
  <si>
    <t>Imprimante Epoxico Rojo (A) CO   Pl 4GAL</t>
  </si>
  <si>
    <t>Imprimante Inorganico de Cinc (AB) 7,9KG</t>
  </si>
  <si>
    <t>Imprimante Inorgánico de Cinc</t>
  </si>
  <si>
    <t>Sika Ajustador Epoxico           Ka 1GAL</t>
  </si>
  <si>
    <t>Sika® Ajustador Epoxico</t>
  </si>
  <si>
    <t>Sika Ajustador Epoxico           Pl 5GAL</t>
  </si>
  <si>
    <t>Sika Ajustador Epoxico          Dr 55GAL</t>
  </si>
  <si>
    <t>Sika Ajustador Uretano           Pl 5GAL</t>
  </si>
  <si>
    <t>Sika® Ajustador Uretano</t>
  </si>
  <si>
    <t>SikaCatalizador Grup.1(B)(S45)CO /4x1GAL</t>
  </si>
  <si>
    <t>Sika® Catalizador Grupo 1</t>
  </si>
  <si>
    <t>SikaCatalizador Grupo 2(B) CO/12x0,25GAL</t>
  </si>
  <si>
    <t>Sika® Catalizador Grupo 2</t>
  </si>
  <si>
    <t>SikaCatalizador Grup.2(B)(S100)CO/4x1GAL</t>
  </si>
  <si>
    <t>SikaCatalizador Grupo 3 (B) CO   /4x1GAL</t>
  </si>
  <si>
    <t>Sika® Catalizador Grupo 3</t>
  </si>
  <si>
    <t>Sika Epoxi-100HS Serie 300 (A)CO Pl 3GAL</t>
  </si>
  <si>
    <t>Sika® Epoxi 100HS Serie 300</t>
  </si>
  <si>
    <t>Sika Epoxi-90HS Serie 200 (B) CO Pl 1GAL</t>
  </si>
  <si>
    <t>Sika® Epoxi 90HS Serie 200</t>
  </si>
  <si>
    <t>Sika Epoxi-90HS Serie 200(A)grey Pl 4GAL</t>
  </si>
  <si>
    <t>SikaPermacor Hi-Build-120CO(A)CO Pl 3GAL</t>
  </si>
  <si>
    <t>Sika® Permacor® Hi-Build 120 CO</t>
  </si>
  <si>
    <t>SikaPermacor Serie-500 HT(A)grey Pl 3GAL</t>
  </si>
  <si>
    <t>Sika® Permacor® Serie 500-HT</t>
  </si>
  <si>
    <t>SikaPermacor Serie-82 HS (A)blac.Pl 3GAL</t>
  </si>
  <si>
    <t>Sika® Permacor® Serie 82-HS</t>
  </si>
  <si>
    <t>SikaPermacor Serie-82 HS (A)grey Pl 3GAL</t>
  </si>
  <si>
    <t>SikaPermacor Serie-82 HS (A)whit.Pl 3GAL</t>
  </si>
  <si>
    <t>SikaRefuerzo Tejido (0,9mx30m) CO    ROL</t>
  </si>
  <si>
    <t>Sika® Refuerzo Tejido</t>
  </si>
  <si>
    <t>SikaCor Primer FZ (A) lig.gre.CO /4x1GAL</t>
  </si>
  <si>
    <t>SikaCor® Primer FZ</t>
  </si>
  <si>
    <t>SikaCor Primer FZ (B) CO         Ka 1GAL</t>
  </si>
  <si>
    <t>SikaCor Primer FZ (A) dar.gre.CO Pl 5GAL</t>
  </si>
  <si>
    <t>SikaCor Primer FZ (A) lig.gre.CO Pl 5GAL</t>
  </si>
  <si>
    <t>SikaCor Primer FZ (A) white CO   Pl 5GAL</t>
  </si>
  <si>
    <t>SikaCor Primer FZ (B) CO         Pl 5GAL</t>
  </si>
  <si>
    <t>Sikadur Extender T            /30x0,13KG</t>
  </si>
  <si>
    <t>Sikadur® Extender T</t>
  </si>
  <si>
    <t>Sikadur-501 (O,3-1,18mm)       Bg 32,5KG</t>
  </si>
  <si>
    <t>Sikadur®-501</t>
  </si>
  <si>
    <t>Sikadur-504 (0,075-0,21mm)       Bg 13KG</t>
  </si>
  <si>
    <t>Sikadur®-504</t>
  </si>
  <si>
    <t>Sikadur-506 (0,075-2,36mm) CO    Bg 30KG</t>
  </si>
  <si>
    <t>Sikadur®-506</t>
  </si>
  <si>
    <t>Sikadur-510 black CO             Bg 40KG</t>
  </si>
  <si>
    <t>Sikadur®-510</t>
  </si>
  <si>
    <t>Sikadur-510 blue CO              Bg 40KG</t>
  </si>
  <si>
    <t>Sikadur-510 CO                   Bg 40KG</t>
  </si>
  <si>
    <t>Sikadur-510 dark grey CO         Bg 40KG</t>
  </si>
  <si>
    <t>Sikadur-510 light grey CO        Bg 40KG</t>
  </si>
  <si>
    <t>Sikadur-510 oxide red CO         Bg 40KG</t>
  </si>
  <si>
    <t>Sikadur-510 white                Bg 40KG</t>
  </si>
  <si>
    <t>Sikafloor-510 (AB) RAL1015        4,87KG</t>
  </si>
  <si>
    <t>Sikafloor®-510</t>
  </si>
  <si>
    <t>Sikafloor-154W (AB) grey CO      24,73KG</t>
  </si>
  <si>
    <t>Sikafloor® -154 W</t>
  </si>
  <si>
    <t>Sikafloor CureHard-24 CO         Pl 25KG</t>
  </si>
  <si>
    <t>Sikafloor® CureHard-24</t>
  </si>
  <si>
    <t>Sikafloor DecoFlakes black CO     Bg 1KG</t>
  </si>
  <si>
    <t>Sikafloor® DecoFlakes</t>
  </si>
  <si>
    <t>Sikafloor DecoFlakes brown CO     Bg 1KG</t>
  </si>
  <si>
    <t>Sikafloor DecoFlakes grey neu CO  Bg 1KG</t>
  </si>
  <si>
    <t>Sikafloor DecoFlakes white CO     Bg 1KG</t>
  </si>
  <si>
    <t>Sikafloor Level-25 (CO)          Bg 25KG</t>
  </si>
  <si>
    <t>Sikafloor® Level-25 (CO)</t>
  </si>
  <si>
    <t>Sikafloor-P 202 (AB)                 5KG</t>
  </si>
  <si>
    <t>Sikafloor®-P 202</t>
  </si>
  <si>
    <t>Sikafloor P 216 (AB) silver grey    25KG</t>
  </si>
  <si>
    <t>Sikafloor® P 216</t>
  </si>
  <si>
    <t>Sikafloor P 216 (AB) white          25KG</t>
  </si>
  <si>
    <t>Sikafloor P 216 (AB) light grey     25KG</t>
  </si>
  <si>
    <t>Sikafloor P 216 (AB) blue           25KG</t>
  </si>
  <si>
    <t>Sikafloor P 216 (AB) safety yellow  25KG</t>
  </si>
  <si>
    <t>Sikafloor P 216 (AB) light green    25KG</t>
  </si>
  <si>
    <t>Sikafloor-130 Level Commercial   Bg 25KG</t>
  </si>
  <si>
    <t>Sikafloor®-130 Level Commercial</t>
  </si>
  <si>
    <t>Sikafloor-161 (AB)                  18KG</t>
  </si>
  <si>
    <t>Sikafloor®-161</t>
  </si>
  <si>
    <t>Sikafloor-2020 blue CO           Pl 1GAL</t>
  </si>
  <si>
    <t>Sikafloor®-2020</t>
  </si>
  <si>
    <t>Sikafloor-2020 green CO          Pl 1GAL</t>
  </si>
  <si>
    <t>Sikafloor-2020 red CO            Pl 1GAL</t>
  </si>
  <si>
    <t>Sikafloor-2020 white CO          Pl 1GAL</t>
  </si>
  <si>
    <t>Sikafloor-2020 yellow CO         Pl 1GAL</t>
  </si>
  <si>
    <t>Sikafloor-2020 blue CO           Pl 5GAL</t>
  </si>
  <si>
    <t>Sikafloor-2020 concrete grey     Pl 5GAL</t>
  </si>
  <si>
    <t>Sikafloor-2020 green CO          Pl 5GAL</t>
  </si>
  <si>
    <t>Sikafloor-2020 grey              Pl 5GAL</t>
  </si>
  <si>
    <t>Sikafloor-2020 hot orange        Pl 5GAL</t>
  </si>
  <si>
    <t>Sikafloor-2020 red CO            Pl 5GAL</t>
  </si>
  <si>
    <t>Sikafloor-2020 white CO          Pl 5GAL</t>
  </si>
  <si>
    <t>Sikafloor-2020 yellow CO         Pl 5GAL</t>
  </si>
  <si>
    <t>Sikafloor-2030 blue CO           Pl 5GAL</t>
  </si>
  <si>
    <t>Sikafloor®-2030</t>
  </si>
  <si>
    <t>Sikafloor-2030 green CO          Pl 5GAL</t>
  </si>
  <si>
    <t>Sikafloor-2030 grey              Pl 5GAL</t>
  </si>
  <si>
    <t>Sikafloor-2030 red CO            Pl 5GAL</t>
  </si>
  <si>
    <t>Sikafloor-2430CO (AB) blue CO     /4x4KG</t>
  </si>
  <si>
    <t>Sikafloor-2430CO (AB) green CO    /4x4KG</t>
  </si>
  <si>
    <t>Sikafloor-2430CO (AB) ivory CO    /4x4KG</t>
  </si>
  <si>
    <t>Sikafloor-2430CO (AB) RAL6017     /4x4KG</t>
  </si>
  <si>
    <t>Sikafloor-2430CO (AB) white CO    /4x4KG</t>
  </si>
  <si>
    <t>Sikafloor-2430CO (AB) yellow CO   /4x4KG</t>
  </si>
  <si>
    <t>Sikafloor-2430CO(AB)dark grey CO  /4x4KG</t>
  </si>
  <si>
    <t>Sikafloor-2430CO(AB)light grey CO /4x4KG</t>
  </si>
  <si>
    <t>#Sikafloor-264 (AB) RAL7042        18KG#</t>
  </si>
  <si>
    <t>Sikafloor®-264</t>
  </si>
  <si>
    <t>Sikafloor-264 (AB) blue wate.breeze 18KG</t>
  </si>
  <si>
    <t>Sikafloor-264 (AB) dark grey        18KG</t>
  </si>
  <si>
    <t>Sikafloor-264 (AB) light grey       18KG</t>
  </si>
  <si>
    <t>Sikafloor-264 (AB) RAL1015          18KG</t>
  </si>
  <si>
    <t>Sikafloor-264 (AB) RAL3009          18KG</t>
  </si>
  <si>
    <t>Sikafloor-264 (AB) RAL5007          18KG</t>
  </si>
  <si>
    <t>Sikafloor-264 (AB) RAL6011          18KG</t>
  </si>
  <si>
    <t>Sikafloor-264 (AB) RAL7030          18KG</t>
  </si>
  <si>
    <t>Sikafloor-264 (AB) RAL7032          18KG</t>
  </si>
  <si>
    <t>Sikafloor-264 (AB) RAL7035          18KG</t>
  </si>
  <si>
    <t>Sikafloor-264 (AB) RAL9003          18KG</t>
  </si>
  <si>
    <t>Sikafloor-264 (AB) RAL9005          18KG</t>
  </si>
  <si>
    <t>Sikafloor-264 (AB) sahara           18KG</t>
  </si>
  <si>
    <t>Sikafloor-3 QuartzTop neutral CO Bg 30KG</t>
  </si>
  <si>
    <t>Sikafloor®-3 QuartzTop</t>
  </si>
  <si>
    <t>Sikafloor-3 QuartzTop black CO   Bg 50KG</t>
  </si>
  <si>
    <t>Sikafloor-3 QuartzTop green CO   Bg 50KG</t>
  </si>
  <si>
    <t>Sikafloor-3 QuartzTop light grey CO 50KG</t>
  </si>
  <si>
    <t>Sikafloor-3 QuartzTop neutral CO Bg 50KG</t>
  </si>
  <si>
    <t>Sikafloor-3 QuartzTop ochre      Bg 50KG</t>
  </si>
  <si>
    <t>Sikafloor-3 QuartzTop pearl grey CO 50KG</t>
  </si>
  <si>
    <t>Sikafloor-3 QuartzTop red CO     Bg 50KG</t>
  </si>
  <si>
    <t>Sikafloor-3 QuartzTop sand       Bg 50KG</t>
  </si>
  <si>
    <t>Sikafloor-3 QuartzTop white CO   Bg 50KG</t>
  </si>
  <si>
    <t>Sikafloor-3 QuartzTop yellow CO  Bg 50KG</t>
  </si>
  <si>
    <t>Sikafloor-363CO (AB) RAL7035 CO    4,5KG</t>
  </si>
  <si>
    <t>Sikafloor®-363</t>
  </si>
  <si>
    <t>Sikafloor-510 (AB) clear CO       2,97KG</t>
  </si>
  <si>
    <t>Sikafloor-510 (AB) RAL7030        4,87KG</t>
  </si>
  <si>
    <t>Sikafloor-510 (AB) RAL7035 CO     4,87KG</t>
  </si>
  <si>
    <t>Sikafloor-510 (AB) RAL7045 CO     4,87KG</t>
  </si>
  <si>
    <t>Sikafloor-510 (AB) white CO       4,94KG</t>
  </si>
  <si>
    <t>Sikafloor-81EC (C) CO            Bg 19KG</t>
  </si>
  <si>
    <t>Sikafloor®-81 EpoCem®</t>
  </si>
  <si>
    <t>Sikafloor-82EC (C) CO            Bg 25KG</t>
  </si>
  <si>
    <t>Sikafloor®-82 EpoCem®</t>
  </si>
  <si>
    <t>Sikafloor Earthing Kit               SET</t>
  </si>
  <si>
    <t>Sikafloor®-Leitset</t>
  </si>
  <si>
    <t>Sikagard-1146 (AB) white          /3x5KG</t>
  </si>
  <si>
    <t>Sikagard®-1146</t>
  </si>
  <si>
    <t>Sikagard-206W CO white           /4x1GAL</t>
  </si>
  <si>
    <t>Sikagard®-206 W CO</t>
  </si>
  <si>
    <t>Sikagard-206W CO white           Pl 5GAL</t>
  </si>
  <si>
    <t>Sikagard-317W CO white           Pl 1GAL</t>
  </si>
  <si>
    <t>Sikagard®-317 W CO</t>
  </si>
  <si>
    <t>Sikagard-317W CO white           Pl 5GAL</t>
  </si>
  <si>
    <t>Sikagard-318 W CO                Pl 1GAL</t>
  </si>
  <si>
    <t>Sikagard®-318 W CO</t>
  </si>
  <si>
    <t>Sikagard-318 W CO                Pl 5GAL</t>
  </si>
  <si>
    <t>Sikagard-62 (AB) dark grey CO        3KG</t>
  </si>
  <si>
    <t>Sikagard-62 (AB) reseda green CO     3KG</t>
  </si>
  <si>
    <t>Sikagard-63N (AB) light grey CO     28KG</t>
  </si>
  <si>
    <t>Sikagard-63N (AB) oxide red CO      28KG</t>
  </si>
  <si>
    <t>Sikagard-50 (AB) RAL5007 CO      22,78KG</t>
  </si>
  <si>
    <t>Sikagard-50 (AB) RAL7032 CO      22,78KG</t>
  </si>
  <si>
    <t>Sikagard-50 (AB) white CO        22,78KG</t>
  </si>
  <si>
    <t>Sikagard-68(AB)Brillante ivory CO  7,3KG</t>
  </si>
  <si>
    <t>Sikaguard®-68</t>
  </si>
  <si>
    <t>Sikagard-68(AB)Brillante RAL7035  7,28KG</t>
  </si>
  <si>
    <t>Sikagard-68(AB)Brillante white CO 7,28KG</t>
  </si>
  <si>
    <t>Sikalisto Piso CO                Bg 50KG</t>
  </si>
  <si>
    <t>Sikalisto® Piso</t>
  </si>
  <si>
    <t>Sikapiso Decor grey CO           Bg 50KG</t>
  </si>
  <si>
    <t>Sikapiso® Decor</t>
  </si>
  <si>
    <t>Sikapiso Decor lajilla CO        Bg 50KG</t>
  </si>
  <si>
    <t>Sikapiso Decor ochre CO          Bg 50KG</t>
  </si>
  <si>
    <t>Sikapiso Decor terracotta CO     Bg 50KG</t>
  </si>
  <si>
    <t>SikaScreed-140 Mortero Piso      Bg 40KG</t>
  </si>
  <si>
    <t>SikaScreed®-140 Mortero Piso</t>
  </si>
  <si>
    <t>Sikagard-301 EP white</t>
  </si>
  <si>
    <t>Sikagard®-301 Easy Painting</t>
  </si>
  <si>
    <t>Sikagard-301 EP black</t>
  </si>
  <si>
    <t>Sikagard-301 EP grey</t>
  </si>
  <si>
    <t>Sikagard-301 EP matte white</t>
  </si>
  <si>
    <t>Sikagard-301 EP matte grey</t>
  </si>
  <si>
    <t>Sikagard-301 EP matte black</t>
  </si>
  <si>
    <t>Ultraflow Combi 600ml (BF4011)        PC</t>
  </si>
  <si>
    <t>Sikasil WS-300 S transpare.MEA /20 UP600</t>
  </si>
  <si>
    <t>Sikasil® WS-300 S</t>
  </si>
  <si>
    <t>Sikasil WS-305S black     MEA  /20 UP600</t>
  </si>
  <si>
    <t>Sikasil® WS-305 S</t>
  </si>
  <si>
    <t>Sikasil WS-305S grey S6   MEA  /20 UP600</t>
  </si>
  <si>
    <t>SikaFast-201                    /10x20GR</t>
  </si>
  <si>
    <t>SikaFast®-201</t>
  </si>
  <si>
    <t>Alumol CO                      /12x0,8KG</t>
  </si>
  <si>
    <t>Alumol®</t>
  </si>
  <si>
    <t>Alumol CO                         /4x3KG</t>
  </si>
  <si>
    <t>Alumol CO                        Pl 16KG</t>
  </si>
  <si>
    <t>Emulsion Asfaltica Sika CO      /8x1,6KG</t>
  </si>
  <si>
    <t>Emulsión Asfáltica Sika</t>
  </si>
  <si>
    <t>Emulsion Asfaltica Sika CO      /4x3,5KG</t>
  </si>
  <si>
    <t>Emulsion Asfaltica Sika CO      Pl 8,5KG</t>
  </si>
  <si>
    <t>Emulsion Asfaltica Sika CO       Pl 18KG</t>
  </si>
  <si>
    <t>Emulsion Asfaltica Sika CO      Dr 200KG</t>
  </si>
  <si>
    <t>Geotextil Sika PP-1800 (100m) CO     ROL</t>
  </si>
  <si>
    <t>Geotextil Sika® PP 1800</t>
  </si>
  <si>
    <t>Geotextil Sika PP-2500 (100m) CO     ROL</t>
  </si>
  <si>
    <t>Geotextil Sika® PP 2500</t>
  </si>
  <si>
    <t>Igasol Cubierta CO              /8x1,6KG</t>
  </si>
  <si>
    <t>Igasol® Cubierta</t>
  </si>
  <si>
    <t>Igasol Cubierta CO              /4x3,5KG</t>
  </si>
  <si>
    <t>Igasol Cubierta CO              Pl 8,5KG</t>
  </si>
  <si>
    <t>Igasol Cubierta CO               Pl 20KG</t>
  </si>
  <si>
    <t>Igasol Cubierta CO              Dr 200KG</t>
  </si>
  <si>
    <t>Sarnacol T-660              C148 Pl 18KG</t>
  </si>
  <si>
    <t>Sarnacol® T-660</t>
  </si>
  <si>
    <t>Sarnacol-2130                    Pl 25KG</t>
  </si>
  <si>
    <t>Sarnacol®-2130</t>
  </si>
  <si>
    <t>Sarnacol-2130                   Dr 240KG</t>
  </si>
  <si>
    <t>SF metal sheet PVC Nr.9525 1,00/2 -03-M2</t>
  </si>
  <si>
    <t>Sarnafil® PVC Metal Sheet</t>
  </si>
  <si>
    <t>Sarnafil® T Metal Sheet</t>
  </si>
  <si>
    <t>SikaLamina de Drenaje 32T RO 2,00/25  M2</t>
  </si>
  <si>
    <t>Sika® Lamina de Drenaje 32T</t>
  </si>
  <si>
    <t>SikaManto 3mm Aluminium Hot (10mx1m) ROL</t>
  </si>
  <si>
    <t>Sika® Manto</t>
  </si>
  <si>
    <t>SikaManto 3mm Smooth Hot (10mx1m)    ROL</t>
  </si>
  <si>
    <t>SikaManto 4mm Aluminium (10mx1m)     ROL</t>
  </si>
  <si>
    <t>SikaTecho E CO                  /8x1,6KG</t>
  </si>
  <si>
    <t>Sika® Techo E</t>
  </si>
  <si>
    <t>SikaTecho E CO           (1Gal) /4x3,5KG</t>
  </si>
  <si>
    <t>SikaTecho E CO                  Pl 8,5KG</t>
  </si>
  <si>
    <t>SikaTecho E CO            Pl (5Gal) 18KG</t>
  </si>
  <si>
    <t>SikaTecho E CO             (55Gal) 200KG</t>
  </si>
  <si>
    <t>SikaManto-1300 Flex (AB)           220KG</t>
  </si>
  <si>
    <t>Sika®Manto-1300 Flex</t>
  </si>
  <si>
    <t>SikaFelt (1,20x40m=48m2) CO          ROL</t>
  </si>
  <si>
    <t>SikaFelt</t>
  </si>
  <si>
    <t>SikaFelt FPP-30 (1mx10m)             ROL</t>
  </si>
  <si>
    <t>SikaFelt FPP-30</t>
  </si>
  <si>
    <t>SikaFelt FPP-30 (0,15mx20m)          ROL</t>
  </si>
  <si>
    <t>SikaFelt FPP-30 (1mx50m) CO          ROL</t>
  </si>
  <si>
    <t>SikaFelt FV-225 (1,27mx120m)         ROL</t>
  </si>
  <si>
    <t>SikaFelt FV-225</t>
  </si>
  <si>
    <t>SikaFill-100 Super CO grey      /4x4,5KG</t>
  </si>
  <si>
    <t>SikaFill®-100 Super CO</t>
  </si>
  <si>
    <t>SikaFill-100 Super CO white     /4x4,5KG</t>
  </si>
  <si>
    <t>SikaFill-100 Super CO grey       Pl 22KG</t>
  </si>
  <si>
    <t>SikaFill-100 Super CO white      Pl 22KG</t>
  </si>
  <si>
    <t>SikaFill-12 Power green         /4x4,4KG</t>
  </si>
  <si>
    <t>SikaFill®-12 Power</t>
  </si>
  <si>
    <t>SikaFill-12 Power grey          /4x4,4KG</t>
  </si>
  <si>
    <t>SikaFill-12 Power red           /4x4,4KG</t>
  </si>
  <si>
    <t>SikaFill-12 Power white         /4x4,4KG</t>
  </si>
  <si>
    <t>SikaFill-12 Power green          Pl 22KG</t>
  </si>
  <si>
    <t>SikaFill-12 Power grey           Pl 22KG</t>
  </si>
  <si>
    <t>SikaFill-12 Power red            Pl 22KG</t>
  </si>
  <si>
    <t>SikaFill-12 Power white          Pl 22KG</t>
  </si>
  <si>
    <t>SikaFill-12 Power green         Dr 230KG</t>
  </si>
  <si>
    <t>SikaFill-12 Power grey          Dr 230KG</t>
  </si>
  <si>
    <t>SikaFill-12 Power red           Dr 230KG</t>
  </si>
  <si>
    <t>SikaFill-12 Power white         Dr 230KG</t>
  </si>
  <si>
    <t>SikaFill-300 Thermic white      /4x3,1KG</t>
  </si>
  <si>
    <t>SikaFill®-300 Thermic</t>
  </si>
  <si>
    <t>SikaFill-300 Thermic grey        Pl 18KG</t>
  </si>
  <si>
    <t>SikaFill-300 Thermic white       Pl 18KG</t>
  </si>
  <si>
    <t>SikaFill-300 Thermic white      Dr 180KG</t>
  </si>
  <si>
    <t>SikaFill 09 Negro               /4x3,5KG</t>
  </si>
  <si>
    <t>SikaFill®-09 Negro</t>
  </si>
  <si>
    <t>SikaFill 09 Negro                Bd 22KG</t>
  </si>
  <si>
    <t>SikaFill Primer /6x4KG</t>
  </si>
  <si>
    <t>SikaFill®-Primer</t>
  </si>
  <si>
    <t>SikaFill Primer Pl 20KG</t>
  </si>
  <si>
    <t>SikaFill-50 Universal grey      /4x4,5KG</t>
  </si>
  <si>
    <t>SikaFill®-50 Universal</t>
  </si>
  <si>
    <t>SikaFill-50 Universal white     /4x4,5KG</t>
  </si>
  <si>
    <t>SikaFill-50 Universal  grey      Pl 22KG</t>
  </si>
  <si>
    <t>SikaFill-50 Universal white      Pl 22KG</t>
  </si>
  <si>
    <t>SikaFill-7 Power CO green        /12x1KG</t>
  </si>
  <si>
    <t>SikaFill®-7 Power CO</t>
  </si>
  <si>
    <t>SikaFill-7 Power CO grey         /12x1KG</t>
  </si>
  <si>
    <t>SikaFill-7 Power CO red          /12x1KG</t>
  </si>
  <si>
    <t>SikaFill-7 Power CO white        /12x1KG</t>
  </si>
  <si>
    <t>SikaFill-7 Power CO green       /4x4,2KG</t>
  </si>
  <si>
    <t>SikaFill-7 Power CO grey        /4x4,2KG</t>
  </si>
  <si>
    <t>SikaFill-7 Power CO red         /4x4,2KG</t>
  </si>
  <si>
    <t>SikaFill-7 Power CO white       /4x4,2KG</t>
  </si>
  <si>
    <t>SikaFill-7 Power CO green        Pl 22KG</t>
  </si>
  <si>
    <t>SikaFill-7 Power CO grey         Pl 22KG</t>
  </si>
  <si>
    <t>SikaFill-7 Power CO red          Pl 22KG</t>
  </si>
  <si>
    <t>SikaFill-7 Power CO white        Pl 22KG</t>
  </si>
  <si>
    <t>SikaFill-7 Power CO green       Dr 230KG</t>
  </si>
  <si>
    <t>SikaFill-7 Power CO grey        Dr 230KG</t>
  </si>
  <si>
    <t>SikaFill-7 Power CO red         Dr 230KG</t>
  </si>
  <si>
    <t>SikaFill-7 Power CO white       Dr 230KG</t>
  </si>
  <si>
    <t>Sikalastic-560 Plus CO           Pl 25KG</t>
  </si>
  <si>
    <t>Sikalastic®-560 Plus CO</t>
  </si>
  <si>
    <t>Sikalastic-560 Plus CO          Dr 245KG</t>
  </si>
  <si>
    <t>Sikalastic-617 CO                Bd 5GAL</t>
  </si>
  <si>
    <t xml:space="preserve">Sikalastic®-617 </t>
  </si>
  <si>
    <t>Sikalastic-617 CO                /4x1GAL</t>
  </si>
  <si>
    <t>Sikalastic-615 Traffic         Pl 28,5KG</t>
  </si>
  <si>
    <t>Sikalastic®-615 Traffic</t>
  </si>
  <si>
    <t>Sikalastic-701 CO (AB) dark grey  12,5Kg</t>
  </si>
  <si>
    <t>Sikalastic®-701 CO</t>
  </si>
  <si>
    <t>Sikalastic-701 CO (AB) grey       12,5KG</t>
  </si>
  <si>
    <t>Sikalastic-701 CO (AB) white      12,5KG</t>
  </si>
  <si>
    <t>Sikalastic-707 Transparent (AB)COL   4KG</t>
  </si>
  <si>
    <t>Sikalastic®-707 Transparent</t>
  </si>
  <si>
    <t>Sikalastic-707 Transparent (AB)     33KG</t>
  </si>
  <si>
    <t>Sikaplan® Perfiles</t>
  </si>
  <si>
    <t>SPL Perfil de Fondo(background)CO /70 PC</t>
  </si>
  <si>
    <t>SPL TM-12 white RO 2,00/25            M2</t>
  </si>
  <si>
    <t>Sikaplan® TM-12</t>
  </si>
  <si>
    <t>SikaBoom M LA                  /12x300ML</t>
  </si>
  <si>
    <t>Sika Boom® M</t>
  </si>
  <si>
    <t>SikaBoom M LA                  /12x500ML</t>
  </si>
  <si>
    <t>SikaBoom M LA                  /12x750ML</t>
  </si>
  <si>
    <t>SikaBond PVA CO                  /20x1KG</t>
  </si>
  <si>
    <t>Sika® Bond PVA</t>
  </si>
  <si>
    <t>SikaBond PVA CO                   /4x4KG</t>
  </si>
  <si>
    <t>SikaBond PVA CO                  Pl 20KG</t>
  </si>
  <si>
    <t>SikaBond PVA CO                 Dr 200KG</t>
  </si>
  <si>
    <t>SikaMultiSeal aluminium 10m/100mm /3 ROL</t>
  </si>
  <si>
    <t>Sika® MultiSeal</t>
  </si>
  <si>
    <t>SikaMultiSeal aluminium 10m/150mm /2 ROL</t>
  </si>
  <si>
    <t>SikaMultiSeal grey 10m/100mm      /3 ROL</t>
  </si>
  <si>
    <t>SikaMultiSeal grey 10m/150mm      /2 ROL</t>
  </si>
  <si>
    <t>SikaMultiSeal S alu.10m/100mm EXP/16 ROL</t>
  </si>
  <si>
    <t>Sika® MultiSeal-S</t>
  </si>
  <si>
    <t>SikaMultiSeal S al.10m/150mm LATAM/16ROL</t>
  </si>
  <si>
    <t>SikaMultiSeal S alu.10m/200mm EXP /8 ROL</t>
  </si>
  <si>
    <t>SikaRod (1097mx3/8IN/CAR) CO/PA        M</t>
  </si>
  <si>
    <t>Sika® Rod</t>
  </si>
  <si>
    <t>SikaRod (125mx1 1/4IN/CAR) CO          M</t>
  </si>
  <si>
    <t>SikaRod (1700mx1/4IN/CAR) CO           M</t>
  </si>
  <si>
    <t>SikaRod (259mx7/8IN/CAR) CO            M</t>
  </si>
  <si>
    <t>SikaRod (472mx5/8IN/CAR) CO            M</t>
  </si>
  <si>
    <t>Sanisil transparent           /12 CTR280</t>
  </si>
  <si>
    <t>Sika® Sanisil®</t>
  </si>
  <si>
    <t>SikaSello Banos y Cocinas CO  /12 CTR280</t>
  </si>
  <si>
    <t>Sika® Sello Baños y Cocinas</t>
  </si>
  <si>
    <t>SikaSello Multiusos beige     /12 CTR280</t>
  </si>
  <si>
    <t>Sika® Sello Multiusos</t>
  </si>
  <si>
    <t>SikaSello Multiusos black     /12 CTR280</t>
  </si>
  <si>
    <t>SikaSello Multiusos grey      /12 CTR280</t>
  </si>
  <si>
    <t>SikaSello Multiusos white     /12 CTR280</t>
  </si>
  <si>
    <t>SikaSello Pintores CO         /12 CTR280</t>
  </si>
  <si>
    <t>Sika® Sello Pintores</t>
  </si>
  <si>
    <t>SikaSello Puertas y Ventan.CO /12 CTR280</t>
  </si>
  <si>
    <t>Sika® Sello Puertas y Ventanas</t>
  </si>
  <si>
    <t>Sikaflex AT Connec.beig.C5023 /12 CTR300</t>
  </si>
  <si>
    <t>Sikaflex® AT Connection</t>
  </si>
  <si>
    <t>Sikaflex AT Connec.grey C5023 /12 CTR300</t>
  </si>
  <si>
    <t>Sikaflex AT Connec.whit.C5023 /12 CTR300</t>
  </si>
  <si>
    <t>Sikaflex PRO-3 Purf.con.gr.C5047/20UP600</t>
  </si>
  <si>
    <t>Sikaflex® PRO-3 Purform®</t>
  </si>
  <si>
    <t>Sikaflex Universal c.grey C5048/12CTR300</t>
  </si>
  <si>
    <t>Sikaflex® Universal</t>
  </si>
  <si>
    <t>Sikaflex Universal blanc.C5048 /12CTR300</t>
  </si>
  <si>
    <t>Sikaflex-11FC Purform whi.C5051/12CTR300</t>
  </si>
  <si>
    <t>Sikaflex®-11 FC Purform®</t>
  </si>
  <si>
    <t>Sikaflex-112 Crystal Cle.C5041/12 CTR290</t>
  </si>
  <si>
    <t>Sikaflex®-112 Crystal Clear</t>
  </si>
  <si>
    <t>Sikaflex-117 Met.For.l.gr.C5043/12CTR290</t>
  </si>
  <si>
    <t>Sikaflex®-117 Metal Force</t>
  </si>
  <si>
    <t>Sikaflex-118 Extr.Grab wh.C47 /12 CTR290</t>
  </si>
  <si>
    <t>Sikaflex®-118 Extreme Grab</t>
  </si>
  <si>
    <t>Sikaflex-1A Plus Purf.bla.C5048/12CTR300</t>
  </si>
  <si>
    <t>Sikaflex®-1A Plus Purform®</t>
  </si>
  <si>
    <t>Sikaflex-1A Plus Purf.c.gr.C5048/20UP600</t>
  </si>
  <si>
    <t>Sikaflex-1A Plus Purf.l.g.C5048/12CTR300</t>
  </si>
  <si>
    <t>Sikaflex-1A Plus Purf.whi.C5048/12CTR300</t>
  </si>
  <si>
    <t>Sikaflex-1A Plus Purf.whit.C5048/20UP600</t>
  </si>
  <si>
    <t>Sikaflex-401 Pavement SL         Pl 1GAL</t>
  </si>
  <si>
    <t>Sikaflex®-401 Pavement SL</t>
  </si>
  <si>
    <t>Sikaflex-401 Pavement SL      /12 CTR300</t>
  </si>
  <si>
    <t>Sikaflex-401 Pavement SL         Pl 5GAL</t>
  </si>
  <si>
    <t>Sikaflex-415 Universal whi.C5048/20UP300</t>
  </si>
  <si>
    <t>Sikaflex®-415 Universal</t>
  </si>
  <si>
    <t>Sikaflex-415 Universal c.g.C5048/20UP300</t>
  </si>
  <si>
    <t>Sikaflex-416 Constr.c.gre.C5048/12CTR300</t>
  </si>
  <si>
    <t>Sikaflex®-416 Construction</t>
  </si>
  <si>
    <t>Sikaflex-416 Constr.white C5048/12CTR300</t>
  </si>
  <si>
    <t>Sikaflex-416 Constr.white C5048 /20UP600</t>
  </si>
  <si>
    <t>Sikaflex-416 Constr.co.gre.C5048/20UP600</t>
  </si>
  <si>
    <t>Caulking gun . BC-1217H 310ml  /12 PC</t>
  </si>
  <si>
    <t>Pistola de calafateo para cartuchos x 310 Ml</t>
  </si>
  <si>
    <t>Gun Calafateo BC-1336-600S        /12 PC</t>
  </si>
  <si>
    <t>Pistola de calafateo para salchichas x 600 Ml</t>
  </si>
  <si>
    <t>Boquilla PE 100x50 BC-P010-W    /1000 PC</t>
  </si>
  <si>
    <t xml:space="preserve">Boquilla para salchichas </t>
  </si>
  <si>
    <t>SikaHyflex-300 EU transp.C505 /25 CTR300</t>
  </si>
  <si>
    <t>SikaHyflex®-300 EU</t>
  </si>
  <si>
    <t>SikaHyflex-305EU greyS1 C505  /25 CTR300</t>
  </si>
  <si>
    <t>SikaHyflex®-305 EU</t>
  </si>
  <si>
    <t>SikaHyflex-305EU greyS6 C5018 /25 CTR300</t>
  </si>
  <si>
    <t>SikaSeal-119 Sismo              Pl 5,6KG</t>
  </si>
  <si>
    <t>SikaSeal®-119 Sismo</t>
  </si>
  <si>
    <t>SikaSeal-119 Sismo               Pl 26KG</t>
  </si>
  <si>
    <t>SikaSeal-174 transparent C5054/12 CTR280</t>
  </si>
  <si>
    <t>SikaSeal®-174</t>
  </si>
  <si>
    <t>SikaSeal-171 white     C5054  /12 CTR280</t>
  </si>
  <si>
    <t>SikaSeal®-171</t>
  </si>
  <si>
    <t>SikaSeal-171 black     C5054  /12 CTR280</t>
  </si>
  <si>
    <t>SikaSeal-171 transparent C5054/12 CTR280</t>
  </si>
  <si>
    <t>SikaSeal-171 gris      C5054  /12 CTR280</t>
  </si>
  <si>
    <t>SikaSeal-130 white     C5051  /12 CTR280</t>
  </si>
  <si>
    <t>SikaSeal®-130</t>
  </si>
  <si>
    <t>SikaSeal-130 transparen.C5051 /12 CTR280</t>
  </si>
  <si>
    <t>SikaSeal-130 white  C5051 (bli.)/12x85ML</t>
  </si>
  <si>
    <t>SikaSeal-130 transpa.C5051(bli.)/12x85ML</t>
  </si>
  <si>
    <t>Sikasil E black               /12 CTR280</t>
  </si>
  <si>
    <t>Sikasil® E</t>
  </si>
  <si>
    <t>Sikasil E grey                /12 CTR280</t>
  </si>
  <si>
    <t>Sikasil E transparent         /12 CTR280</t>
  </si>
  <si>
    <t>Sikasil E white               /12 CTR280</t>
  </si>
  <si>
    <t>Sikasil C transparent         /12 CTR280</t>
  </si>
  <si>
    <t>Sikasil®-C</t>
  </si>
  <si>
    <t>Sikasil Pool transpar.ES/PT/EL/12 CTR300</t>
  </si>
  <si>
    <t>Sikasil®-Pool</t>
  </si>
  <si>
    <t>Sikasil Universal trans.C5006 /12 CTR280</t>
  </si>
  <si>
    <t>Sikasil®-Universal</t>
  </si>
  <si>
    <t>Boquilla CD3A-52 CO                   PC</t>
  </si>
  <si>
    <t>Heating Iron 216 XL 6x14IN            PC</t>
  </si>
  <si>
    <t>Igol Cimentaciones CO           Ka 3,5KG</t>
  </si>
  <si>
    <t>Igol® Cimentaciones</t>
  </si>
  <si>
    <t>Igol Cimentaciones CO            Pl 18KG</t>
  </si>
  <si>
    <t>Igol Cimentaciones CO           Dr 180KG</t>
  </si>
  <si>
    <t>Igol Denso Plus CO              Ka 3,5KG</t>
  </si>
  <si>
    <t>Igol® Denso Plus</t>
  </si>
  <si>
    <t>Igol Denso Plus CO               Pl 18KG</t>
  </si>
  <si>
    <t>Igol Denso Plus CO              Dr 180KG</t>
  </si>
  <si>
    <t>Igol Imprimante CO                /4x3KG</t>
  </si>
  <si>
    <t>Igol® Imprimante</t>
  </si>
  <si>
    <t>Igol Imprimante CO               Pl 16KG</t>
  </si>
  <si>
    <t>Merulex I.F.A CO                /4x3,5KG</t>
  </si>
  <si>
    <t>Merulex® I.F.A</t>
  </si>
  <si>
    <t>Merulex I.F.A CO                 Pl 20KG</t>
  </si>
  <si>
    <t>Merulex I.F.S transparent CO      /4x3KG</t>
  </si>
  <si>
    <t>Merulex® I.F.S</t>
  </si>
  <si>
    <t>Merulex I.F.S transparent CO     Pl 16KG</t>
  </si>
  <si>
    <t>SikaMonoTop-123 Walls            Pl 15KG</t>
  </si>
  <si>
    <t>Sika MonoTop®-123 Walls</t>
  </si>
  <si>
    <t>SikaMonoTop-123 Walls             /4x4KG</t>
  </si>
  <si>
    <t>SikaMonoTop-160 Migrating CO     Bg 25KG</t>
  </si>
  <si>
    <t>Sika MonoTop®-160 Migrating CO</t>
  </si>
  <si>
    <t>SikaWaterbar O-15 E CO yellow (20m/R)  M</t>
  </si>
  <si>
    <t>Sika Waterbar® O-15 E CO</t>
  </si>
  <si>
    <t>SikaWaterbar O-20 E CO yellow (20m/R)  M</t>
  </si>
  <si>
    <t>Sika Waterbar® O-20 E CO</t>
  </si>
  <si>
    <t>SikaWaterbar O-22 E CO yellow (15m/R)  M</t>
  </si>
  <si>
    <t>Sika Waterbar® O-22 E CO</t>
  </si>
  <si>
    <t>Sika Injection-101 CO (AB)          22KG</t>
  </si>
  <si>
    <t>Sika® Injection-101 CO</t>
  </si>
  <si>
    <t>SikaMonoTop-108 Water Plug CO    /12x1KG</t>
  </si>
  <si>
    <t>Sika® MonoTop-108 Water Plug CO</t>
  </si>
  <si>
    <t>SikaMonoTop-108 Water Plug CO     /4x4KG</t>
  </si>
  <si>
    <t>SikaMonoTop-108 Water Plug CO    Pl 18KG</t>
  </si>
  <si>
    <t>SikaPermalastik Pro CO          /4X3,5KG</t>
  </si>
  <si>
    <t>Sika® Permalastik® Pro CO</t>
  </si>
  <si>
    <t>SikaPermalastik Pro CO           Pl 21KG</t>
  </si>
  <si>
    <t>SikaWaterbar/Cinta PVC AR-18 yel(15m/R)M</t>
  </si>
  <si>
    <t>Sika® Waterbar/Cinta PVC AR-18</t>
  </si>
  <si>
    <t>SikaWaterbar/Cinta PVC O-15 yel(15m/R) M</t>
  </si>
  <si>
    <t>Sika® Waterbar/Cinta PVC O-15</t>
  </si>
  <si>
    <t>SikaWaterbar/Cinta PVC O-22 yel(15m/R) M</t>
  </si>
  <si>
    <t>Sika® Waterbar/Cinta PVC O-22</t>
  </si>
  <si>
    <t>SikaWaterbar/Cinta PVC V-10 yel(30m/R) M</t>
  </si>
  <si>
    <t>Sika® Waterbar/Cinta PVC V-10</t>
  </si>
  <si>
    <t>SikaWaterbar/Cinta PVC V-15 yel(30m/R) M</t>
  </si>
  <si>
    <t>Sika® Waterbar/Cinta PVC V-15</t>
  </si>
  <si>
    <t>Sika-1 CO                        /12x2KG</t>
  </si>
  <si>
    <t>Sika®-1</t>
  </si>
  <si>
    <t>Sika-1 CO                         /6x4KG</t>
  </si>
  <si>
    <t>Sika-1 CO                        Pl 20KG</t>
  </si>
  <si>
    <t>Sika-1 CO                        Pl 60KG</t>
  </si>
  <si>
    <t>Sika-1 CO                       Dr 220KG</t>
  </si>
  <si>
    <t>Sika-1 MO                        Pl 20KG</t>
  </si>
  <si>
    <t>Sika®-1 MO</t>
  </si>
  <si>
    <t>Sika-1 MO                       Dr 220KG</t>
  </si>
  <si>
    <t>Sika-1 Universal                 /20x1KG</t>
  </si>
  <si>
    <t>Sika®-1 Universal</t>
  </si>
  <si>
    <t>Sika-1 Universal                 /12x2KG</t>
  </si>
  <si>
    <t>Sika-1 Universal                  /6x4KG</t>
  </si>
  <si>
    <t>Sika-100 Mortero impermeable gre./20x2KG</t>
  </si>
  <si>
    <t>Sika®-100 Mortero impermeable</t>
  </si>
  <si>
    <t>Sika-100 Mortero impermeable whi./20x2KG</t>
  </si>
  <si>
    <t>Sika-100 Mortero impermeable gre./3x10KG</t>
  </si>
  <si>
    <t>Sika-100 Mortero impermeable whi./3x10KG</t>
  </si>
  <si>
    <t>Sika-100 Mortero impermeable gre.Bg 25KG</t>
  </si>
  <si>
    <t>Sika-100 Mortero impermeable whi.Bg 25KG</t>
  </si>
  <si>
    <t>Sika-100 Mortero impermeable gri.Bg 50KG</t>
  </si>
  <si>
    <t>Sika-100 Mortero impermeable whi.Bg 50KG</t>
  </si>
  <si>
    <t>Sika-101 Mortero Plus grey       /20x2KG</t>
  </si>
  <si>
    <t>Sika®-101 Mortero Plus</t>
  </si>
  <si>
    <t>Sika-101 Mortero Plus white      /20x2KG</t>
  </si>
  <si>
    <t>Sika-101 Mortero Plus grey       /3x10KG</t>
  </si>
  <si>
    <t>Sika-101 Mortero Plus white      /3x10KG</t>
  </si>
  <si>
    <t>Sika-101 Mortero Plus grey       Bg 25KG</t>
  </si>
  <si>
    <t>Sika-101 Mortero Plus white      Bg 25KG</t>
  </si>
  <si>
    <t>Sika-101 Mortero Plus grey       Bg 50KG</t>
  </si>
  <si>
    <t>Sika-101 Mortero Plus white      Bg 50KG</t>
  </si>
  <si>
    <t>Sika-2 CO                      /12x2,5KG</t>
  </si>
  <si>
    <t>Sika®-2</t>
  </si>
  <si>
    <t>Sika-2 CO                       /6x5,5KG</t>
  </si>
  <si>
    <t>SikaBit W-1 CO                   Bg 20KG</t>
  </si>
  <si>
    <t>SikaBit® W-1 CO</t>
  </si>
  <si>
    <t>Sikadur Combiflex H-10 CO            SET</t>
  </si>
  <si>
    <t>Sikadur-Combiflex®.</t>
  </si>
  <si>
    <t>Sikadur Combiflex H-15 CO            SET</t>
  </si>
  <si>
    <t>Sikadur Combiflex H-20 CO            SET</t>
  </si>
  <si>
    <t>Sikalastic HLM 5000 R            Pl 24KG</t>
  </si>
  <si>
    <t>Sikalastic® HLM 5000 R</t>
  </si>
  <si>
    <t>Sikalastic-1K ES gris claro C1433 SA</t>
  </si>
  <si>
    <t>Sikalastic®-1K ES</t>
  </si>
  <si>
    <t>Sikalastic-720 One Shot(2AB)gray  9,6GAL</t>
  </si>
  <si>
    <t>Sikalastic®-720 One Shot</t>
  </si>
  <si>
    <t>Sikalastic-850 M (AB)             26,5KG</t>
  </si>
  <si>
    <t>Sikalastic®-850 M</t>
  </si>
  <si>
    <t>SPL WT 4220-15C light blue RO 2,00/20 M2</t>
  </si>
  <si>
    <t>Sikaplan® WT 4220-15C</t>
  </si>
  <si>
    <t>SPL WT 4220-18H light blue STR 0,54/5 M2</t>
  </si>
  <si>
    <t>Sikaplan WT 4220-18 H</t>
  </si>
  <si>
    <t>SPL WT Fixation Plate PE lig.blue 2m  PC</t>
  </si>
  <si>
    <t>Sikaplan WT Fixation Plate PE</t>
  </si>
  <si>
    <t>SSH E44 HDPE SA MX 1,5mm 1,00/20     ROL</t>
  </si>
  <si>
    <t>SikaShield E44 HDPE SA MX 1,5 mm</t>
  </si>
  <si>
    <t>SSH E44 S/HDPE PRE MX 2mm 1,00/20    ROL</t>
  </si>
  <si>
    <t>SikaShield E44 S/HDPE PRE MX 2 mm</t>
  </si>
  <si>
    <t>SikaSwell S-2 oxide red C5011 /12 CTR300</t>
  </si>
  <si>
    <t>SikaSwell® S-2</t>
  </si>
  <si>
    <t>SikaTop-107 Seal CO(AB)         Car 20KG</t>
  </si>
  <si>
    <t>SikaTop®-107 Seal CO</t>
  </si>
  <si>
    <t>SikaTop-121 Monocomponente CO    Bg 25KG</t>
  </si>
  <si>
    <t>SikaTop®-121 Monocomponente</t>
  </si>
  <si>
    <t>SikaTop-121 Monocomponente       Bg 50KG</t>
  </si>
  <si>
    <t>SikaProof® A-08</t>
  </si>
  <si>
    <t>Gal</t>
  </si>
  <si>
    <t>Rol</t>
  </si>
  <si>
    <t>Ml</t>
  </si>
  <si>
    <t>m2</t>
  </si>
  <si>
    <t>kg</t>
  </si>
  <si>
    <t>G</t>
  </si>
  <si>
    <t>L</t>
  </si>
  <si>
    <t>Sikadur-53 Grout Marino (AB)        25KG</t>
  </si>
  <si>
    <t>Sikadur®-53 Grout Marino</t>
  </si>
  <si>
    <t>Lista Productos Especiales / Lista de Distribución Construcción</t>
  </si>
  <si>
    <t>Sikadur-42 Anclaje (ABC) Slow CO   150KG</t>
  </si>
  <si>
    <t>Sikadur-32 Primer (AB) CO           75KG</t>
  </si>
  <si>
    <t>Sikadur-32 Primer L (AB) CO         75KG</t>
  </si>
  <si>
    <t>Sikadur-30 (AB)                      6KG</t>
  </si>
  <si>
    <t>Sikadur®-30</t>
  </si>
  <si>
    <t>Sikadur-301 (AB) CO               Pl 4KG</t>
  </si>
  <si>
    <t>Sikadur®-301</t>
  </si>
  <si>
    <t>SikaCarboDur S1012 (100m/Rol)          M</t>
  </si>
  <si>
    <t>Sika® CarboDur® S1012</t>
  </si>
  <si>
    <t>SikaCarboDur S512 (100m/Rol)           M</t>
  </si>
  <si>
    <t>Sika® CarboDur® S512</t>
  </si>
  <si>
    <t>SikaWrap FX-50C (25m)             /1 ROL</t>
  </si>
  <si>
    <t>SikaWrap® FX-50 C</t>
  </si>
  <si>
    <t>SikaWrap-300C 500mm/100m      (50m2) ROL</t>
  </si>
  <si>
    <t>SikaWrap®-300C</t>
  </si>
  <si>
    <t>SikaWrap-600C WV 500mm/50m         /1ROL</t>
  </si>
  <si>
    <t>SikaWrap®-600 C WV</t>
  </si>
  <si>
    <t>Sikafloor Earthing Unit               PC</t>
  </si>
  <si>
    <t>Sikafloor-220W Conductive(AB)        6KG</t>
  </si>
  <si>
    <t>Sikafloor®-220 W Conductive</t>
  </si>
  <si>
    <t>Sikafloor CureHard-24 CO        Dr 230KG</t>
  </si>
  <si>
    <t>Sikafloor-1 MetalTop lig.grey CO Bg 50KG</t>
  </si>
  <si>
    <t>Sikafloor®-1 MetalTop</t>
  </si>
  <si>
    <t>Sikafloor-1 MetalTop natural CO  Bg 50KG</t>
  </si>
  <si>
    <t>Sikafloor-2430CO (AB) blue CO       40KG</t>
  </si>
  <si>
    <t>Sikafloor-2430CO (AB) dark grey CO  40KG</t>
  </si>
  <si>
    <t>Sikafloor-2430CO (AB) light grey CO 40KG</t>
  </si>
  <si>
    <t>Sikafloor-169(AB)transparent COL  5,55KG</t>
  </si>
  <si>
    <t>Sikafloor®-169</t>
  </si>
  <si>
    <t>Sikafloor-262AS (AB) RAL7035 CO  20,63KG</t>
  </si>
  <si>
    <t>Sikafloor®-262 AS</t>
  </si>
  <si>
    <t>Sikafloor-510 (AB) RAL6005 CO     4,87KG</t>
  </si>
  <si>
    <t>Sikafloor-363CO (AB) RAL1002 CO    4,5KG</t>
  </si>
  <si>
    <t>Sikafloor-510 (AB) RAL1023        4,87KG</t>
  </si>
  <si>
    <t>Sikafloor-510 (AB) RAL3001 CO     4,87KG</t>
  </si>
  <si>
    <t>Sikafloor-510 (AB) RAL5007 CO     4,87KG</t>
  </si>
  <si>
    <t>Sikagard-62 (AB) white CO           48KG</t>
  </si>
  <si>
    <t>Sikagard-62 (AB) RAL7030 CO         48KG</t>
  </si>
  <si>
    <t>Sikagard-62 (AB) RAL7035 CO         48KG</t>
  </si>
  <si>
    <t>Lista de Distribución Construcción</t>
  </si>
  <si>
    <t>Sarnacol-2130 Plus              Dr 180KG</t>
  </si>
  <si>
    <t>Sarnacol®-2130 Plus</t>
  </si>
  <si>
    <t>SF TS 77-15 RAL9016 RO 2,00/20        M2</t>
  </si>
  <si>
    <t>Sarnafil® TS 77-15</t>
  </si>
  <si>
    <t>SF G 476-12 RO 2,00/25                M2</t>
  </si>
  <si>
    <t>Sarnafil® G 476-12</t>
  </si>
  <si>
    <t>SF G 476-15 RO 2,00/20                M2</t>
  </si>
  <si>
    <t>Sarnafil® G 476-15</t>
  </si>
  <si>
    <t>SikaFix Injection Packer 1/2IN CO/BO  PC</t>
  </si>
  <si>
    <t>SikaProof A-08 0,8mm FPO RO 1,00/25   M2</t>
  </si>
  <si>
    <t>SikaProof A-08 Edge FPO RO 1,00/25    M2</t>
  </si>
  <si>
    <t>SikaProof ExTape-150 RO 0,15/20    /80 M</t>
  </si>
  <si>
    <t>SikaProof® ExTape-150</t>
  </si>
  <si>
    <t>SikaProof Tape-150 A RO 0,15/25    /50 M</t>
  </si>
  <si>
    <t>SikaProof® Tape-150 A</t>
  </si>
  <si>
    <t>S 327-60 Wht 6110 5ftx100ft</t>
  </si>
  <si>
    <t>Sarnafil® S 327-60 EnergySmart</t>
  </si>
  <si>
    <t xml:space="preserve"> "E"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</si>
</sst>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.0_-;\-* #,##0.0_-;_-* &quot;-&quot;_-;_-@_-"/>
    <numFmt numFmtId="165" formatCode="0.0%"/>
    <numFmt numFmtId="166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15"/>
      <name val="Arial"/>
      <family val="2"/>
    </font>
    <font>
      <sz val="1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1" fontId="6" fillId="0" borderId="0" xfId="2" applyFont="1" applyFill="1" applyAlignment="1" applyProtection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41" fontId="6" fillId="0" borderId="0" xfId="2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41" fontId="7" fillId="3" borderId="2" xfId="2" applyFont="1" applyFill="1" applyBorder="1" applyAlignment="1">
      <alignment horizontal="center" vertical="center" wrapText="1"/>
    </xf>
    <xf numFmtId="41" fontId="7" fillId="2" borderId="4" xfId="2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41" fontId="6" fillId="0" borderId="6" xfId="0" applyNumberFormat="1" applyFont="1" applyBorder="1" applyAlignment="1">
      <alignment horizontal="left" vertical="center"/>
    </xf>
    <xf numFmtId="43" fontId="6" fillId="0" borderId="6" xfId="1" applyFont="1" applyFill="1" applyBorder="1" applyAlignment="1">
      <alignment horizontal="right" vertical="center"/>
    </xf>
    <xf numFmtId="1" fontId="6" fillId="0" borderId="6" xfId="0" applyNumberFormat="1" applyFont="1" applyBorder="1" applyAlignment="1">
      <alignment horizontal="center" vertical="center"/>
    </xf>
    <xf numFmtId="164" fontId="6" fillId="0" borderId="6" xfId="2" applyNumberFormat="1" applyFont="1" applyFill="1" applyBorder="1" applyAlignment="1">
      <alignment horizontal="center" vertical="center"/>
    </xf>
    <xf numFmtId="41" fontId="6" fillId="0" borderId="6" xfId="2" applyFont="1" applyFill="1" applyBorder="1" applyAlignment="1">
      <alignment horizontal="center" vertical="center"/>
    </xf>
    <xf numFmtId="165" fontId="6" fillId="0" borderId="6" xfId="3" applyNumberFormat="1" applyFont="1" applyFill="1" applyBorder="1" applyAlignment="1">
      <alignment horizontal="center" vertical="center"/>
    </xf>
    <xf numFmtId="0" fontId="0" fillId="0" borderId="6" xfId="0" applyBorder="1"/>
    <xf numFmtId="41" fontId="6" fillId="0" borderId="6" xfId="4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vertical="center"/>
    </xf>
    <xf numFmtId="41" fontId="6" fillId="0" borderId="7" xfId="0" applyNumberFormat="1" applyFont="1" applyBorder="1" applyAlignment="1">
      <alignment horizontal="left" vertical="center"/>
    </xf>
    <xf numFmtId="43" fontId="6" fillId="0" borderId="7" xfId="1" applyFont="1" applyFill="1" applyBorder="1" applyAlignment="1">
      <alignment horizontal="right" vertical="center"/>
    </xf>
    <xf numFmtId="1" fontId="6" fillId="0" borderId="7" xfId="0" applyNumberFormat="1" applyFont="1" applyBorder="1" applyAlignment="1">
      <alignment horizontal="center" vertical="center"/>
    </xf>
    <xf numFmtId="164" fontId="6" fillId="0" borderId="7" xfId="2" applyNumberFormat="1" applyFont="1" applyFill="1" applyBorder="1" applyAlignment="1">
      <alignment horizontal="center" vertical="center"/>
    </xf>
    <xf numFmtId="41" fontId="6" fillId="0" borderId="7" xfId="2" applyFont="1" applyFill="1" applyBorder="1" applyAlignment="1">
      <alignment horizontal="center" vertical="center"/>
    </xf>
    <xf numFmtId="166" fontId="0" fillId="0" borderId="6" xfId="0" applyNumberFormat="1" applyBorder="1"/>
    <xf numFmtId="0" fontId="10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3" fillId="0" borderId="7" xfId="0" applyFont="1" applyBorder="1" applyAlignment="1">
      <alignment horizontal="left" vertical="center"/>
    </xf>
    <xf numFmtId="0" fontId="12" fillId="0" borderId="0" xfId="0" applyFont="1" applyAlignment="1">
      <alignment horizontal="left" vertical="top"/>
    </xf>
    <xf numFmtId="0" fontId="14" fillId="0" borderId="7" xfId="0" applyFont="1" applyBorder="1"/>
    <xf numFmtId="0" fontId="15" fillId="0" borderId="0" xfId="0" applyFont="1" applyAlignment="1">
      <alignment vertical="center" wrapText="1"/>
    </xf>
    <xf numFmtId="43" fontId="6" fillId="0" borderId="8" xfId="1" applyFont="1" applyFill="1" applyBorder="1" applyAlignment="1">
      <alignment horizontal="right" vertical="center"/>
    </xf>
    <xf numFmtId="1" fontId="6" fillId="0" borderId="8" xfId="0" applyNumberFormat="1" applyFont="1" applyBorder="1" applyAlignment="1">
      <alignment horizontal="center" vertical="center"/>
    </xf>
    <xf numFmtId="164" fontId="6" fillId="0" borderId="8" xfId="2" applyNumberFormat="1" applyFont="1" applyFill="1" applyBorder="1" applyAlignment="1">
      <alignment horizontal="center" vertical="center"/>
    </xf>
    <xf numFmtId="41" fontId="6" fillId="0" borderId="8" xfId="2" applyFont="1" applyFill="1" applyBorder="1" applyAlignment="1">
      <alignment horizontal="center" vertical="center"/>
    </xf>
    <xf numFmtId="0" fontId="0" fillId="0" borderId="7" xfId="0" applyBorder="1"/>
    <xf numFmtId="0" fontId="0" fillId="0" borderId="0" xfId="0" applyAlignment="1">
      <alignment horizontal="center"/>
    </xf>
    <xf numFmtId="0" fontId="16" fillId="0" borderId="0" xfId="0" applyFont="1"/>
    <xf numFmtId="0" fontId="14" fillId="0" borderId="0" xfId="0" applyFont="1"/>
    <xf numFmtId="0" fontId="17" fillId="0" borderId="0" xfId="0" applyFont="1" applyAlignment="1">
      <alignment horizontal="right"/>
    </xf>
    <xf numFmtId="0" fontId="14" fillId="0" borderId="0" xfId="0" applyFont="1" applyAlignment="1">
      <alignment vertical="center"/>
    </xf>
    <xf numFmtId="0" fontId="18" fillId="5" borderId="7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13" fillId="0" borderId="7" xfId="0" applyFont="1" applyBorder="1" applyAlignment="1">
      <alignment horizontal="right"/>
    </xf>
    <xf numFmtId="166" fontId="13" fillId="7" borderId="7" xfId="0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41" fontId="14" fillId="8" borderId="7" xfId="2" applyFont="1" applyFill="1" applyBorder="1" applyAlignment="1">
      <alignment horizontal="center" vertical="center"/>
    </xf>
    <xf numFmtId="41" fontId="14" fillId="0" borderId="7" xfId="2" applyFont="1" applyFill="1" applyBorder="1"/>
    <xf numFmtId="165" fontId="0" fillId="0" borderId="0" xfId="0" applyNumberFormat="1"/>
    <xf numFmtId="9" fontId="0" fillId="0" borderId="0" xfId="3" applyNumberFormat="1" applyFont="1"/>
    <xf numFmtId="41" fontId="6" fillId="2" borderId="0" xfId="2" applyFont="1" applyFill="1" applyAlignment="1" applyProtection="1">
      <alignment horizontal="center" vertical="center"/>
    </xf>
    <xf numFmtId="0" fontId="6" fillId="2" borderId="0" xfId="0" applyFont="1" applyFill="1" applyAlignment="1">
      <alignment vertical="center"/>
    </xf>
    <xf numFmtId="41" fontId="6" fillId="2" borderId="0" xfId="2" applyFont="1" applyFill="1" applyBorder="1" applyAlignment="1" applyProtection="1">
      <alignment horizontal="center" vertical="center"/>
    </xf>
    <xf numFmtId="41" fontId="7" fillId="2" borderId="2" xfId="2" applyFont="1" applyFill="1" applyBorder="1" applyAlignment="1">
      <alignment horizontal="center" vertical="center" wrapText="1"/>
    </xf>
    <xf numFmtId="41" fontId="6" fillId="2" borderId="6" xfId="2" applyFont="1" applyFill="1" applyBorder="1" applyAlignment="1">
      <alignment vertical="center"/>
    </xf>
    <xf numFmtId="41" fontId="6" fillId="2" borderId="7" xfId="2" applyFont="1" applyFill="1" applyBorder="1" applyAlignment="1">
      <alignment vertical="center"/>
    </xf>
    <xf numFmtId="0" fontId="0" fillId="2" borderId="0" xfId="0" applyFill="1"/>
    <xf numFmtId="0" fontId="12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5" fillId="0" borderId="6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/>
    </xf>
    <xf numFmtId="166" fontId="0" fillId="0" borderId="7" xfId="0" applyNumberFormat="1" applyBorder="1"/>
    <xf numFmtId="41" fontId="6" fillId="0" borderId="7" xfId="4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vertical="center"/>
    </xf>
    <xf numFmtId="0" fontId="8" fillId="5" borderId="6" xfId="0" applyFont="1" applyFill="1" applyBorder="1" applyAlignment="1">
      <alignment horizontal="left" vertical="center"/>
    </xf>
    <xf numFmtId="41" fontId="6" fillId="5" borderId="6" xfId="0" applyNumberFormat="1" applyFont="1" applyFill="1" applyBorder="1" applyAlignment="1">
      <alignment horizontal="left" vertical="center"/>
    </xf>
    <xf numFmtId="43" fontId="6" fillId="5" borderId="6" xfId="1" applyFont="1" applyFill="1" applyBorder="1" applyAlignment="1">
      <alignment horizontal="right" vertical="center"/>
    </xf>
    <xf numFmtId="1" fontId="6" fillId="5" borderId="6" xfId="0" applyNumberFormat="1" applyFont="1" applyFill="1" applyBorder="1" applyAlignment="1">
      <alignment horizontal="center" vertical="center"/>
    </xf>
    <xf numFmtId="164" fontId="6" fillId="5" borderId="6" xfId="2" applyNumberFormat="1" applyFont="1" applyFill="1" applyBorder="1" applyAlignment="1">
      <alignment horizontal="center" vertical="center"/>
    </xf>
    <xf numFmtId="41" fontId="6" fillId="5" borderId="6" xfId="2" applyFont="1" applyFill="1" applyBorder="1" applyAlignment="1">
      <alignment horizontal="center" vertical="center"/>
    </xf>
    <xf numFmtId="165" fontId="6" fillId="5" borderId="6" xfId="3" applyNumberFormat="1" applyFont="1" applyFill="1" applyBorder="1" applyAlignment="1">
      <alignment horizontal="center" vertical="center"/>
    </xf>
    <xf numFmtId="0" fontId="0" fillId="5" borderId="0" xfId="0" applyFill="1"/>
    <xf numFmtId="0" fontId="10" fillId="5" borderId="6" xfId="0" applyFont="1" applyFill="1" applyBorder="1" applyAlignment="1">
      <alignment horizontal="left" vertical="center"/>
    </xf>
    <xf numFmtId="0" fontId="0" fillId="5" borderId="6" xfId="0" applyFill="1" applyBorder="1"/>
    <xf numFmtId="164" fontId="6" fillId="5" borderId="6" xfId="4" applyNumberFormat="1" applyFont="1" applyFill="1" applyBorder="1" applyAlignment="1">
      <alignment horizontal="center" vertical="center"/>
    </xf>
    <xf numFmtId="41" fontId="6" fillId="5" borderId="6" xfId="4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vertical="center"/>
    </xf>
    <xf numFmtId="41" fontId="6" fillId="5" borderId="7" xfId="0" applyNumberFormat="1" applyFont="1" applyFill="1" applyBorder="1" applyAlignment="1">
      <alignment horizontal="left" vertical="center"/>
    </xf>
    <xf numFmtId="43" fontId="6" fillId="5" borderId="7" xfId="1" applyFont="1" applyFill="1" applyBorder="1" applyAlignment="1">
      <alignment horizontal="right" vertical="center"/>
    </xf>
    <xf numFmtId="1" fontId="6" fillId="5" borderId="7" xfId="0" applyNumberFormat="1" applyFont="1" applyFill="1" applyBorder="1" applyAlignment="1">
      <alignment horizontal="center" vertical="center"/>
    </xf>
    <xf numFmtId="164" fontId="6" fillId="5" borderId="7" xfId="2" applyNumberFormat="1" applyFont="1" applyFill="1" applyBorder="1" applyAlignment="1">
      <alignment horizontal="center" vertical="center"/>
    </xf>
    <xf numFmtId="41" fontId="6" fillId="5" borderId="7" xfId="2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left" vertical="center"/>
    </xf>
    <xf numFmtId="0" fontId="12" fillId="5" borderId="7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left"/>
    </xf>
    <xf numFmtId="0" fontId="0" fillId="5" borderId="7" xfId="0" applyFill="1" applyBorder="1"/>
    <xf numFmtId="0" fontId="13" fillId="5" borderId="6" xfId="0" applyFont="1" applyFill="1" applyBorder="1" applyAlignment="1">
      <alignment horizontal="left" vertical="center"/>
    </xf>
    <xf numFmtId="0" fontId="0" fillId="5" borderId="6" xfId="0" applyFill="1" applyBorder="1" applyAlignment="1">
      <alignment horizontal="center"/>
    </xf>
    <xf numFmtId="0" fontId="16" fillId="5" borderId="6" xfId="0" applyFont="1" applyFill="1" applyBorder="1"/>
    <xf numFmtId="0" fontId="9" fillId="5" borderId="6" xfId="0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left"/>
    </xf>
    <xf numFmtId="0" fontId="14" fillId="5" borderId="7" xfId="0" applyFont="1" applyFill="1" applyBorder="1" applyAlignment="1">
      <alignment horizontal="left"/>
    </xf>
    <xf numFmtId="0" fontId="14" fillId="5" borderId="7" xfId="0" applyFont="1" applyFill="1" applyBorder="1"/>
    <xf numFmtId="164" fontId="6" fillId="0" borderId="7" xfId="4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5">
    <cellStyle name="Millares" xfId="1" builtinId="3"/>
    <cellStyle name="Millares [0]" xfId="2" builtinId="6"/>
    <cellStyle name="Millares [0] 2" xfId="4" xr:uid="{00FF971F-301C-4616-A0ED-DBEEED64B86A}"/>
    <cellStyle name="Normal" xfId="0" builtinId="0"/>
    <cellStyle name="Porcentaje" xfId="3" builtinId="5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EECB-4FA2-4366-BDB0-FA026DC9F9CF}">
  <sheetPr>
    <tabColor rgb="FF33CCFF"/>
  </sheetPr>
  <dimension ref="A1:M909"/>
  <sheetViews>
    <sheetView showGridLines="0" tabSelected="1" zoomScaleNormal="100" workbookViewId="0">
      <pane xSplit="5" ySplit="4" topLeftCell="F5" activePane="bottomRight" state="frozen"/>
      <selection activeCell="A4" sqref="A4"/>
      <selection pane="topRight" activeCell="A4" sqref="A4"/>
      <selection pane="bottomLeft" activeCell="A4" sqref="A4"/>
      <selection pane="bottomRight" activeCell="M5" sqref="M5"/>
    </sheetView>
  </sheetViews>
  <sheetFormatPr baseColWidth="10" defaultColWidth="11.42578125" defaultRowHeight="15" outlineLevelCol="1" x14ac:dyDescent="0.25"/>
  <cols>
    <col min="1" max="1" width="14.7109375" style="61" customWidth="1" outlineLevel="1"/>
    <col min="2" max="2" width="11.5703125" style="61" customWidth="1" outlineLevel="1"/>
    <col min="3" max="3" width="43" hidden="1" customWidth="1" outlineLevel="1"/>
    <col min="4" max="4" width="49.28515625" bestFit="1" customWidth="1" outlineLevel="1"/>
    <col min="5" max="5" width="39.140625" customWidth="1"/>
    <col min="6" max="6" width="19" style="62" customWidth="1"/>
    <col min="7" max="7" width="21.28515625" customWidth="1"/>
    <col min="8" max="8" width="9.42578125" customWidth="1"/>
    <col min="9" max="9" width="13.85546875" style="61" customWidth="1"/>
    <col min="10" max="10" width="9.5703125" customWidth="1"/>
    <col min="11" max="11" width="16.140625" customWidth="1"/>
    <col min="12" max="12" width="16.140625" style="84" customWidth="1"/>
    <col min="13" max="13" width="17.42578125" customWidth="1"/>
  </cols>
  <sheetData>
    <row r="1" spans="1:13" ht="23.25" x14ac:dyDescent="0.25">
      <c r="A1" s="1"/>
      <c r="B1" s="1"/>
      <c r="C1" s="2"/>
      <c r="D1" s="2"/>
      <c r="E1" s="3" t="s">
        <v>0</v>
      </c>
      <c r="F1" s="4"/>
      <c r="G1" s="3"/>
      <c r="H1" s="3"/>
      <c r="I1" s="5"/>
      <c r="J1" s="6"/>
      <c r="K1" s="6"/>
      <c r="L1" s="78"/>
      <c r="M1" s="8"/>
    </row>
    <row r="2" spans="1:13" x14ac:dyDescent="0.25">
      <c r="A2" s="9"/>
      <c r="B2" s="9"/>
      <c r="C2" s="10"/>
      <c r="D2" s="10"/>
      <c r="E2" s="11"/>
      <c r="F2" s="12"/>
      <c r="G2" s="13"/>
      <c r="H2" s="14"/>
      <c r="I2" s="7"/>
      <c r="J2" s="13"/>
      <c r="K2" s="13"/>
      <c r="L2" s="79"/>
      <c r="M2" s="7"/>
    </row>
    <row r="3" spans="1:13" ht="15.6" customHeight="1" thickBot="1" x14ac:dyDescent="0.3">
      <c r="A3" s="15" t="s">
        <v>1</v>
      </c>
      <c r="B3" s="9"/>
      <c r="C3" s="16"/>
      <c r="D3" s="16" t="s">
        <v>1510</v>
      </c>
      <c r="E3" s="16"/>
      <c r="F3" s="12"/>
      <c r="G3" s="13"/>
      <c r="H3" s="14"/>
      <c r="I3" s="7"/>
      <c r="J3" s="17"/>
      <c r="K3" s="17"/>
      <c r="L3" s="80"/>
      <c r="M3" s="7"/>
    </row>
    <row r="4" spans="1:13" ht="41.45" customHeight="1" thickBot="1" x14ac:dyDescent="0.3">
      <c r="A4" s="18" t="s">
        <v>2</v>
      </c>
      <c r="B4" s="19" t="s">
        <v>3</v>
      </c>
      <c r="C4" s="18" t="s">
        <v>4</v>
      </c>
      <c r="D4" s="18"/>
      <c r="E4" s="18" t="s">
        <v>5</v>
      </c>
      <c r="F4" s="20" t="s">
        <v>6</v>
      </c>
      <c r="G4" s="21" t="s">
        <v>7</v>
      </c>
      <c r="H4" s="22" t="s">
        <v>8</v>
      </c>
      <c r="I4" s="23" t="s">
        <v>9</v>
      </c>
      <c r="J4" s="24" t="s">
        <v>10</v>
      </c>
      <c r="K4" s="24" t="s">
        <v>11</v>
      </c>
      <c r="L4" s="81" t="s">
        <v>12</v>
      </c>
      <c r="M4" s="25" t="s">
        <v>13</v>
      </c>
    </row>
    <row r="5" spans="1:13" s="101" customFormat="1" ht="15" customHeight="1" x14ac:dyDescent="0.25">
      <c r="A5" s="26">
        <v>801</v>
      </c>
      <c r="B5" s="26">
        <v>3732</v>
      </c>
      <c r="C5" s="27" t="s">
        <v>1231</v>
      </c>
      <c r="D5" s="27" t="str">
        <f>UPPER(C5)</f>
        <v>SIKAMULTISEAL GREY 10M/100MM      /3 ROL</v>
      </c>
      <c r="E5" s="28" t="s">
        <v>1229</v>
      </c>
      <c r="F5" s="48"/>
      <c r="G5" s="30" t="s">
        <v>157</v>
      </c>
      <c r="H5" s="31">
        <v>10</v>
      </c>
      <c r="I5" s="32" t="s">
        <v>106</v>
      </c>
      <c r="J5" s="33">
        <v>3</v>
      </c>
      <c r="K5" s="34" t="s">
        <v>8</v>
      </c>
      <c r="L5" s="82">
        <v>105300</v>
      </c>
      <c r="M5" s="35">
        <v>8.6999999999999994E-2</v>
      </c>
    </row>
    <row r="6" spans="1:13" s="101" customFormat="1" ht="15" customHeight="1" x14ac:dyDescent="0.25">
      <c r="A6" s="26">
        <v>802</v>
      </c>
      <c r="B6" s="26">
        <v>3733</v>
      </c>
      <c r="C6" s="27" t="s">
        <v>1232</v>
      </c>
      <c r="D6" s="27" t="str">
        <f>UPPER(C6)</f>
        <v>SIKAMULTISEAL GREY 10M/150MM      /2 ROL</v>
      </c>
      <c r="E6" s="28" t="s">
        <v>1229</v>
      </c>
      <c r="F6" s="48"/>
      <c r="G6" s="30" t="s">
        <v>158</v>
      </c>
      <c r="H6" s="31">
        <v>10</v>
      </c>
      <c r="I6" s="32" t="s">
        <v>106</v>
      </c>
      <c r="J6" s="33">
        <v>2</v>
      </c>
      <c r="K6" s="34" t="s">
        <v>8</v>
      </c>
      <c r="L6" s="82">
        <v>150000</v>
      </c>
      <c r="M6" s="35">
        <v>8.6999999999999994E-2</v>
      </c>
    </row>
    <row r="7" spans="1:13" s="101" customFormat="1" ht="15" customHeight="1" x14ac:dyDescent="0.25">
      <c r="A7" s="91">
        <v>651</v>
      </c>
      <c r="B7" s="91">
        <v>21891</v>
      </c>
      <c r="C7" s="92" t="s">
        <v>1051</v>
      </c>
      <c r="D7" s="121" t="str">
        <f>CONCATENATE(UPPER(C7),$D$3)</f>
        <v>SIKAFLOOR EARTHING KIT               SET "E"</v>
      </c>
      <c r="E7" s="93" t="s">
        <v>1052</v>
      </c>
      <c r="F7" s="94"/>
      <c r="G7" s="95" t="s">
        <v>122</v>
      </c>
      <c r="H7" s="96">
        <v>1</v>
      </c>
      <c r="I7" s="97" t="s">
        <v>130</v>
      </c>
      <c r="J7" s="98">
        <v>1</v>
      </c>
      <c r="K7" s="99" t="s">
        <v>8</v>
      </c>
      <c r="L7" s="82">
        <v>2657800</v>
      </c>
      <c r="M7" s="100">
        <v>8.199999999999999E-2</v>
      </c>
    </row>
    <row r="8" spans="1:13" s="101" customFormat="1" ht="15" customHeight="1" x14ac:dyDescent="0.25">
      <c r="A8" s="91">
        <v>324</v>
      </c>
      <c r="B8" s="91">
        <v>60087</v>
      </c>
      <c r="C8" s="92" t="s">
        <v>653</v>
      </c>
      <c r="D8" s="121" t="str">
        <f>CONCATENATE(UPPER(C8),$D$3)</f>
        <v>BLOW OUT PUMP FOR SIKA ANCHORFIX      PC "E"</v>
      </c>
      <c r="E8" s="93" t="s">
        <v>652</v>
      </c>
      <c r="F8" s="94"/>
      <c r="G8" s="95"/>
      <c r="H8" s="96">
        <v>1</v>
      </c>
      <c r="I8" s="97" t="s">
        <v>130</v>
      </c>
      <c r="J8" s="98">
        <v>1</v>
      </c>
      <c r="K8" s="99" t="s">
        <v>8</v>
      </c>
      <c r="L8" s="82">
        <v>246500</v>
      </c>
      <c r="M8" s="100">
        <v>8.199999999999999E-2</v>
      </c>
    </row>
    <row r="9" spans="1:13" s="101" customFormat="1" ht="15" customHeight="1" x14ac:dyDescent="0.25">
      <c r="A9" s="91">
        <v>339</v>
      </c>
      <c r="B9" s="91">
        <v>60088</v>
      </c>
      <c r="C9" s="92" t="s">
        <v>671</v>
      </c>
      <c r="D9" s="121" t="str">
        <f>CONCATENATE(UPPER(C9),$D$3)</f>
        <v>SIKA ANCHORFIX STATIC MIXER KW  (5X) BAG "E"</v>
      </c>
      <c r="E9" s="93" t="s">
        <v>672</v>
      </c>
      <c r="F9" s="94"/>
      <c r="G9" s="95"/>
      <c r="H9" s="96">
        <v>5</v>
      </c>
      <c r="I9" s="97" t="s">
        <v>130</v>
      </c>
      <c r="J9" s="98">
        <v>5</v>
      </c>
      <c r="K9" s="99" t="s">
        <v>8</v>
      </c>
      <c r="L9" s="82">
        <v>25200</v>
      </c>
      <c r="M9" s="100">
        <v>8.199999999999999E-2</v>
      </c>
    </row>
    <row r="10" spans="1:13" s="101" customFormat="1" ht="15" customHeight="1" x14ac:dyDescent="0.25">
      <c r="A10" s="26">
        <v>800</v>
      </c>
      <c r="B10" s="26">
        <v>87720</v>
      </c>
      <c r="C10" s="27" t="s">
        <v>1230</v>
      </c>
      <c r="D10" s="27" t="str">
        <f t="shared" ref="D10:D41" si="0">UPPER(C10)</f>
        <v>SIKAMULTISEAL ALUMINIUM 10M/150MM /2 ROL</v>
      </c>
      <c r="E10" s="28" t="s">
        <v>1229</v>
      </c>
      <c r="F10" s="48"/>
      <c r="G10" s="30" t="s">
        <v>158</v>
      </c>
      <c r="H10" s="31">
        <v>10</v>
      </c>
      <c r="I10" s="32" t="s">
        <v>106</v>
      </c>
      <c r="J10" s="33">
        <v>2</v>
      </c>
      <c r="K10" s="34" t="s">
        <v>8</v>
      </c>
      <c r="L10" s="82">
        <v>135100</v>
      </c>
      <c r="M10" s="35">
        <v>0.127</v>
      </c>
    </row>
    <row r="11" spans="1:13" s="101" customFormat="1" ht="15" customHeight="1" x14ac:dyDescent="0.25">
      <c r="A11" s="26">
        <v>799</v>
      </c>
      <c r="B11" s="26">
        <v>87722</v>
      </c>
      <c r="C11" s="27" t="s">
        <v>1228</v>
      </c>
      <c r="D11" s="27" t="str">
        <f t="shared" si="0"/>
        <v>SIKAMULTISEAL ALUMINIUM 10M/100MM /3 ROL</v>
      </c>
      <c r="E11" s="28" t="s">
        <v>1229</v>
      </c>
      <c r="F11" s="48"/>
      <c r="G11" s="30" t="s">
        <v>157</v>
      </c>
      <c r="H11" s="31">
        <v>10</v>
      </c>
      <c r="I11" s="32" t="s">
        <v>106</v>
      </c>
      <c r="J11" s="33">
        <v>3</v>
      </c>
      <c r="K11" s="34" t="s">
        <v>8</v>
      </c>
      <c r="L11" s="82">
        <v>94800</v>
      </c>
      <c r="M11" s="35">
        <v>0.127</v>
      </c>
    </row>
    <row r="12" spans="1:13" s="101" customFormat="1" ht="15" customHeight="1" x14ac:dyDescent="0.25">
      <c r="A12" s="26">
        <v>271</v>
      </c>
      <c r="B12" s="26">
        <v>93901</v>
      </c>
      <c r="C12" s="27" t="s">
        <v>573</v>
      </c>
      <c r="D12" s="27" t="str">
        <f t="shared" si="0"/>
        <v>SIKAMENT N-100 CO               DR 230KG</v>
      </c>
      <c r="E12" s="28" t="s">
        <v>572</v>
      </c>
      <c r="F12" s="29"/>
      <c r="G12" s="30"/>
      <c r="H12" s="31">
        <v>230</v>
      </c>
      <c r="I12" s="32" t="s">
        <v>50</v>
      </c>
      <c r="J12" s="33">
        <v>1</v>
      </c>
      <c r="K12" s="34" t="s">
        <v>8</v>
      </c>
      <c r="L12" s="82">
        <v>5328400</v>
      </c>
      <c r="M12" s="35">
        <v>0.08</v>
      </c>
    </row>
    <row r="13" spans="1:13" s="101" customFormat="1" ht="15" customHeight="1" x14ac:dyDescent="0.25">
      <c r="A13" s="26">
        <v>270</v>
      </c>
      <c r="B13" s="26">
        <v>93902</v>
      </c>
      <c r="C13" s="27" t="s">
        <v>571</v>
      </c>
      <c r="D13" s="27" t="str">
        <f t="shared" si="0"/>
        <v>SIKAMENT N-100 CO              TANKER KG</v>
      </c>
      <c r="E13" s="28" t="s">
        <v>572</v>
      </c>
      <c r="F13" s="29"/>
      <c r="G13" s="30"/>
      <c r="H13" s="31">
        <v>1</v>
      </c>
      <c r="I13" s="32" t="s">
        <v>50</v>
      </c>
      <c r="J13" s="33">
        <v>1000</v>
      </c>
      <c r="K13" s="34" t="s">
        <v>50</v>
      </c>
      <c r="L13" s="82">
        <v>18650</v>
      </c>
      <c r="M13" s="35">
        <v>0.08</v>
      </c>
    </row>
    <row r="14" spans="1:13" s="101" customFormat="1" ht="15" customHeight="1" x14ac:dyDescent="0.25">
      <c r="A14" s="26">
        <v>260</v>
      </c>
      <c r="B14" s="26">
        <v>93917</v>
      </c>
      <c r="C14" s="27" t="s">
        <v>552</v>
      </c>
      <c r="D14" s="27" t="str">
        <f t="shared" si="0"/>
        <v>SIKAFLUID CO                     PL 25KG</v>
      </c>
      <c r="E14" s="28" t="s">
        <v>551</v>
      </c>
      <c r="F14" s="29"/>
      <c r="G14" s="30"/>
      <c r="H14" s="31">
        <v>25</v>
      </c>
      <c r="I14" s="32" t="s">
        <v>50</v>
      </c>
      <c r="J14" s="33">
        <v>1</v>
      </c>
      <c r="K14" s="34" t="s">
        <v>8</v>
      </c>
      <c r="L14" s="82">
        <v>540850</v>
      </c>
      <c r="M14" s="35">
        <v>0.08</v>
      </c>
    </row>
    <row r="15" spans="1:13" s="101" customFormat="1" ht="15" customHeight="1" x14ac:dyDescent="0.25">
      <c r="A15" s="26">
        <v>159</v>
      </c>
      <c r="B15" s="26">
        <v>93948</v>
      </c>
      <c r="C15" s="27" t="s">
        <v>399</v>
      </c>
      <c r="D15" s="27" t="str">
        <f t="shared" si="0"/>
        <v>SIKAPLASTIMENT TM-10           TANKER KG</v>
      </c>
      <c r="E15" s="28" t="s">
        <v>400</v>
      </c>
      <c r="F15" s="29"/>
      <c r="G15" s="30"/>
      <c r="H15" s="31">
        <v>0</v>
      </c>
      <c r="I15" s="32" t="s">
        <v>50</v>
      </c>
      <c r="J15" s="33">
        <v>1</v>
      </c>
      <c r="K15" s="34" t="s">
        <v>8</v>
      </c>
      <c r="L15" s="82">
        <v>13050</v>
      </c>
      <c r="M15" s="35">
        <v>0.08</v>
      </c>
    </row>
    <row r="16" spans="1:13" s="101" customFormat="1" ht="15" customHeight="1" x14ac:dyDescent="0.25">
      <c r="A16" s="26">
        <v>161</v>
      </c>
      <c r="B16" s="26">
        <v>93949</v>
      </c>
      <c r="C16" s="27" t="s">
        <v>403</v>
      </c>
      <c r="D16" s="27" t="str">
        <f t="shared" si="0"/>
        <v>SIKAPLASTIMENT TM-5             DR 230KG</v>
      </c>
      <c r="E16" s="28" t="s">
        <v>402</v>
      </c>
      <c r="F16" s="29"/>
      <c r="G16" s="30"/>
      <c r="H16" s="31">
        <v>230</v>
      </c>
      <c r="I16" s="32" t="s">
        <v>50</v>
      </c>
      <c r="J16" s="33">
        <v>1</v>
      </c>
      <c r="K16" s="34" t="s">
        <v>8</v>
      </c>
      <c r="L16" s="82">
        <v>2408000</v>
      </c>
      <c r="M16" s="35">
        <v>0.08</v>
      </c>
    </row>
    <row r="17" spans="1:13" s="101" customFormat="1" ht="15" customHeight="1" x14ac:dyDescent="0.25">
      <c r="A17" s="26">
        <v>160</v>
      </c>
      <c r="B17" s="26">
        <v>93951</v>
      </c>
      <c r="C17" s="27" t="s">
        <v>401</v>
      </c>
      <c r="D17" s="27" t="str">
        <f t="shared" si="0"/>
        <v>SIKAPLASTIMENT TM-5            TANKER KG</v>
      </c>
      <c r="E17" s="28" t="s">
        <v>402</v>
      </c>
      <c r="F17" s="29"/>
      <c r="G17" s="30"/>
      <c r="H17" s="31">
        <v>1</v>
      </c>
      <c r="I17" s="32" t="s">
        <v>50</v>
      </c>
      <c r="J17" s="33">
        <v>1000</v>
      </c>
      <c r="K17" s="34" t="s">
        <v>50</v>
      </c>
      <c r="L17" s="82">
        <v>8050</v>
      </c>
      <c r="M17" s="35">
        <v>0.08</v>
      </c>
    </row>
    <row r="18" spans="1:13" s="101" customFormat="1" ht="15" customHeight="1" x14ac:dyDescent="0.25">
      <c r="A18" s="26">
        <v>172</v>
      </c>
      <c r="B18" s="26">
        <v>93969</v>
      </c>
      <c r="C18" s="27" t="s">
        <v>419</v>
      </c>
      <c r="D18" s="27" t="str">
        <f t="shared" si="0"/>
        <v>SIKAPLASTOCRETE DM        COL   /6X4,5KG</v>
      </c>
      <c r="E18" s="28" t="s">
        <v>417</v>
      </c>
      <c r="F18" s="29"/>
      <c r="G18" s="30"/>
      <c r="H18" s="31">
        <v>4.5</v>
      </c>
      <c r="I18" s="32" t="s">
        <v>50</v>
      </c>
      <c r="J18" s="33">
        <v>6</v>
      </c>
      <c r="K18" s="34" t="s">
        <v>8</v>
      </c>
      <c r="L18" s="82">
        <v>117500</v>
      </c>
      <c r="M18" s="35">
        <v>6.9999999999999993E-2</v>
      </c>
    </row>
    <row r="19" spans="1:13" s="101" customFormat="1" ht="15" customHeight="1" x14ac:dyDescent="0.25">
      <c r="A19" s="26">
        <v>173</v>
      </c>
      <c r="B19" s="26">
        <v>93970</v>
      </c>
      <c r="C19" s="27" t="s">
        <v>420</v>
      </c>
      <c r="D19" s="27" t="str">
        <f t="shared" si="0"/>
        <v>SIKAPLASTOCRETE DM         COL   PL 20KG</v>
      </c>
      <c r="E19" s="28" t="s">
        <v>417</v>
      </c>
      <c r="F19" s="29"/>
      <c r="G19" s="30"/>
      <c r="H19" s="31">
        <v>20</v>
      </c>
      <c r="I19" s="32" t="s">
        <v>50</v>
      </c>
      <c r="J19" s="33">
        <v>1</v>
      </c>
      <c r="K19" s="34" t="s">
        <v>8</v>
      </c>
      <c r="L19" s="82">
        <v>488500</v>
      </c>
      <c r="M19" s="35">
        <v>6.9999999999999993E-2</v>
      </c>
    </row>
    <row r="20" spans="1:13" s="101" customFormat="1" ht="15" customHeight="1" x14ac:dyDescent="0.25">
      <c r="A20" s="26">
        <v>174</v>
      </c>
      <c r="B20" s="26">
        <v>93972</v>
      </c>
      <c r="C20" s="27" t="s">
        <v>421</v>
      </c>
      <c r="D20" s="27" t="str">
        <f t="shared" si="0"/>
        <v>SIKAPLASTOCRETE DM        COL   DR 230KG</v>
      </c>
      <c r="E20" s="28" t="s">
        <v>417</v>
      </c>
      <c r="F20" s="29"/>
      <c r="G20" s="30"/>
      <c r="H20" s="31">
        <v>230</v>
      </c>
      <c r="I20" s="32" t="s">
        <v>50</v>
      </c>
      <c r="J20" s="33">
        <v>1</v>
      </c>
      <c r="K20" s="34" t="s">
        <v>8</v>
      </c>
      <c r="L20" s="82">
        <v>3658000</v>
      </c>
      <c r="M20" s="35">
        <v>6.9999999999999993E-2</v>
      </c>
    </row>
    <row r="21" spans="1:13" s="101" customFormat="1" ht="15" customHeight="1" x14ac:dyDescent="0.25">
      <c r="A21" s="26">
        <v>244</v>
      </c>
      <c r="B21" s="26">
        <v>93977</v>
      </c>
      <c r="C21" s="27" t="s">
        <v>525</v>
      </c>
      <c r="D21" s="27" t="str">
        <f t="shared" si="0"/>
        <v>SIKA AER D CO                   DR 200KG</v>
      </c>
      <c r="E21" s="28" t="s">
        <v>524</v>
      </c>
      <c r="F21" s="29"/>
      <c r="G21" s="30"/>
      <c r="H21" s="31">
        <v>200</v>
      </c>
      <c r="I21" s="32" t="s">
        <v>50</v>
      </c>
      <c r="J21" s="33">
        <v>1</v>
      </c>
      <c r="K21" s="34" t="s">
        <v>8</v>
      </c>
      <c r="L21" s="82">
        <v>1128400</v>
      </c>
      <c r="M21" s="35">
        <v>6.9999999999999993E-2</v>
      </c>
    </row>
    <row r="22" spans="1:13" s="101" customFormat="1" ht="15" customHeight="1" x14ac:dyDescent="0.25">
      <c r="A22" s="26">
        <v>243</v>
      </c>
      <c r="B22" s="26">
        <v>93978</v>
      </c>
      <c r="C22" s="27" t="s">
        <v>523</v>
      </c>
      <c r="D22" s="27" t="str">
        <f t="shared" si="0"/>
        <v>SIKA AER D CO                  TANKER KG</v>
      </c>
      <c r="E22" s="28" t="s">
        <v>524</v>
      </c>
      <c r="F22" s="29"/>
      <c r="G22" s="30"/>
      <c r="H22" s="31">
        <v>1</v>
      </c>
      <c r="I22" s="32" t="s">
        <v>50</v>
      </c>
      <c r="J22" s="33">
        <v>1000</v>
      </c>
      <c r="K22" s="34" t="s">
        <v>50</v>
      </c>
      <c r="L22" s="82">
        <v>4050</v>
      </c>
      <c r="M22" s="35">
        <v>0.08</v>
      </c>
    </row>
    <row r="23" spans="1:13" s="101" customFormat="1" ht="15" customHeight="1" x14ac:dyDescent="0.25">
      <c r="A23" s="26">
        <v>148</v>
      </c>
      <c r="B23" s="26">
        <v>93980</v>
      </c>
      <c r="C23" s="27" t="s">
        <v>384</v>
      </c>
      <c r="D23" s="27" t="str">
        <f t="shared" si="0"/>
        <v>SIKALIGHTCRETE             COL  DR 210KG</v>
      </c>
      <c r="E23" s="28" t="s">
        <v>383</v>
      </c>
      <c r="F23" s="29"/>
      <c r="G23" s="30"/>
      <c r="H23" s="31">
        <v>210</v>
      </c>
      <c r="I23" s="32" t="s">
        <v>50</v>
      </c>
      <c r="J23" s="33">
        <v>1</v>
      </c>
      <c r="K23" s="34" t="s">
        <v>8</v>
      </c>
      <c r="L23" s="82">
        <v>3824200</v>
      </c>
      <c r="M23" s="35">
        <v>0.08</v>
      </c>
    </row>
    <row r="24" spans="1:13" s="101" customFormat="1" ht="15" customHeight="1" x14ac:dyDescent="0.25">
      <c r="A24" s="26">
        <v>306</v>
      </c>
      <c r="B24" s="26">
        <v>93982</v>
      </c>
      <c r="C24" s="27" t="s">
        <v>626</v>
      </c>
      <c r="D24" s="27" t="str">
        <f t="shared" si="0"/>
        <v>SIKASET L CO                      /6X5KG</v>
      </c>
      <c r="E24" s="28" t="s">
        <v>624</v>
      </c>
      <c r="F24" s="29"/>
      <c r="G24" s="30"/>
      <c r="H24" s="31">
        <v>5</v>
      </c>
      <c r="I24" s="32" t="s">
        <v>50</v>
      </c>
      <c r="J24" s="33">
        <v>6</v>
      </c>
      <c r="K24" s="34" t="s">
        <v>8</v>
      </c>
      <c r="L24" s="82">
        <v>131200</v>
      </c>
      <c r="M24" s="35">
        <v>6.9999999999999993E-2</v>
      </c>
    </row>
    <row r="25" spans="1:13" s="101" customFormat="1" ht="15" customHeight="1" x14ac:dyDescent="0.25">
      <c r="A25" s="26">
        <v>307</v>
      </c>
      <c r="B25" s="26">
        <v>93983</v>
      </c>
      <c r="C25" s="27" t="s">
        <v>627</v>
      </c>
      <c r="D25" s="27" t="str">
        <f t="shared" si="0"/>
        <v>SIKASET L CO                     PL 25KG</v>
      </c>
      <c r="E25" s="28" t="s">
        <v>624</v>
      </c>
      <c r="F25" s="29"/>
      <c r="G25" s="30"/>
      <c r="H25" s="31">
        <v>25</v>
      </c>
      <c r="I25" s="32" t="s">
        <v>50</v>
      </c>
      <c r="J25" s="33">
        <v>1</v>
      </c>
      <c r="K25" s="34" t="s">
        <v>8</v>
      </c>
      <c r="L25" s="82">
        <v>557400</v>
      </c>
      <c r="M25" s="35">
        <v>6.9999999999999993E-2</v>
      </c>
    </row>
    <row r="26" spans="1:13" s="101" customFormat="1" ht="15" customHeight="1" x14ac:dyDescent="0.25">
      <c r="A26" s="26">
        <v>308</v>
      </c>
      <c r="B26" s="26">
        <v>93985</v>
      </c>
      <c r="C26" s="27" t="s">
        <v>628</v>
      </c>
      <c r="D26" s="27" t="str">
        <f t="shared" si="0"/>
        <v>SIKASET L CO                    DR 230KG</v>
      </c>
      <c r="E26" s="28" t="s">
        <v>624</v>
      </c>
      <c r="F26" s="29"/>
      <c r="G26" s="30"/>
      <c r="H26" s="31">
        <v>230</v>
      </c>
      <c r="I26" s="32" t="s">
        <v>50</v>
      </c>
      <c r="J26" s="33">
        <v>1</v>
      </c>
      <c r="K26" s="34" t="s">
        <v>8</v>
      </c>
      <c r="L26" s="82">
        <v>3103650</v>
      </c>
      <c r="M26" s="35">
        <v>6.9999999999999993E-2</v>
      </c>
    </row>
    <row r="27" spans="1:13" s="101" customFormat="1" ht="15" customHeight="1" x14ac:dyDescent="0.25">
      <c r="A27" s="26">
        <v>304</v>
      </c>
      <c r="B27" s="26">
        <v>93986</v>
      </c>
      <c r="C27" s="27" t="s">
        <v>623</v>
      </c>
      <c r="D27" s="27" t="str">
        <f t="shared" si="0"/>
        <v>SIKASET L CO                   TANKER KG</v>
      </c>
      <c r="E27" s="28" t="s">
        <v>624</v>
      </c>
      <c r="F27" s="29"/>
      <c r="G27" s="30"/>
      <c r="H27" s="31">
        <v>1</v>
      </c>
      <c r="I27" s="32" t="s">
        <v>50</v>
      </c>
      <c r="J27" s="33">
        <v>1000</v>
      </c>
      <c r="K27" s="34" t="s">
        <v>50</v>
      </c>
      <c r="L27" s="82">
        <v>8400</v>
      </c>
      <c r="M27" s="35">
        <v>0.04</v>
      </c>
    </row>
    <row r="28" spans="1:13" s="101" customFormat="1" ht="15" customHeight="1" x14ac:dyDescent="0.25">
      <c r="A28" s="26">
        <v>152</v>
      </c>
      <c r="B28" s="26">
        <v>93990</v>
      </c>
      <c r="C28" s="27" t="s">
        <v>389</v>
      </c>
      <c r="D28" s="27" t="str">
        <f t="shared" si="0"/>
        <v>SIKAPLASTIMENT AP              TANKER KG</v>
      </c>
      <c r="E28" s="28" t="s">
        <v>390</v>
      </c>
      <c r="F28" s="29"/>
      <c r="G28" s="30"/>
      <c r="H28" s="31">
        <v>1</v>
      </c>
      <c r="I28" s="32" t="s">
        <v>50</v>
      </c>
      <c r="J28" s="33">
        <v>1000</v>
      </c>
      <c r="K28" s="34" t="s">
        <v>50</v>
      </c>
      <c r="L28" s="82">
        <v>6600</v>
      </c>
      <c r="M28" s="35">
        <v>0.08</v>
      </c>
    </row>
    <row r="29" spans="1:13" s="101" customFormat="1" x14ac:dyDescent="0.25">
      <c r="A29" s="26">
        <v>899</v>
      </c>
      <c r="B29" s="26">
        <v>94007</v>
      </c>
      <c r="C29" s="27" t="s">
        <v>1377</v>
      </c>
      <c r="D29" s="27" t="str">
        <f t="shared" si="0"/>
        <v>SIKA-1 CO                        /12X2KG</v>
      </c>
      <c r="E29" s="28" t="s">
        <v>1378</v>
      </c>
      <c r="F29" s="29"/>
      <c r="G29" s="30"/>
      <c r="H29" s="31">
        <v>2</v>
      </c>
      <c r="I29" s="32" t="s">
        <v>50</v>
      </c>
      <c r="J29" s="33">
        <v>12</v>
      </c>
      <c r="K29" s="34" t="s">
        <v>8</v>
      </c>
      <c r="L29" s="82">
        <v>54100</v>
      </c>
      <c r="M29" s="35">
        <v>8.6999999999999994E-2</v>
      </c>
    </row>
    <row r="30" spans="1:13" s="101" customFormat="1" x14ac:dyDescent="0.25">
      <c r="A30" s="26">
        <v>900</v>
      </c>
      <c r="B30" s="26">
        <v>94008</v>
      </c>
      <c r="C30" s="27" t="s">
        <v>1379</v>
      </c>
      <c r="D30" s="27" t="str">
        <f t="shared" si="0"/>
        <v>SIKA-1 CO                         /6X4KG</v>
      </c>
      <c r="E30" s="28" t="s">
        <v>1378</v>
      </c>
      <c r="F30" s="29"/>
      <c r="G30" s="30"/>
      <c r="H30" s="31">
        <v>4</v>
      </c>
      <c r="I30" s="32" t="s">
        <v>50</v>
      </c>
      <c r="J30" s="33">
        <v>6</v>
      </c>
      <c r="K30" s="34" t="s">
        <v>8</v>
      </c>
      <c r="L30" s="82">
        <v>104650</v>
      </c>
      <c r="M30" s="35">
        <v>8.6999999999999994E-2</v>
      </c>
    </row>
    <row r="31" spans="1:13" s="101" customFormat="1" ht="15" customHeight="1" x14ac:dyDescent="0.25">
      <c r="A31" s="26">
        <v>901</v>
      </c>
      <c r="B31" s="26">
        <v>94009</v>
      </c>
      <c r="C31" s="27" t="s">
        <v>1380</v>
      </c>
      <c r="D31" s="27" t="str">
        <f t="shared" si="0"/>
        <v>SIKA-1 CO                        PL 20KG</v>
      </c>
      <c r="E31" s="28" t="s">
        <v>1378</v>
      </c>
      <c r="F31" s="29"/>
      <c r="G31" s="30"/>
      <c r="H31" s="31">
        <v>20</v>
      </c>
      <c r="I31" s="32" t="s">
        <v>50</v>
      </c>
      <c r="J31" s="33">
        <v>1</v>
      </c>
      <c r="K31" s="34" t="s">
        <v>8</v>
      </c>
      <c r="L31" s="82">
        <v>403550</v>
      </c>
      <c r="M31" s="35">
        <v>8.6999999999999994E-2</v>
      </c>
    </row>
    <row r="32" spans="1:13" s="101" customFormat="1" ht="15" customHeight="1" x14ac:dyDescent="0.25">
      <c r="A32" s="26">
        <v>902</v>
      </c>
      <c r="B32" s="26">
        <v>94010</v>
      </c>
      <c r="C32" s="27" t="s">
        <v>1381</v>
      </c>
      <c r="D32" s="27" t="str">
        <f t="shared" si="0"/>
        <v>SIKA-1 CO                        PL 60KG</v>
      </c>
      <c r="E32" s="28" t="s">
        <v>1378</v>
      </c>
      <c r="F32" s="29"/>
      <c r="G32" s="30"/>
      <c r="H32" s="31">
        <v>60</v>
      </c>
      <c r="I32" s="32" t="s">
        <v>50</v>
      </c>
      <c r="J32" s="33">
        <v>1</v>
      </c>
      <c r="K32" s="34" t="s">
        <v>8</v>
      </c>
      <c r="L32" s="82">
        <v>701800</v>
      </c>
      <c r="M32" s="35">
        <v>8.6999999999999994E-2</v>
      </c>
    </row>
    <row r="33" spans="1:13" s="101" customFormat="1" x14ac:dyDescent="0.25">
      <c r="A33" s="26">
        <v>903</v>
      </c>
      <c r="B33" s="26">
        <v>94011</v>
      </c>
      <c r="C33" s="27" t="s">
        <v>1382</v>
      </c>
      <c r="D33" s="27" t="str">
        <f t="shared" si="0"/>
        <v>SIKA-1 CO                       DR 220KG</v>
      </c>
      <c r="E33" s="28" t="s">
        <v>1378</v>
      </c>
      <c r="F33" s="29"/>
      <c r="G33" s="30"/>
      <c r="H33" s="31">
        <v>220</v>
      </c>
      <c r="I33" s="32" t="s">
        <v>50</v>
      </c>
      <c r="J33" s="33">
        <v>1</v>
      </c>
      <c r="K33" s="34" t="s">
        <v>8</v>
      </c>
      <c r="L33" s="82">
        <v>2585550</v>
      </c>
      <c r="M33" s="35">
        <v>8.6999999999999994E-2</v>
      </c>
    </row>
    <row r="34" spans="1:13" s="101" customFormat="1" x14ac:dyDescent="0.25">
      <c r="A34" s="26">
        <v>411</v>
      </c>
      <c r="B34" s="26">
        <v>94013</v>
      </c>
      <c r="C34" s="27" t="s">
        <v>771</v>
      </c>
      <c r="D34" s="27" t="str">
        <f t="shared" si="0"/>
        <v>SIKALATEX CO                    /6X4,5KG</v>
      </c>
      <c r="E34" s="28" t="s">
        <v>769</v>
      </c>
      <c r="F34" s="29"/>
      <c r="G34" s="30"/>
      <c r="H34" s="31">
        <v>4.5</v>
      </c>
      <c r="I34" s="32" t="s">
        <v>50</v>
      </c>
      <c r="J34" s="33">
        <v>6</v>
      </c>
      <c r="K34" s="34" t="s">
        <v>8</v>
      </c>
      <c r="L34" s="82">
        <v>222800</v>
      </c>
      <c r="M34" s="35">
        <v>6.7000000000000004E-2</v>
      </c>
    </row>
    <row r="35" spans="1:13" s="101" customFormat="1" x14ac:dyDescent="0.25">
      <c r="A35" s="26">
        <v>412</v>
      </c>
      <c r="B35" s="26">
        <v>94014</v>
      </c>
      <c r="C35" s="27" t="s">
        <v>772</v>
      </c>
      <c r="D35" s="27" t="str">
        <f t="shared" si="0"/>
        <v>SIKALATEX CO                     PL 20KG</v>
      </c>
      <c r="E35" s="28" t="s">
        <v>769</v>
      </c>
      <c r="F35" s="29"/>
      <c r="G35" s="30"/>
      <c r="H35" s="31">
        <v>20</v>
      </c>
      <c r="I35" s="32" t="s">
        <v>50</v>
      </c>
      <c r="J35" s="33">
        <v>1</v>
      </c>
      <c r="K35" s="34" t="s">
        <v>8</v>
      </c>
      <c r="L35" s="82">
        <v>919600</v>
      </c>
      <c r="M35" s="35">
        <v>6.7000000000000004E-2</v>
      </c>
    </row>
    <row r="36" spans="1:13" s="101" customFormat="1" x14ac:dyDescent="0.25">
      <c r="A36" s="26">
        <v>409</v>
      </c>
      <c r="B36" s="26">
        <v>94015</v>
      </c>
      <c r="C36" s="27" t="s">
        <v>768</v>
      </c>
      <c r="D36" s="27" t="str">
        <f t="shared" si="0"/>
        <v>SIKALATEX CO                  /12X0,25KG</v>
      </c>
      <c r="E36" s="28" t="s">
        <v>769</v>
      </c>
      <c r="F36" s="29"/>
      <c r="G36" s="30"/>
      <c r="H36" s="31">
        <v>0.25</v>
      </c>
      <c r="I36" s="32" t="s">
        <v>50</v>
      </c>
      <c r="J36" s="33">
        <v>12</v>
      </c>
      <c r="K36" s="34" t="s">
        <v>8</v>
      </c>
      <c r="L36" s="82">
        <v>24000</v>
      </c>
      <c r="M36" s="35">
        <v>6.7000000000000004E-2</v>
      </c>
    </row>
    <row r="37" spans="1:13" s="101" customFormat="1" x14ac:dyDescent="0.25">
      <c r="A37" s="26">
        <v>413</v>
      </c>
      <c r="B37" s="26">
        <v>94016</v>
      </c>
      <c r="C37" s="27" t="s">
        <v>773</v>
      </c>
      <c r="D37" s="27" t="str">
        <f t="shared" si="0"/>
        <v>SIKALATEX CO                    DR 200KG</v>
      </c>
      <c r="E37" s="28" t="s">
        <v>769</v>
      </c>
      <c r="F37" s="29"/>
      <c r="G37" s="30"/>
      <c r="H37" s="31">
        <v>200</v>
      </c>
      <c r="I37" s="32" t="s">
        <v>50</v>
      </c>
      <c r="J37" s="33">
        <v>1</v>
      </c>
      <c r="K37" s="34" t="s">
        <v>8</v>
      </c>
      <c r="L37" s="82">
        <v>7545000</v>
      </c>
      <c r="M37" s="35">
        <v>6.7000000000000004E-2</v>
      </c>
    </row>
    <row r="38" spans="1:13" s="101" customFormat="1" x14ac:dyDescent="0.25">
      <c r="A38" s="26">
        <v>925</v>
      </c>
      <c r="B38" s="26">
        <v>94030</v>
      </c>
      <c r="C38" s="27" t="s">
        <v>1408</v>
      </c>
      <c r="D38" s="27" t="str">
        <f t="shared" si="0"/>
        <v>SIKA-2 CO                      /12X2,5KG</v>
      </c>
      <c r="E38" s="28" t="s">
        <v>1409</v>
      </c>
      <c r="F38" s="29"/>
      <c r="G38" s="30"/>
      <c r="H38" s="31">
        <v>2.5</v>
      </c>
      <c r="I38" s="32" t="s">
        <v>50</v>
      </c>
      <c r="J38" s="33">
        <v>12</v>
      </c>
      <c r="K38" s="34" t="s">
        <v>8</v>
      </c>
      <c r="L38" s="82">
        <v>143750</v>
      </c>
      <c r="M38" s="35">
        <v>8.6999999999999994E-2</v>
      </c>
    </row>
    <row r="39" spans="1:13" s="101" customFormat="1" x14ac:dyDescent="0.25">
      <c r="A39" s="26">
        <v>926</v>
      </c>
      <c r="B39" s="26">
        <v>94031</v>
      </c>
      <c r="C39" s="27" t="s">
        <v>1410</v>
      </c>
      <c r="D39" s="27" t="str">
        <f t="shared" si="0"/>
        <v>SIKA-2 CO                       /6X5,5KG</v>
      </c>
      <c r="E39" s="28" t="s">
        <v>1409</v>
      </c>
      <c r="F39" s="29"/>
      <c r="G39" s="30"/>
      <c r="H39" s="31">
        <v>5.5</v>
      </c>
      <c r="I39" s="32" t="s">
        <v>50</v>
      </c>
      <c r="J39" s="33">
        <v>6</v>
      </c>
      <c r="K39" s="34" t="s">
        <v>8</v>
      </c>
      <c r="L39" s="82">
        <v>285800</v>
      </c>
      <c r="M39" s="35">
        <v>8.6999999999999994E-2</v>
      </c>
    </row>
    <row r="40" spans="1:13" s="101" customFormat="1" x14ac:dyDescent="0.25">
      <c r="A40" s="26">
        <v>242</v>
      </c>
      <c r="B40" s="26">
        <v>94034</v>
      </c>
      <c r="C40" s="27" t="s">
        <v>522</v>
      </c>
      <c r="D40" s="27" t="str">
        <f t="shared" si="0"/>
        <v>SIKA-3 CO                         /6X5KG</v>
      </c>
      <c r="E40" s="28" t="s">
        <v>521</v>
      </c>
      <c r="F40" s="29"/>
      <c r="G40" s="30"/>
      <c r="H40" s="31">
        <v>5</v>
      </c>
      <c r="I40" s="32" t="s">
        <v>50</v>
      </c>
      <c r="J40" s="33">
        <v>6</v>
      </c>
      <c r="K40" s="34" t="s">
        <v>8</v>
      </c>
      <c r="L40" s="82">
        <v>113400</v>
      </c>
      <c r="M40" s="35">
        <v>0.08</v>
      </c>
    </row>
    <row r="41" spans="1:13" s="101" customFormat="1" x14ac:dyDescent="0.25">
      <c r="A41" s="26">
        <v>146</v>
      </c>
      <c r="B41" s="26">
        <v>94038</v>
      </c>
      <c r="C41" s="27" t="s">
        <v>380</v>
      </c>
      <c r="D41" s="27" t="str">
        <f t="shared" si="0"/>
        <v>SIKA INTRAPLAST Z CO             BG 30KG</v>
      </c>
      <c r="E41" s="28" t="s">
        <v>381</v>
      </c>
      <c r="F41" s="29"/>
      <c r="G41" s="30"/>
      <c r="H41" s="31">
        <v>30</v>
      </c>
      <c r="I41" s="32" t="s">
        <v>50</v>
      </c>
      <c r="J41" s="33">
        <v>1</v>
      </c>
      <c r="K41" s="34" t="s">
        <v>8</v>
      </c>
      <c r="L41" s="82">
        <v>240750</v>
      </c>
      <c r="M41" s="35">
        <v>0.08</v>
      </c>
    </row>
    <row r="42" spans="1:13" s="101" customFormat="1" x14ac:dyDescent="0.25">
      <c r="A42" s="26">
        <v>315</v>
      </c>
      <c r="B42" s="26">
        <v>94049</v>
      </c>
      <c r="C42" s="27" t="s">
        <v>638</v>
      </c>
      <c r="D42" s="27" t="str">
        <f t="shared" ref="D42:D73" si="1">UPPER(C42)</f>
        <v>SIKATARD E CO                   DR 230KG</v>
      </c>
      <c r="E42" s="28" t="s">
        <v>637</v>
      </c>
      <c r="F42" s="29"/>
      <c r="G42" s="30"/>
      <c r="H42" s="31">
        <v>230</v>
      </c>
      <c r="I42" s="32" t="s">
        <v>50</v>
      </c>
      <c r="J42" s="33">
        <v>1</v>
      </c>
      <c r="K42" s="34" t="s">
        <v>8</v>
      </c>
      <c r="L42" s="82">
        <v>4072350</v>
      </c>
      <c r="M42" s="35">
        <v>0.08</v>
      </c>
    </row>
    <row r="43" spans="1:13" s="101" customFormat="1" x14ac:dyDescent="0.25">
      <c r="A43" s="26">
        <v>314</v>
      </c>
      <c r="B43" s="26">
        <v>94051</v>
      </c>
      <c r="C43" s="27" t="s">
        <v>636</v>
      </c>
      <c r="D43" s="27" t="str">
        <f t="shared" si="1"/>
        <v>SIKATARD E CO                  TANKER KG</v>
      </c>
      <c r="E43" s="28" t="s">
        <v>637</v>
      </c>
      <c r="F43" s="29"/>
      <c r="G43" s="30"/>
      <c r="H43" s="31">
        <v>1</v>
      </c>
      <c r="I43" s="32" t="s">
        <v>50</v>
      </c>
      <c r="J43" s="33">
        <v>1000</v>
      </c>
      <c r="K43" s="34" t="s">
        <v>50</v>
      </c>
      <c r="L43" s="82">
        <v>13850</v>
      </c>
      <c r="M43" s="35">
        <v>0.08</v>
      </c>
    </row>
    <row r="44" spans="1:13" s="101" customFormat="1" x14ac:dyDescent="0.25">
      <c r="A44" s="26">
        <v>273</v>
      </c>
      <c r="B44" s="26">
        <v>94053</v>
      </c>
      <c r="C44" s="27" t="s">
        <v>576</v>
      </c>
      <c r="D44" s="27" t="str">
        <f t="shared" si="1"/>
        <v>SIKANOL M CO                    DR 200KG</v>
      </c>
      <c r="E44" s="28" t="s">
        <v>575</v>
      </c>
      <c r="F44" s="29"/>
      <c r="G44" s="30"/>
      <c r="H44" s="31">
        <v>200</v>
      </c>
      <c r="I44" s="32" t="s">
        <v>50</v>
      </c>
      <c r="J44" s="33">
        <v>1</v>
      </c>
      <c r="K44" s="34" t="s">
        <v>8</v>
      </c>
      <c r="L44" s="82">
        <v>2614600</v>
      </c>
      <c r="M44" s="35">
        <v>0.08</v>
      </c>
    </row>
    <row r="45" spans="1:13" s="101" customFormat="1" x14ac:dyDescent="0.25">
      <c r="A45" s="26">
        <v>272</v>
      </c>
      <c r="B45" s="26">
        <v>94055</v>
      </c>
      <c r="C45" s="27" t="s">
        <v>574</v>
      </c>
      <c r="D45" s="27" t="str">
        <f t="shared" si="1"/>
        <v>SIKANOL M CO                   TANKER KG</v>
      </c>
      <c r="E45" s="28" t="s">
        <v>575</v>
      </c>
      <c r="F45" s="29"/>
      <c r="G45" s="30"/>
      <c r="H45" s="31">
        <v>1</v>
      </c>
      <c r="I45" s="32" t="s">
        <v>50</v>
      </c>
      <c r="J45" s="33">
        <v>1000</v>
      </c>
      <c r="K45" s="34" t="s">
        <v>50</v>
      </c>
      <c r="L45" s="82">
        <v>11750</v>
      </c>
      <c r="M45" s="35">
        <v>0.08</v>
      </c>
    </row>
    <row r="46" spans="1:13" s="101" customFormat="1" x14ac:dyDescent="0.25">
      <c r="A46" s="26">
        <v>421</v>
      </c>
      <c r="B46" s="26">
        <v>94118</v>
      </c>
      <c r="C46" s="27" t="s">
        <v>787</v>
      </c>
      <c r="D46" s="27" t="str">
        <f t="shared" si="1"/>
        <v>SIKATOP-121 (AB) COLD CO            20KG</v>
      </c>
      <c r="E46" s="28" t="s">
        <v>786</v>
      </c>
      <c r="F46" s="29"/>
      <c r="G46" s="30" t="s">
        <v>65</v>
      </c>
      <c r="H46" s="31">
        <v>20</v>
      </c>
      <c r="I46" s="32" t="s">
        <v>50</v>
      </c>
      <c r="J46" s="33">
        <v>1</v>
      </c>
      <c r="K46" s="34" t="s">
        <v>8</v>
      </c>
      <c r="L46" s="82">
        <v>398700</v>
      </c>
      <c r="M46" s="35">
        <v>8.6999999999999994E-2</v>
      </c>
    </row>
    <row r="47" spans="1:13" s="101" customFormat="1" x14ac:dyDescent="0.25">
      <c r="A47" s="26">
        <v>420</v>
      </c>
      <c r="B47" s="26">
        <v>94122</v>
      </c>
      <c r="C47" s="27" t="s">
        <v>785</v>
      </c>
      <c r="D47" s="27" t="str">
        <f t="shared" si="1"/>
        <v>SIKATOP-121 (AB) HOT CO             18KG</v>
      </c>
      <c r="E47" s="28" t="s">
        <v>786</v>
      </c>
      <c r="F47" s="29"/>
      <c r="G47" s="30" t="s">
        <v>64</v>
      </c>
      <c r="H47" s="31">
        <v>18</v>
      </c>
      <c r="I47" s="32" t="s">
        <v>50</v>
      </c>
      <c r="J47" s="33">
        <v>1</v>
      </c>
      <c r="K47" s="34" t="s">
        <v>8</v>
      </c>
      <c r="L47" s="82">
        <v>358800</v>
      </c>
      <c r="M47" s="35">
        <v>8.6999999999999994E-2</v>
      </c>
    </row>
    <row r="48" spans="1:13" s="101" customFormat="1" x14ac:dyDescent="0.25">
      <c r="A48" s="26">
        <v>423</v>
      </c>
      <c r="B48" s="26">
        <v>94124</v>
      </c>
      <c r="C48" s="27" t="s">
        <v>790</v>
      </c>
      <c r="D48" s="27" t="str">
        <f t="shared" si="1"/>
        <v>SIKATOP-122 (AB) COLD CO            30KG</v>
      </c>
      <c r="E48" s="28" t="s">
        <v>789</v>
      </c>
      <c r="F48" s="29"/>
      <c r="G48" s="30" t="s">
        <v>65</v>
      </c>
      <c r="H48" s="31">
        <v>30</v>
      </c>
      <c r="I48" s="32" t="s">
        <v>50</v>
      </c>
      <c r="J48" s="33">
        <v>1</v>
      </c>
      <c r="K48" s="34" t="s">
        <v>8</v>
      </c>
      <c r="L48" s="82">
        <v>505050</v>
      </c>
      <c r="M48" s="35">
        <v>7.7000000000000013E-2</v>
      </c>
    </row>
    <row r="49" spans="1:13" s="101" customFormat="1" x14ac:dyDescent="0.25">
      <c r="A49" s="26">
        <v>422</v>
      </c>
      <c r="B49" s="26">
        <v>94126</v>
      </c>
      <c r="C49" s="27" t="s">
        <v>788</v>
      </c>
      <c r="D49" s="27" t="str">
        <f t="shared" si="1"/>
        <v>SIKATOP-122 (AB) HOT CO             27KG</v>
      </c>
      <c r="E49" s="28" t="s">
        <v>789</v>
      </c>
      <c r="F49" s="29"/>
      <c r="G49" s="30" t="s">
        <v>64</v>
      </c>
      <c r="H49" s="31">
        <v>27</v>
      </c>
      <c r="I49" s="32" t="s">
        <v>50</v>
      </c>
      <c r="J49" s="33">
        <v>1</v>
      </c>
      <c r="K49" s="34" t="s">
        <v>8</v>
      </c>
      <c r="L49" s="82">
        <v>454300</v>
      </c>
      <c r="M49" s="35">
        <v>6.7000000000000004E-2</v>
      </c>
    </row>
    <row r="50" spans="1:13" s="101" customFormat="1" x14ac:dyDescent="0.25">
      <c r="A50" s="26">
        <v>403</v>
      </c>
      <c r="B50" s="26">
        <v>94148</v>
      </c>
      <c r="C50" s="27" t="s">
        <v>759</v>
      </c>
      <c r="D50" s="27" t="str">
        <f t="shared" si="1"/>
        <v>SIKAGROUT-200 CO                 BG 30KG</v>
      </c>
      <c r="E50" s="28" t="s">
        <v>760</v>
      </c>
      <c r="F50" s="29"/>
      <c r="G50" s="30"/>
      <c r="H50" s="31">
        <v>30</v>
      </c>
      <c r="I50" s="32" t="s">
        <v>50</v>
      </c>
      <c r="J50" s="33">
        <v>1</v>
      </c>
      <c r="K50" s="34" t="s">
        <v>8</v>
      </c>
      <c r="L50" s="82">
        <v>330300</v>
      </c>
      <c r="M50" s="35">
        <v>8.199999999999999E-2</v>
      </c>
    </row>
    <row r="51" spans="1:13" s="101" customFormat="1" x14ac:dyDescent="0.25">
      <c r="A51" s="26">
        <v>405</v>
      </c>
      <c r="B51" s="26">
        <v>94149</v>
      </c>
      <c r="C51" s="27" t="s">
        <v>762</v>
      </c>
      <c r="D51" s="27" t="str">
        <f t="shared" si="1"/>
        <v>SIKAGROUT-212 CO                 BG 30KG</v>
      </c>
      <c r="E51" s="28" t="s">
        <v>763</v>
      </c>
      <c r="F51" s="29"/>
      <c r="G51" s="30"/>
      <c r="H51" s="31">
        <v>30</v>
      </c>
      <c r="I51" s="32" t="s">
        <v>50</v>
      </c>
      <c r="J51" s="33">
        <v>1</v>
      </c>
      <c r="K51" s="34" t="s">
        <v>8</v>
      </c>
      <c r="L51" s="82">
        <v>244550</v>
      </c>
      <c r="M51" s="35">
        <v>6.7000000000000004E-2</v>
      </c>
    </row>
    <row r="52" spans="1:13" s="101" customFormat="1" x14ac:dyDescent="0.25">
      <c r="A52" s="26">
        <v>13</v>
      </c>
      <c r="B52" s="26">
        <v>94170</v>
      </c>
      <c r="C52" s="27" t="s">
        <v>201</v>
      </c>
      <c r="D52" s="27" t="str">
        <f t="shared" si="1"/>
        <v>SIKABINDA EXTRA BATH&amp;KITCH.WHITE BG 25KG</v>
      </c>
      <c r="E52" s="28" t="s">
        <v>200</v>
      </c>
      <c r="F52" s="29"/>
      <c r="G52" s="30" t="s">
        <v>17</v>
      </c>
      <c r="H52" s="31">
        <v>25</v>
      </c>
      <c r="I52" s="32" t="s">
        <v>50</v>
      </c>
      <c r="J52" s="33">
        <v>1</v>
      </c>
      <c r="K52" s="34" t="s">
        <v>8</v>
      </c>
      <c r="L52" s="82">
        <v>82200</v>
      </c>
      <c r="M52" s="35">
        <v>9.4E-2</v>
      </c>
    </row>
    <row r="53" spans="1:13" s="101" customFormat="1" x14ac:dyDescent="0.25">
      <c r="A53" s="26">
        <v>15</v>
      </c>
      <c r="B53" s="26">
        <v>94171</v>
      </c>
      <c r="C53" s="27" t="s">
        <v>203</v>
      </c>
      <c r="D53" s="27" t="str">
        <f t="shared" si="1"/>
        <v>SIKABINDA EXTRA BATH&amp;KITCH.WHITE BG 50KG</v>
      </c>
      <c r="E53" s="28" t="s">
        <v>200</v>
      </c>
      <c r="F53" s="29"/>
      <c r="G53" s="30" t="s">
        <v>17</v>
      </c>
      <c r="H53" s="31">
        <v>50</v>
      </c>
      <c r="I53" s="32" t="s">
        <v>50</v>
      </c>
      <c r="J53" s="33">
        <v>1</v>
      </c>
      <c r="K53" s="34" t="s">
        <v>8</v>
      </c>
      <c r="L53" s="82">
        <v>142200</v>
      </c>
      <c r="M53" s="35">
        <v>9.4E-2</v>
      </c>
    </row>
    <row r="54" spans="1:13" s="101" customFormat="1" x14ac:dyDescent="0.25">
      <c r="A54" s="26">
        <v>12</v>
      </c>
      <c r="B54" s="26">
        <v>94175</v>
      </c>
      <c r="C54" s="27" t="s">
        <v>199</v>
      </c>
      <c r="D54" s="27" t="str">
        <f t="shared" si="1"/>
        <v>SIKABINDA EXTRA BATH&amp;KITCH. GREY BG 25KG</v>
      </c>
      <c r="E54" s="28" t="s">
        <v>200</v>
      </c>
      <c r="F54" s="29"/>
      <c r="G54" s="30" t="s">
        <v>16</v>
      </c>
      <c r="H54" s="31">
        <v>25</v>
      </c>
      <c r="I54" s="32" t="s">
        <v>50</v>
      </c>
      <c r="J54" s="33">
        <v>1</v>
      </c>
      <c r="K54" s="34" t="s">
        <v>8</v>
      </c>
      <c r="L54" s="82">
        <v>61100</v>
      </c>
      <c r="M54" s="35">
        <v>9.4E-2</v>
      </c>
    </row>
    <row r="55" spans="1:13" s="101" customFormat="1" x14ac:dyDescent="0.25">
      <c r="A55" s="26">
        <v>14</v>
      </c>
      <c r="B55" s="26">
        <v>94177</v>
      </c>
      <c r="C55" s="27" t="s">
        <v>202</v>
      </c>
      <c r="D55" s="27" t="str">
        <f t="shared" si="1"/>
        <v>SIKABINDA EXTRA BATH&amp;KITCH. GREY BG 50KG</v>
      </c>
      <c r="E55" s="28" t="s">
        <v>200</v>
      </c>
      <c r="F55" s="29"/>
      <c r="G55" s="30" t="s">
        <v>16</v>
      </c>
      <c r="H55" s="31">
        <v>50</v>
      </c>
      <c r="I55" s="32" t="s">
        <v>50</v>
      </c>
      <c r="J55" s="33">
        <v>1</v>
      </c>
      <c r="K55" s="34" t="s">
        <v>8</v>
      </c>
      <c r="L55" s="82">
        <v>115050</v>
      </c>
      <c r="M55" s="35">
        <v>9.4E-2</v>
      </c>
    </row>
    <row r="56" spans="1:13" s="101" customFormat="1" x14ac:dyDescent="0.25">
      <c r="A56" s="26">
        <v>673</v>
      </c>
      <c r="B56" s="26">
        <v>94210</v>
      </c>
      <c r="C56" s="27" t="s">
        <v>1075</v>
      </c>
      <c r="D56" s="27" t="str">
        <f t="shared" si="1"/>
        <v>SIKALISTO PISO CO                BG 50KG</v>
      </c>
      <c r="E56" s="28" t="s">
        <v>1076</v>
      </c>
      <c r="F56" s="29"/>
      <c r="G56" s="30"/>
      <c r="H56" s="31">
        <v>50</v>
      </c>
      <c r="I56" s="32" t="s">
        <v>50</v>
      </c>
      <c r="J56" s="33">
        <v>1</v>
      </c>
      <c r="K56" s="34" t="s">
        <v>8</v>
      </c>
      <c r="L56" s="82">
        <v>173250</v>
      </c>
      <c r="M56" s="35">
        <v>6.7000000000000004E-2</v>
      </c>
    </row>
    <row r="57" spans="1:13" s="101" customFormat="1" x14ac:dyDescent="0.25">
      <c r="A57" s="26">
        <v>66</v>
      </c>
      <c r="B57" s="26">
        <v>94214</v>
      </c>
      <c r="C57" s="27" t="s">
        <v>271</v>
      </c>
      <c r="D57" s="27" t="str">
        <f t="shared" si="1"/>
        <v>SIKACERAM-230 BA BIG FORM. GREY  BG 25KG</v>
      </c>
      <c r="E57" s="28" t="s">
        <v>272</v>
      </c>
      <c r="F57" s="29"/>
      <c r="G57" s="30" t="s">
        <v>14</v>
      </c>
      <c r="H57" s="31">
        <v>25</v>
      </c>
      <c r="I57" s="32" t="s">
        <v>50</v>
      </c>
      <c r="J57" s="33">
        <v>1</v>
      </c>
      <c r="K57" s="34" t="s">
        <v>8</v>
      </c>
      <c r="L57" s="82">
        <v>98550</v>
      </c>
      <c r="M57" s="35">
        <v>9.4E-2</v>
      </c>
    </row>
    <row r="58" spans="1:13" s="101" customFormat="1" x14ac:dyDescent="0.25">
      <c r="A58" s="26">
        <v>136</v>
      </c>
      <c r="B58" s="26">
        <v>94224</v>
      </c>
      <c r="C58" s="27" t="s">
        <v>364</v>
      </c>
      <c r="D58" s="27" t="str">
        <f t="shared" si="1"/>
        <v>SIKA ANTISOL BLANCO        COL   PL 20KG</v>
      </c>
      <c r="E58" s="28" t="s">
        <v>365</v>
      </c>
      <c r="F58" s="29"/>
      <c r="G58" s="30" t="s">
        <v>15</v>
      </c>
      <c r="H58" s="31">
        <v>20</v>
      </c>
      <c r="I58" s="32" t="s">
        <v>50</v>
      </c>
      <c r="J58" s="33">
        <v>1</v>
      </c>
      <c r="K58" s="34" t="s">
        <v>8</v>
      </c>
      <c r="L58" s="82">
        <v>259650</v>
      </c>
      <c r="M58" s="35">
        <v>6.9999999999999993E-2</v>
      </c>
    </row>
    <row r="59" spans="1:13" s="101" customFormat="1" x14ac:dyDescent="0.25">
      <c r="A59" s="26">
        <v>137</v>
      </c>
      <c r="B59" s="26">
        <v>94225</v>
      </c>
      <c r="C59" s="27" t="s">
        <v>366</v>
      </c>
      <c r="D59" s="27" t="str">
        <f t="shared" si="1"/>
        <v>SIKA ANTISOL BLANCO       COL   DR 200KG</v>
      </c>
      <c r="E59" s="28" t="s">
        <v>365</v>
      </c>
      <c r="F59" s="29"/>
      <c r="G59" s="30" t="s">
        <v>15</v>
      </c>
      <c r="H59" s="31">
        <v>200</v>
      </c>
      <c r="I59" s="32" t="s">
        <v>50</v>
      </c>
      <c r="J59" s="33">
        <v>1</v>
      </c>
      <c r="K59" s="34" t="s">
        <v>8</v>
      </c>
      <c r="L59" s="82">
        <v>2083600</v>
      </c>
      <c r="M59" s="35">
        <v>6.9999999999999993E-2</v>
      </c>
    </row>
    <row r="60" spans="1:13" s="101" customFormat="1" x14ac:dyDescent="0.25">
      <c r="A60" s="26">
        <v>139</v>
      </c>
      <c r="B60" s="26">
        <v>94227</v>
      </c>
      <c r="C60" s="27" t="s">
        <v>369</v>
      </c>
      <c r="D60" s="27" t="str">
        <f t="shared" si="1"/>
        <v>SIKA ANTISOL ROJO          COL   PL 16KG</v>
      </c>
      <c r="E60" s="28" t="s">
        <v>370</v>
      </c>
      <c r="F60" s="29"/>
      <c r="G60" s="30" t="s">
        <v>48</v>
      </c>
      <c r="H60" s="31">
        <v>16</v>
      </c>
      <c r="I60" s="32" t="s">
        <v>50</v>
      </c>
      <c r="J60" s="33">
        <v>1</v>
      </c>
      <c r="K60" s="34" t="s">
        <v>8</v>
      </c>
      <c r="L60" s="82">
        <v>645750</v>
      </c>
      <c r="M60" s="35">
        <v>6.9999999999999993E-2</v>
      </c>
    </row>
    <row r="61" spans="1:13" s="101" customFormat="1" x14ac:dyDescent="0.25">
      <c r="A61" s="26">
        <v>140</v>
      </c>
      <c r="B61" s="26">
        <v>94229</v>
      </c>
      <c r="C61" s="27" t="s">
        <v>371</v>
      </c>
      <c r="D61" s="27" t="str">
        <f t="shared" si="1"/>
        <v>SIKA ANTISOL ROJO         COL   DR 170KG</v>
      </c>
      <c r="E61" s="28" t="s">
        <v>370</v>
      </c>
      <c r="F61" s="29"/>
      <c r="G61" s="30" t="s">
        <v>48</v>
      </c>
      <c r="H61" s="31">
        <v>170</v>
      </c>
      <c r="I61" s="32" t="s">
        <v>50</v>
      </c>
      <c r="J61" s="33">
        <v>1</v>
      </c>
      <c r="K61" s="34" t="s">
        <v>8</v>
      </c>
      <c r="L61" s="82">
        <v>6486850</v>
      </c>
      <c r="M61" s="35">
        <v>6.9999999999999993E-2</v>
      </c>
    </row>
    <row r="62" spans="1:13" s="101" customFormat="1" x14ac:dyDescent="0.25">
      <c r="A62" s="26">
        <v>144</v>
      </c>
      <c r="B62" s="26">
        <v>94230</v>
      </c>
      <c r="C62" s="27" t="s">
        <v>377</v>
      </c>
      <c r="D62" s="27" t="str">
        <f t="shared" si="1"/>
        <v>SIKAFILM CO                      PL 20KG</v>
      </c>
      <c r="E62" s="28" t="s">
        <v>378</v>
      </c>
      <c r="F62" s="29"/>
      <c r="G62" s="30"/>
      <c r="H62" s="31">
        <v>20</v>
      </c>
      <c r="I62" s="32" t="s">
        <v>50</v>
      </c>
      <c r="J62" s="33">
        <v>1</v>
      </c>
      <c r="K62" s="34" t="s">
        <v>8</v>
      </c>
      <c r="L62" s="82">
        <v>233050</v>
      </c>
      <c r="M62" s="35">
        <v>0.08</v>
      </c>
    </row>
    <row r="63" spans="1:13" s="101" customFormat="1" x14ac:dyDescent="0.25">
      <c r="A63" s="26">
        <v>145</v>
      </c>
      <c r="B63" s="26">
        <v>94232</v>
      </c>
      <c r="C63" s="27" t="s">
        <v>379</v>
      </c>
      <c r="D63" s="27" t="str">
        <f t="shared" si="1"/>
        <v>SIKAFILM CO                     DR 210KG</v>
      </c>
      <c r="E63" s="28" t="s">
        <v>378</v>
      </c>
      <c r="F63" s="29"/>
      <c r="G63" s="30"/>
      <c r="H63" s="31">
        <v>210</v>
      </c>
      <c r="I63" s="32" t="s">
        <v>50</v>
      </c>
      <c r="J63" s="33">
        <v>1</v>
      </c>
      <c r="K63" s="34" t="s">
        <v>8</v>
      </c>
      <c r="L63" s="82">
        <v>1844200</v>
      </c>
      <c r="M63" s="35">
        <v>0.08</v>
      </c>
    </row>
    <row r="64" spans="1:13" s="101" customFormat="1" x14ac:dyDescent="0.25">
      <c r="A64" s="91">
        <v>109</v>
      </c>
      <c r="B64" s="91">
        <v>94340</v>
      </c>
      <c r="C64" s="92" t="s">
        <v>321</v>
      </c>
      <c r="D64" s="121" t="str">
        <f>CONCATENATE(UPPER(C64),$D$3)</f>
        <v>SIKAGARD DECOR TRANSPARENT CO    PL 18KG "E"</v>
      </c>
      <c r="E64" s="93" t="s">
        <v>322</v>
      </c>
      <c r="F64" s="94"/>
      <c r="G64" s="95" t="s">
        <v>25</v>
      </c>
      <c r="H64" s="96">
        <v>18</v>
      </c>
      <c r="I64" s="97" t="s">
        <v>50</v>
      </c>
      <c r="J64" s="98">
        <v>1</v>
      </c>
      <c r="K64" s="99" t="s">
        <v>8</v>
      </c>
      <c r="L64" s="82">
        <v>2031900</v>
      </c>
      <c r="M64" s="100">
        <v>8.199999999999999E-2</v>
      </c>
    </row>
    <row r="65" spans="1:13" s="101" customFormat="1" x14ac:dyDescent="0.25">
      <c r="A65" s="26">
        <v>183</v>
      </c>
      <c r="B65" s="26">
        <v>94342</v>
      </c>
      <c r="C65" s="27" t="s">
        <v>434</v>
      </c>
      <c r="D65" s="27" t="str">
        <f t="shared" ref="D65:D80" si="2">UPPER(C65)</f>
        <v>SIKASEPAROL POWDER GREY    COL   BG 25KG</v>
      </c>
      <c r="E65" s="28" t="s">
        <v>435</v>
      </c>
      <c r="F65" s="29"/>
      <c r="G65" s="30" t="s">
        <v>14</v>
      </c>
      <c r="H65" s="31">
        <v>25</v>
      </c>
      <c r="I65" s="32" t="s">
        <v>50</v>
      </c>
      <c r="J65" s="33">
        <v>1</v>
      </c>
      <c r="K65" s="34" t="s">
        <v>8</v>
      </c>
      <c r="L65" s="82">
        <v>897500</v>
      </c>
      <c r="M65" s="35">
        <v>6.9999999999999993E-2</v>
      </c>
    </row>
    <row r="66" spans="1:13" s="101" customFormat="1" x14ac:dyDescent="0.25">
      <c r="A66" s="26">
        <v>1</v>
      </c>
      <c r="B66" s="26">
        <v>94355</v>
      </c>
      <c r="C66" s="27" t="s">
        <v>185</v>
      </c>
      <c r="D66" s="27" t="str">
        <f t="shared" si="2"/>
        <v>ESTUKA ACRILICO CO           /12X0,25GAL</v>
      </c>
      <c r="E66" s="28" t="s">
        <v>186</v>
      </c>
      <c r="F66" s="29"/>
      <c r="G66" s="30"/>
      <c r="H66" s="31">
        <v>1.5</v>
      </c>
      <c r="I66" s="32" t="s">
        <v>50</v>
      </c>
      <c r="J66" s="33">
        <v>12</v>
      </c>
      <c r="K66" s="34" t="s">
        <v>8</v>
      </c>
      <c r="L66" s="82">
        <v>11200</v>
      </c>
      <c r="M66" s="35">
        <v>8.4000000000000005E-2</v>
      </c>
    </row>
    <row r="67" spans="1:13" s="101" customFormat="1" x14ac:dyDescent="0.25">
      <c r="A67" s="26">
        <v>2</v>
      </c>
      <c r="B67" s="26">
        <v>94357</v>
      </c>
      <c r="C67" s="27" t="s">
        <v>187</v>
      </c>
      <c r="D67" s="27" t="str">
        <f t="shared" si="2"/>
        <v>ESTUKA ACRILICO CO               /4X1GAL</v>
      </c>
      <c r="E67" s="28" t="s">
        <v>186</v>
      </c>
      <c r="F67" s="29"/>
      <c r="G67" s="30"/>
      <c r="H67" s="31">
        <v>6.2</v>
      </c>
      <c r="I67" s="32" t="s">
        <v>1443</v>
      </c>
      <c r="J67" s="33">
        <v>4</v>
      </c>
      <c r="K67" s="34" t="s">
        <v>8</v>
      </c>
      <c r="L67" s="82">
        <v>30100</v>
      </c>
      <c r="M67" s="35">
        <v>8.4000000000000005E-2</v>
      </c>
    </row>
    <row r="68" spans="1:13" s="101" customFormat="1" x14ac:dyDescent="0.25">
      <c r="A68" s="26">
        <v>56</v>
      </c>
      <c r="B68" s="26">
        <v>94359</v>
      </c>
      <c r="C68" s="27" t="s">
        <v>257</v>
      </c>
      <c r="D68" s="27" t="str">
        <f t="shared" si="2"/>
        <v>SIKACERAM SL CO                  PL 5GAL</v>
      </c>
      <c r="E68" s="28" t="s">
        <v>258</v>
      </c>
      <c r="F68" s="29"/>
      <c r="G68" s="30"/>
      <c r="H68" s="31">
        <v>5</v>
      </c>
      <c r="I68" s="32" t="s">
        <v>1443</v>
      </c>
      <c r="J68" s="33">
        <v>1</v>
      </c>
      <c r="K68" s="34" t="s">
        <v>8</v>
      </c>
      <c r="L68" s="82">
        <v>336750</v>
      </c>
      <c r="M68" s="35">
        <v>6.4000000000000001E-2</v>
      </c>
    </row>
    <row r="69" spans="1:13" s="101" customFormat="1" x14ac:dyDescent="0.25">
      <c r="A69" s="26">
        <v>27</v>
      </c>
      <c r="B69" s="26">
        <v>94373</v>
      </c>
      <c r="C69" s="27" t="s">
        <v>218</v>
      </c>
      <c r="D69" s="27" t="str">
        <f t="shared" si="2"/>
        <v>SIKATRANSPARENTE-10 CO            /4X3KG</v>
      </c>
      <c r="E69" s="28" t="s">
        <v>219</v>
      </c>
      <c r="F69" s="29"/>
      <c r="G69" s="30" t="s">
        <v>18</v>
      </c>
      <c r="H69" s="31">
        <v>1</v>
      </c>
      <c r="I69" s="32" t="s">
        <v>50</v>
      </c>
      <c r="J69" s="33">
        <v>4</v>
      </c>
      <c r="K69" s="34" t="s">
        <v>8</v>
      </c>
      <c r="L69" s="82">
        <v>137950</v>
      </c>
      <c r="M69" s="35">
        <v>7.400000000000001E-2</v>
      </c>
    </row>
    <row r="70" spans="1:13" s="101" customFormat="1" x14ac:dyDescent="0.25">
      <c r="A70" s="26">
        <v>29</v>
      </c>
      <c r="B70" s="26">
        <v>94374</v>
      </c>
      <c r="C70" s="27" t="s">
        <v>221</v>
      </c>
      <c r="D70" s="27" t="str">
        <f t="shared" si="2"/>
        <v>SIKATRANSPARENTE-10 CO           PL 16KG</v>
      </c>
      <c r="E70" s="28" t="s">
        <v>219</v>
      </c>
      <c r="F70" s="29"/>
      <c r="G70" s="30" t="s">
        <v>19</v>
      </c>
      <c r="H70" s="31">
        <v>5</v>
      </c>
      <c r="I70" s="32" t="s">
        <v>50</v>
      </c>
      <c r="J70" s="33">
        <v>1</v>
      </c>
      <c r="K70" s="34" t="s">
        <v>8</v>
      </c>
      <c r="L70" s="82">
        <v>631050</v>
      </c>
      <c r="M70" s="35">
        <v>7.400000000000001E-2</v>
      </c>
    </row>
    <row r="71" spans="1:13" s="101" customFormat="1" x14ac:dyDescent="0.25">
      <c r="A71" s="26">
        <v>30</v>
      </c>
      <c r="B71" s="26">
        <v>94376</v>
      </c>
      <c r="C71" s="27" t="s">
        <v>222</v>
      </c>
      <c r="D71" s="27" t="str">
        <f t="shared" si="2"/>
        <v>SIKATRANSPARENTE-10 CO          DR 55GAL</v>
      </c>
      <c r="E71" s="28" t="s">
        <v>219</v>
      </c>
      <c r="F71" s="29"/>
      <c r="G71" s="30" t="s">
        <v>24</v>
      </c>
      <c r="H71" s="31">
        <v>55</v>
      </c>
      <c r="I71" s="32" t="s">
        <v>1443</v>
      </c>
      <c r="J71" s="33">
        <v>1</v>
      </c>
      <c r="K71" s="34" t="s">
        <v>8</v>
      </c>
      <c r="L71" s="82">
        <v>5613250</v>
      </c>
      <c r="M71" s="35">
        <v>7.400000000000001E-2</v>
      </c>
    </row>
    <row r="72" spans="1:13" s="101" customFormat="1" x14ac:dyDescent="0.25">
      <c r="A72" s="26">
        <v>31</v>
      </c>
      <c r="B72" s="26">
        <v>94377</v>
      </c>
      <c r="C72" s="27" t="s">
        <v>223</v>
      </c>
      <c r="D72" s="27" t="str">
        <f t="shared" si="2"/>
        <v>SIKATRANSPARENTE-5 CO             /4X3KG</v>
      </c>
      <c r="E72" s="28" t="s">
        <v>224</v>
      </c>
      <c r="F72" s="29"/>
      <c r="G72" s="30" t="s">
        <v>18</v>
      </c>
      <c r="H72" s="31">
        <v>1</v>
      </c>
      <c r="I72" s="32" t="s">
        <v>50</v>
      </c>
      <c r="J72" s="33">
        <v>4</v>
      </c>
      <c r="K72" s="34" t="s">
        <v>8</v>
      </c>
      <c r="L72" s="82">
        <v>131000</v>
      </c>
      <c r="M72" s="35">
        <v>6.4000000000000001E-2</v>
      </c>
    </row>
    <row r="73" spans="1:13" s="101" customFormat="1" x14ac:dyDescent="0.25">
      <c r="A73" s="26">
        <v>33</v>
      </c>
      <c r="B73" s="26">
        <v>94378</v>
      </c>
      <c r="C73" s="27" t="s">
        <v>226</v>
      </c>
      <c r="D73" s="27" t="str">
        <f t="shared" si="2"/>
        <v>SIKATRANSPARENTE-5 CO            PL 16KG</v>
      </c>
      <c r="E73" s="28" t="s">
        <v>224</v>
      </c>
      <c r="F73" s="29"/>
      <c r="G73" s="30" t="s">
        <v>19</v>
      </c>
      <c r="H73" s="31">
        <v>5</v>
      </c>
      <c r="I73" s="32" t="s">
        <v>50</v>
      </c>
      <c r="J73" s="33">
        <v>1</v>
      </c>
      <c r="K73" s="34" t="s">
        <v>8</v>
      </c>
      <c r="L73" s="82">
        <v>612950</v>
      </c>
      <c r="M73" s="35">
        <v>6.4000000000000001E-2</v>
      </c>
    </row>
    <row r="74" spans="1:13" s="101" customFormat="1" x14ac:dyDescent="0.25">
      <c r="A74" s="26">
        <v>34</v>
      </c>
      <c r="B74" s="26">
        <v>94379</v>
      </c>
      <c r="C74" s="27" t="s">
        <v>227</v>
      </c>
      <c r="D74" s="27" t="str">
        <f t="shared" si="2"/>
        <v>SIKATRANSPARENTE-5 CO           DR 160KG</v>
      </c>
      <c r="E74" s="28" t="s">
        <v>224</v>
      </c>
      <c r="F74" s="29"/>
      <c r="G74" s="30" t="s">
        <v>24</v>
      </c>
      <c r="H74" s="31">
        <v>55</v>
      </c>
      <c r="I74" s="32" t="s">
        <v>50</v>
      </c>
      <c r="J74" s="33">
        <v>1</v>
      </c>
      <c r="K74" s="34" t="s">
        <v>8</v>
      </c>
      <c r="L74" s="82">
        <v>5183450</v>
      </c>
      <c r="M74" s="35">
        <v>6.4000000000000001E-2</v>
      </c>
    </row>
    <row r="75" spans="1:13" s="101" customFormat="1" x14ac:dyDescent="0.25">
      <c r="A75" s="26">
        <v>881</v>
      </c>
      <c r="B75" s="26">
        <v>94382</v>
      </c>
      <c r="C75" s="27" t="s">
        <v>1346</v>
      </c>
      <c r="D75" s="27" t="str">
        <f t="shared" si="2"/>
        <v>MERULEX I.F.S TRANSPARENT CO     PL 16KG</v>
      </c>
      <c r="E75" s="28" t="s">
        <v>1345</v>
      </c>
      <c r="F75" s="29"/>
      <c r="G75" s="30" t="s">
        <v>25</v>
      </c>
      <c r="H75" s="31">
        <v>16</v>
      </c>
      <c r="I75" s="32" t="s">
        <v>50</v>
      </c>
      <c r="J75" s="33">
        <v>1</v>
      </c>
      <c r="K75" s="34" t="s">
        <v>8</v>
      </c>
      <c r="L75" s="82">
        <v>1109600</v>
      </c>
      <c r="M75" s="35">
        <v>6.7000000000000004E-2</v>
      </c>
    </row>
    <row r="76" spans="1:13" s="101" customFormat="1" x14ac:dyDescent="0.25">
      <c r="A76" s="26">
        <v>880</v>
      </c>
      <c r="B76" s="26">
        <v>94384</v>
      </c>
      <c r="C76" s="27" t="s">
        <v>1344</v>
      </c>
      <c r="D76" s="27" t="str">
        <f t="shared" si="2"/>
        <v>MERULEX I.F.S TRANSPARENT CO      /4X3KG</v>
      </c>
      <c r="E76" s="28" t="s">
        <v>1345</v>
      </c>
      <c r="F76" s="29"/>
      <c r="G76" s="30" t="s">
        <v>25</v>
      </c>
      <c r="H76" s="31">
        <v>3</v>
      </c>
      <c r="I76" s="32" t="s">
        <v>50</v>
      </c>
      <c r="J76" s="33">
        <v>4</v>
      </c>
      <c r="K76" s="34" t="s">
        <v>8</v>
      </c>
      <c r="L76" s="82">
        <v>209050</v>
      </c>
      <c r="M76" s="35">
        <v>6.7000000000000004E-2</v>
      </c>
    </row>
    <row r="77" spans="1:13" s="101" customFormat="1" x14ac:dyDescent="0.25">
      <c r="A77" s="26">
        <v>879</v>
      </c>
      <c r="B77" s="26">
        <v>94386</v>
      </c>
      <c r="C77" s="27" t="s">
        <v>1343</v>
      </c>
      <c r="D77" s="27" t="str">
        <f t="shared" si="2"/>
        <v>MERULEX I.F.A CO                 PL 20KG</v>
      </c>
      <c r="E77" s="28" t="s">
        <v>1342</v>
      </c>
      <c r="F77" s="29"/>
      <c r="G77" s="30"/>
      <c r="H77" s="31">
        <v>20</v>
      </c>
      <c r="I77" s="32" t="s">
        <v>50</v>
      </c>
      <c r="J77" s="33">
        <v>1</v>
      </c>
      <c r="K77" s="34" t="s">
        <v>8</v>
      </c>
      <c r="L77" s="82">
        <v>883550</v>
      </c>
      <c r="M77" s="35">
        <v>6.7000000000000004E-2</v>
      </c>
    </row>
    <row r="78" spans="1:13" s="101" customFormat="1" x14ac:dyDescent="0.25">
      <c r="A78" s="26">
        <v>878</v>
      </c>
      <c r="B78" s="26">
        <v>94388</v>
      </c>
      <c r="C78" s="27" t="s">
        <v>1341</v>
      </c>
      <c r="D78" s="27" t="str">
        <f t="shared" si="2"/>
        <v>MERULEX I.F.A CO                /4X3,5KG</v>
      </c>
      <c r="E78" s="28" t="s">
        <v>1342</v>
      </c>
      <c r="F78" s="29"/>
      <c r="G78" s="30"/>
      <c r="H78" s="31">
        <v>3.5</v>
      </c>
      <c r="I78" s="32" t="s">
        <v>50</v>
      </c>
      <c r="J78" s="33">
        <v>4</v>
      </c>
      <c r="K78" s="34" t="s">
        <v>8</v>
      </c>
      <c r="L78" s="82">
        <v>170600</v>
      </c>
      <c r="M78" s="35">
        <v>6.7000000000000004E-2</v>
      </c>
    </row>
    <row r="79" spans="1:13" s="101" customFormat="1" x14ac:dyDescent="0.25">
      <c r="A79" s="26">
        <v>98</v>
      </c>
      <c r="B79" s="26">
        <v>94394</v>
      </c>
      <c r="C79" s="27" t="s">
        <v>308</v>
      </c>
      <c r="D79" s="27" t="str">
        <f t="shared" si="2"/>
        <v>SIKACOLOR C WHITE CO             /4X1GAL</v>
      </c>
      <c r="E79" s="28" t="s">
        <v>306</v>
      </c>
      <c r="F79" s="29"/>
      <c r="G79" s="30" t="s">
        <v>15</v>
      </c>
      <c r="H79" s="31">
        <v>1</v>
      </c>
      <c r="I79" s="32" t="s">
        <v>1443</v>
      </c>
      <c r="J79" s="33">
        <v>4</v>
      </c>
      <c r="K79" s="34" t="s">
        <v>8</v>
      </c>
      <c r="L79" s="82">
        <v>151200</v>
      </c>
      <c r="M79" s="35">
        <v>6.4000000000000001E-2</v>
      </c>
    </row>
    <row r="80" spans="1:13" s="101" customFormat="1" x14ac:dyDescent="0.25">
      <c r="A80" s="26">
        <v>101</v>
      </c>
      <c r="B80" s="26">
        <v>94395</v>
      </c>
      <c r="C80" s="27" t="s">
        <v>311</v>
      </c>
      <c r="D80" s="27" t="str">
        <f t="shared" si="2"/>
        <v>SIKACOLOR C WHITE CO             PL 5GAL</v>
      </c>
      <c r="E80" s="28" t="s">
        <v>306</v>
      </c>
      <c r="F80" s="29"/>
      <c r="G80" s="30" t="s">
        <v>15</v>
      </c>
      <c r="H80" s="31">
        <v>5</v>
      </c>
      <c r="I80" s="32" t="s">
        <v>1443</v>
      </c>
      <c r="J80" s="33">
        <v>1</v>
      </c>
      <c r="K80" s="34" t="s">
        <v>8</v>
      </c>
      <c r="L80" s="82">
        <v>686900</v>
      </c>
      <c r="M80" s="35">
        <v>6.4000000000000001E-2</v>
      </c>
    </row>
    <row r="81" spans="1:13" s="101" customFormat="1" x14ac:dyDescent="0.25">
      <c r="A81" s="91">
        <v>356</v>
      </c>
      <c r="B81" s="91">
        <v>94397</v>
      </c>
      <c r="C81" s="92" t="s">
        <v>695</v>
      </c>
      <c r="D81" s="121" t="str">
        <f>CONCATENATE(UPPER(C81),$D$3)</f>
        <v>SIKAFERROGARD-903 CO             PL 20KG "E"</v>
      </c>
      <c r="E81" s="93" t="s">
        <v>696</v>
      </c>
      <c r="F81" s="94"/>
      <c r="G81" s="95"/>
      <c r="H81" s="96">
        <v>20</v>
      </c>
      <c r="I81" s="97" t="s">
        <v>50</v>
      </c>
      <c r="J81" s="98">
        <v>1</v>
      </c>
      <c r="K81" s="99" t="s">
        <v>8</v>
      </c>
      <c r="L81" s="82">
        <v>910300</v>
      </c>
      <c r="M81" s="100">
        <v>8.6999999999999994E-2</v>
      </c>
    </row>
    <row r="82" spans="1:13" s="101" customFormat="1" x14ac:dyDescent="0.25">
      <c r="A82" s="91">
        <v>357</v>
      </c>
      <c r="B82" s="91">
        <v>94398</v>
      </c>
      <c r="C82" s="92" t="s">
        <v>697</v>
      </c>
      <c r="D82" s="121" t="str">
        <f>CONCATENATE(UPPER(C82),$D$3)</f>
        <v>SIKAFERROGARD-903 CO            DR 200KG "E"</v>
      </c>
      <c r="E82" s="93" t="s">
        <v>696</v>
      </c>
      <c r="F82" s="94"/>
      <c r="G82" s="95"/>
      <c r="H82" s="96">
        <v>200</v>
      </c>
      <c r="I82" s="97" t="s">
        <v>50</v>
      </c>
      <c r="J82" s="98">
        <v>1</v>
      </c>
      <c r="K82" s="99" t="s">
        <v>8</v>
      </c>
      <c r="L82" s="82">
        <v>6847200</v>
      </c>
      <c r="M82" s="100">
        <v>8.6999999999999994E-2</v>
      </c>
    </row>
    <row r="83" spans="1:13" s="101" customFormat="1" x14ac:dyDescent="0.25">
      <c r="A83" s="26">
        <v>426</v>
      </c>
      <c r="B83" s="26">
        <v>94421</v>
      </c>
      <c r="C83" s="27" t="s">
        <v>794</v>
      </c>
      <c r="D83" s="27" t="str">
        <f>UPPER(C83)</f>
        <v>SIKATOP ARMATEC-108 (AB) CO          4KG</v>
      </c>
      <c r="E83" s="28" t="s">
        <v>795</v>
      </c>
      <c r="F83" s="29"/>
      <c r="G83" s="30"/>
      <c r="H83" s="31">
        <v>4</v>
      </c>
      <c r="I83" s="32" t="s">
        <v>50</v>
      </c>
      <c r="J83" s="33">
        <v>1</v>
      </c>
      <c r="K83" s="34" t="s">
        <v>8</v>
      </c>
      <c r="L83" s="82">
        <v>198200</v>
      </c>
      <c r="M83" s="35">
        <v>9.7000000000000003E-2</v>
      </c>
    </row>
    <row r="84" spans="1:13" s="101" customFormat="1" x14ac:dyDescent="0.25">
      <c r="A84" s="91">
        <v>448</v>
      </c>
      <c r="B84" s="91">
        <v>94480</v>
      </c>
      <c r="C84" s="92" t="s">
        <v>822</v>
      </c>
      <c r="D84" s="121" t="str">
        <f t="shared" ref="D84:D93" si="3">CONCATENATE(UPPER(C84),$D$3)</f>
        <v>SIKAFLOOR EPOCEM MODUL (AB) CO    /6X4KG "E"</v>
      </c>
      <c r="E84" s="93" t="s">
        <v>823</v>
      </c>
      <c r="F84" s="94"/>
      <c r="G84" s="95"/>
      <c r="H84" s="96">
        <v>4</v>
      </c>
      <c r="I84" s="97" t="s">
        <v>50</v>
      </c>
      <c r="J84" s="98">
        <v>6</v>
      </c>
      <c r="K84" s="99" t="s">
        <v>8</v>
      </c>
      <c r="L84" s="82">
        <v>526750</v>
      </c>
      <c r="M84" s="100">
        <v>8.199999999999999E-2</v>
      </c>
    </row>
    <row r="85" spans="1:13" s="101" customFormat="1" x14ac:dyDescent="0.25">
      <c r="A85" s="91">
        <v>649</v>
      </c>
      <c r="B85" s="91">
        <v>94481</v>
      </c>
      <c r="C85" s="92" t="s">
        <v>1047</v>
      </c>
      <c r="D85" s="121" t="str">
        <f t="shared" si="3"/>
        <v>SIKAFLOOR-81EC (C) CO            BG 19KG "E"</v>
      </c>
      <c r="E85" s="93" t="s">
        <v>1048</v>
      </c>
      <c r="F85" s="94"/>
      <c r="G85" s="95"/>
      <c r="H85" s="96">
        <v>19</v>
      </c>
      <c r="I85" s="97" t="s">
        <v>50</v>
      </c>
      <c r="J85" s="98">
        <v>1</v>
      </c>
      <c r="K85" s="99" t="s">
        <v>8</v>
      </c>
      <c r="L85" s="82">
        <v>195100</v>
      </c>
      <c r="M85" s="100">
        <v>8.199999999999999E-2</v>
      </c>
    </row>
    <row r="86" spans="1:13" s="101" customFormat="1" x14ac:dyDescent="0.25">
      <c r="A86" s="91">
        <v>650</v>
      </c>
      <c r="B86" s="91">
        <v>94482</v>
      </c>
      <c r="C86" s="92" t="s">
        <v>1049</v>
      </c>
      <c r="D86" s="121" t="str">
        <f t="shared" si="3"/>
        <v>SIKAFLOOR-82EC (C) CO            BG 25KG "E"</v>
      </c>
      <c r="E86" s="93" t="s">
        <v>1050</v>
      </c>
      <c r="F86" s="94"/>
      <c r="G86" s="95"/>
      <c r="H86" s="96">
        <v>25</v>
      </c>
      <c r="I86" s="97" t="s">
        <v>50</v>
      </c>
      <c r="J86" s="98">
        <v>1</v>
      </c>
      <c r="K86" s="99" t="s">
        <v>8</v>
      </c>
      <c r="L86" s="82">
        <v>256700</v>
      </c>
      <c r="M86" s="100">
        <v>8.199999999999999E-2</v>
      </c>
    </row>
    <row r="87" spans="1:13" s="101" customFormat="1" x14ac:dyDescent="0.25">
      <c r="A87" s="91">
        <v>627</v>
      </c>
      <c r="B87" s="91">
        <v>94496</v>
      </c>
      <c r="C87" s="92" t="s">
        <v>1028</v>
      </c>
      <c r="D87" s="121" t="str">
        <f t="shared" si="3"/>
        <v>SIKAFLOOR-3 QUARTZTOP NEUTRAL CO BG 30KG "E"</v>
      </c>
      <c r="E87" s="93" t="s">
        <v>1029</v>
      </c>
      <c r="F87" s="94"/>
      <c r="G87" s="95" t="s">
        <v>52</v>
      </c>
      <c r="H87" s="96">
        <v>30</v>
      </c>
      <c r="I87" s="97" t="s">
        <v>50</v>
      </c>
      <c r="J87" s="98">
        <v>1</v>
      </c>
      <c r="K87" s="99" t="s">
        <v>8</v>
      </c>
      <c r="L87" s="82">
        <v>74750</v>
      </c>
      <c r="M87" s="100">
        <v>7.7000000000000013E-2</v>
      </c>
    </row>
    <row r="88" spans="1:13" s="101" customFormat="1" x14ac:dyDescent="0.25">
      <c r="A88" s="91">
        <v>631</v>
      </c>
      <c r="B88" s="91">
        <v>94497</v>
      </c>
      <c r="C88" s="92" t="s">
        <v>1033</v>
      </c>
      <c r="D88" s="121" t="str">
        <f t="shared" si="3"/>
        <v>SIKAFLOOR-3 QUARTZTOP NEUTRAL CO BG 50KG "E"</v>
      </c>
      <c r="E88" s="93" t="s">
        <v>1029</v>
      </c>
      <c r="F88" s="94"/>
      <c r="G88" s="95" t="s">
        <v>52</v>
      </c>
      <c r="H88" s="96">
        <v>50</v>
      </c>
      <c r="I88" s="97" t="s">
        <v>50</v>
      </c>
      <c r="J88" s="98">
        <v>1</v>
      </c>
      <c r="K88" s="99" t="s">
        <v>8</v>
      </c>
      <c r="L88" s="82">
        <v>91200</v>
      </c>
      <c r="M88" s="100">
        <v>7.7000000000000013E-2</v>
      </c>
    </row>
    <row r="89" spans="1:13" s="101" customFormat="1" x14ac:dyDescent="0.25">
      <c r="A89" s="91">
        <v>546</v>
      </c>
      <c r="B89" s="91">
        <v>94498</v>
      </c>
      <c r="C89" s="92" t="s">
        <v>946</v>
      </c>
      <c r="D89" s="121" t="str">
        <f t="shared" si="3"/>
        <v>SIKADUR-501 (O,3-1,18MM)       BG 32,5KG "E"</v>
      </c>
      <c r="E89" s="93" t="s">
        <v>947</v>
      </c>
      <c r="F89" s="94"/>
      <c r="G89" s="95"/>
      <c r="H89" s="96">
        <v>32.5</v>
      </c>
      <c r="I89" s="97" t="s">
        <v>50</v>
      </c>
      <c r="J89" s="98">
        <v>1</v>
      </c>
      <c r="K89" s="99" t="s">
        <v>8</v>
      </c>
      <c r="L89" s="82">
        <v>169350</v>
      </c>
      <c r="M89" s="100">
        <v>6.7000000000000004E-2</v>
      </c>
    </row>
    <row r="90" spans="1:13" s="101" customFormat="1" x14ac:dyDescent="0.25">
      <c r="A90" s="91">
        <v>547</v>
      </c>
      <c r="B90" s="91">
        <v>94499</v>
      </c>
      <c r="C90" s="92" t="s">
        <v>948</v>
      </c>
      <c r="D90" s="121" t="str">
        <f t="shared" si="3"/>
        <v>SIKADUR-504 (0,075-0,21MM)       BG 13KG "E"</v>
      </c>
      <c r="E90" s="93" t="s">
        <v>949</v>
      </c>
      <c r="F90" s="94"/>
      <c r="G90" s="95"/>
      <c r="H90" s="96">
        <v>13</v>
      </c>
      <c r="I90" s="97" t="s">
        <v>50</v>
      </c>
      <c r="J90" s="98">
        <v>1</v>
      </c>
      <c r="K90" s="99" t="s">
        <v>8</v>
      </c>
      <c r="L90" s="82">
        <v>67300</v>
      </c>
      <c r="M90" s="100">
        <v>6.7000000000000004E-2</v>
      </c>
    </row>
    <row r="91" spans="1:13" s="101" customFormat="1" x14ac:dyDescent="0.25">
      <c r="A91" s="91">
        <v>548</v>
      </c>
      <c r="B91" s="91">
        <v>94501</v>
      </c>
      <c r="C91" s="92" t="s">
        <v>950</v>
      </c>
      <c r="D91" s="121" t="str">
        <f t="shared" si="3"/>
        <v>SIKADUR-506 (0,075-2,36MM) CO    BG 30KG "E"</v>
      </c>
      <c r="E91" s="93" t="s">
        <v>951</v>
      </c>
      <c r="F91" s="94"/>
      <c r="G91" s="95"/>
      <c r="H91" s="96">
        <v>30</v>
      </c>
      <c r="I91" s="97" t="s">
        <v>50</v>
      </c>
      <c r="J91" s="98">
        <v>1</v>
      </c>
      <c r="K91" s="99" t="s">
        <v>8</v>
      </c>
      <c r="L91" s="82">
        <v>155250</v>
      </c>
      <c r="M91" s="100">
        <v>6.7000000000000004E-2</v>
      </c>
    </row>
    <row r="92" spans="1:13" s="101" customFormat="1" x14ac:dyDescent="0.25">
      <c r="A92" s="91">
        <v>545</v>
      </c>
      <c r="B92" s="91">
        <v>94504</v>
      </c>
      <c r="C92" s="92" t="s">
        <v>944</v>
      </c>
      <c r="D92" s="121" t="str">
        <f t="shared" si="3"/>
        <v>SIKADUR EXTENDER T            /30X0,13KG "E"</v>
      </c>
      <c r="E92" s="93" t="s">
        <v>945</v>
      </c>
      <c r="F92" s="94"/>
      <c r="G92" s="95"/>
      <c r="H92" s="96">
        <v>0.13</v>
      </c>
      <c r="I92" s="97" t="s">
        <v>50</v>
      </c>
      <c r="J92" s="98">
        <v>30</v>
      </c>
      <c r="K92" s="99" t="s">
        <v>8</v>
      </c>
      <c r="L92" s="82">
        <v>118300</v>
      </c>
      <c r="M92" s="100">
        <v>6.7000000000000004E-2</v>
      </c>
    </row>
    <row r="93" spans="1:13" s="101" customFormat="1" x14ac:dyDescent="0.25">
      <c r="A93" s="91">
        <v>551</v>
      </c>
      <c r="B93" s="91">
        <v>94505</v>
      </c>
      <c r="C93" s="92" t="s">
        <v>955</v>
      </c>
      <c r="D93" s="121" t="str">
        <f t="shared" si="3"/>
        <v>SIKADUR-510 CO                   BG 40KG "E"</v>
      </c>
      <c r="E93" s="93" t="s">
        <v>953</v>
      </c>
      <c r="F93" s="94"/>
      <c r="G93" s="95" t="s">
        <v>52</v>
      </c>
      <c r="H93" s="96">
        <v>40</v>
      </c>
      <c r="I93" s="97" t="s">
        <v>50</v>
      </c>
      <c r="J93" s="98">
        <v>1</v>
      </c>
      <c r="K93" s="99" t="s">
        <v>8</v>
      </c>
      <c r="L93" s="82">
        <v>178600</v>
      </c>
      <c r="M93" s="100">
        <v>6.7000000000000004E-2</v>
      </c>
    </row>
    <row r="94" spans="1:13" s="101" customFormat="1" x14ac:dyDescent="0.25">
      <c r="A94" s="26">
        <v>876</v>
      </c>
      <c r="B94" s="26">
        <v>94507</v>
      </c>
      <c r="C94" s="27" t="s">
        <v>1338</v>
      </c>
      <c r="D94" s="27" t="str">
        <f t="shared" ref="D94:D116" si="4">UPPER(C94)</f>
        <v>IGOL IMPRIMANTE CO                /4X3KG</v>
      </c>
      <c r="E94" s="28" t="s">
        <v>1339</v>
      </c>
      <c r="F94" s="29"/>
      <c r="G94" s="30"/>
      <c r="H94" s="31">
        <v>3</v>
      </c>
      <c r="I94" s="32" t="s">
        <v>50</v>
      </c>
      <c r="J94" s="33">
        <v>4</v>
      </c>
      <c r="K94" s="34" t="s">
        <v>8</v>
      </c>
      <c r="L94" s="82">
        <v>94950</v>
      </c>
      <c r="M94" s="35">
        <v>6.7000000000000004E-2</v>
      </c>
    </row>
    <row r="95" spans="1:13" s="101" customFormat="1" x14ac:dyDescent="0.25">
      <c r="A95" s="26">
        <v>877</v>
      </c>
      <c r="B95" s="26">
        <v>94508</v>
      </c>
      <c r="C95" s="27" t="s">
        <v>1340</v>
      </c>
      <c r="D95" s="27" t="str">
        <f t="shared" si="4"/>
        <v>IGOL IMPRIMANTE CO               PL 16KG</v>
      </c>
      <c r="E95" s="28" t="s">
        <v>1339</v>
      </c>
      <c r="F95" s="29"/>
      <c r="G95" s="30"/>
      <c r="H95" s="31">
        <v>16</v>
      </c>
      <c r="I95" s="32" t="s">
        <v>50</v>
      </c>
      <c r="J95" s="33">
        <v>4</v>
      </c>
      <c r="K95" s="34" t="s">
        <v>8</v>
      </c>
      <c r="L95" s="82">
        <v>468850</v>
      </c>
      <c r="M95" s="35">
        <v>6.7000000000000004E-2</v>
      </c>
    </row>
    <row r="96" spans="1:13" s="101" customFormat="1" x14ac:dyDescent="0.25">
      <c r="A96" s="26">
        <v>691</v>
      </c>
      <c r="B96" s="26">
        <v>94545</v>
      </c>
      <c r="C96" s="27" t="s">
        <v>1099</v>
      </c>
      <c r="D96" s="27" t="str">
        <f t="shared" si="4"/>
        <v>ALUMOL CO                      /12X0,8KG</v>
      </c>
      <c r="E96" s="28" t="s">
        <v>1100</v>
      </c>
      <c r="F96" s="29"/>
      <c r="G96" s="30"/>
      <c r="H96" s="31">
        <v>0.8</v>
      </c>
      <c r="I96" s="32" t="s">
        <v>50</v>
      </c>
      <c r="J96" s="33">
        <v>12</v>
      </c>
      <c r="K96" s="34" t="s">
        <v>8</v>
      </c>
      <c r="L96" s="82">
        <v>58700</v>
      </c>
      <c r="M96" s="35">
        <v>7.2499999999999995E-2</v>
      </c>
    </row>
    <row r="97" spans="1:13" s="101" customFormat="1" x14ac:dyDescent="0.25">
      <c r="A97" s="26">
        <v>692</v>
      </c>
      <c r="B97" s="26">
        <v>94546</v>
      </c>
      <c r="C97" s="27" t="s">
        <v>1101</v>
      </c>
      <c r="D97" s="27" t="str">
        <f t="shared" si="4"/>
        <v>ALUMOL CO                         /4X3KG</v>
      </c>
      <c r="E97" s="28" t="s">
        <v>1100</v>
      </c>
      <c r="F97" s="29"/>
      <c r="G97" s="30"/>
      <c r="H97" s="31">
        <v>3</v>
      </c>
      <c r="I97" s="32" t="s">
        <v>50</v>
      </c>
      <c r="J97" s="33">
        <v>4</v>
      </c>
      <c r="K97" s="34" t="s">
        <v>8</v>
      </c>
      <c r="L97" s="82">
        <v>179550</v>
      </c>
      <c r="M97" s="35">
        <v>7.2499999999999995E-2</v>
      </c>
    </row>
    <row r="98" spans="1:13" s="101" customFormat="1" x14ac:dyDescent="0.25">
      <c r="A98" s="26">
        <v>693</v>
      </c>
      <c r="B98" s="26">
        <v>94547</v>
      </c>
      <c r="C98" s="27" t="s">
        <v>1102</v>
      </c>
      <c r="D98" s="27" t="str">
        <f t="shared" si="4"/>
        <v>ALUMOL CO                        PL 16KG</v>
      </c>
      <c r="E98" s="28" t="s">
        <v>1100</v>
      </c>
      <c r="F98" s="29"/>
      <c r="G98" s="30"/>
      <c r="H98" s="31">
        <v>16</v>
      </c>
      <c r="I98" s="32" t="s">
        <v>50</v>
      </c>
      <c r="J98" s="33">
        <v>1</v>
      </c>
      <c r="K98" s="34" t="s">
        <v>8</v>
      </c>
      <c r="L98" s="82">
        <v>807800</v>
      </c>
      <c r="M98" s="35">
        <v>7.2499999999999995E-2</v>
      </c>
    </row>
    <row r="99" spans="1:13" s="101" customFormat="1" x14ac:dyDescent="0.25">
      <c r="A99" s="26">
        <v>704</v>
      </c>
      <c r="B99" s="26">
        <v>94590</v>
      </c>
      <c r="C99" s="27" t="s">
        <v>1117</v>
      </c>
      <c r="D99" s="27" t="str">
        <f t="shared" si="4"/>
        <v>IGASOL CUBIERTA CO               PL 20KG</v>
      </c>
      <c r="E99" s="28" t="s">
        <v>1114</v>
      </c>
      <c r="F99" s="29"/>
      <c r="G99" s="30"/>
      <c r="H99" s="31">
        <v>20</v>
      </c>
      <c r="I99" s="32" t="s">
        <v>50</v>
      </c>
      <c r="J99" s="33">
        <v>1</v>
      </c>
      <c r="K99" s="34" t="s">
        <v>8</v>
      </c>
      <c r="L99" s="82">
        <v>357700</v>
      </c>
      <c r="M99" s="35">
        <v>8.2500000000000004E-2</v>
      </c>
    </row>
    <row r="100" spans="1:13" s="101" customFormat="1" x14ac:dyDescent="0.25">
      <c r="A100" s="26">
        <v>702</v>
      </c>
      <c r="B100" s="26">
        <v>94591</v>
      </c>
      <c r="C100" s="27" t="s">
        <v>1115</v>
      </c>
      <c r="D100" s="27" t="str">
        <f t="shared" si="4"/>
        <v>IGASOL CUBIERTA CO              /4X3,5KG</v>
      </c>
      <c r="E100" s="28" t="s">
        <v>1114</v>
      </c>
      <c r="F100" s="29"/>
      <c r="G100" s="30"/>
      <c r="H100" s="31">
        <v>3.5</v>
      </c>
      <c r="I100" s="32" t="s">
        <v>50</v>
      </c>
      <c r="J100" s="33">
        <v>4</v>
      </c>
      <c r="K100" s="34" t="s">
        <v>8</v>
      </c>
      <c r="L100" s="82">
        <v>90600</v>
      </c>
      <c r="M100" s="35">
        <v>8.2500000000000004E-2</v>
      </c>
    </row>
    <row r="101" spans="1:13" s="101" customFormat="1" x14ac:dyDescent="0.25">
      <c r="A101" s="26">
        <v>705</v>
      </c>
      <c r="B101" s="26">
        <v>94592</v>
      </c>
      <c r="C101" s="27" t="s">
        <v>1118</v>
      </c>
      <c r="D101" s="27" t="str">
        <f t="shared" si="4"/>
        <v>IGASOL CUBIERTA CO              DR 200KG</v>
      </c>
      <c r="E101" s="28" t="s">
        <v>1114</v>
      </c>
      <c r="F101" s="29"/>
      <c r="G101" s="30"/>
      <c r="H101" s="31">
        <v>200</v>
      </c>
      <c r="I101" s="32" t="s">
        <v>50</v>
      </c>
      <c r="J101" s="33">
        <v>1</v>
      </c>
      <c r="K101" s="34" t="s">
        <v>8</v>
      </c>
      <c r="L101" s="82">
        <v>3006000</v>
      </c>
      <c r="M101" s="35">
        <v>8.2500000000000004E-2</v>
      </c>
    </row>
    <row r="102" spans="1:13" s="101" customFormat="1" x14ac:dyDescent="0.25">
      <c r="A102" s="26">
        <v>695</v>
      </c>
      <c r="B102" s="26">
        <v>94593</v>
      </c>
      <c r="C102" s="27" t="s">
        <v>1105</v>
      </c>
      <c r="D102" s="27" t="str">
        <f t="shared" si="4"/>
        <v>EMULSION ASFALTICA SIKA CO      /4X3,5KG</v>
      </c>
      <c r="E102" s="28" t="s">
        <v>1104</v>
      </c>
      <c r="F102" s="48"/>
      <c r="G102" s="30"/>
      <c r="H102" s="31">
        <v>3.5</v>
      </c>
      <c r="I102" s="32" t="s">
        <v>50</v>
      </c>
      <c r="J102" s="33">
        <v>4</v>
      </c>
      <c r="K102" s="34" t="s">
        <v>8</v>
      </c>
      <c r="L102" s="82">
        <v>42300</v>
      </c>
      <c r="M102" s="35">
        <v>8.2500000000000004E-2</v>
      </c>
    </row>
    <row r="103" spans="1:13" s="101" customFormat="1" x14ac:dyDescent="0.25">
      <c r="A103" s="26">
        <v>698</v>
      </c>
      <c r="B103" s="26">
        <v>94594</v>
      </c>
      <c r="C103" s="27" t="s">
        <v>1108</v>
      </c>
      <c r="D103" s="27" t="str">
        <f t="shared" si="4"/>
        <v>EMULSION ASFALTICA SIKA CO      DR 200KG</v>
      </c>
      <c r="E103" s="28" t="s">
        <v>1104</v>
      </c>
      <c r="F103" s="29"/>
      <c r="G103" s="30"/>
      <c r="H103" s="31">
        <v>200</v>
      </c>
      <c r="I103" s="32" t="s">
        <v>50</v>
      </c>
      <c r="J103" s="33">
        <v>1</v>
      </c>
      <c r="K103" s="34" t="s">
        <v>8</v>
      </c>
      <c r="L103" s="82">
        <v>1665800</v>
      </c>
      <c r="M103" s="35">
        <v>8.2500000000000004E-2</v>
      </c>
    </row>
    <row r="104" spans="1:13" s="101" customFormat="1" x14ac:dyDescent="0.25">
      <c r="A104" s="26">
        <v>697</v>
      </c>
      <c r="B104" s="26">
        <v>94595</v>
      </c>
      <c r="C104" s="27" t="s">
        <v>1107</v>
      </c>
      <c r="D104" s="27" t="str">
        <f t="shared" si="4"/>
        <v>EMULSION ASFALTICA SIKA CO       PL 18KG</v>
      </c>
      <c r="E104" s="28" t="s">
        <v>1104</v>
      </c>
      <c r="F104" s="48"/>
      <c r="G104" s="30"/>
      <c r="H104" s="31">
        <v>18</v>
      </c>
      <c r="I104" s="32" t="s">
        <v>50</v>
      </c>
      <c r="J104" s="33">
        <v>1</v>
      </c>
      <c r="K104" s="34" t="s">
        <v>8</v>
      </c>
      <c r="L104" s="82">
        <v>176950</v>
      </c>
      <c r="M104" s="35">
        <v>8.2500000000000004E-2</v>
      </c>
    </row>
    <row r="105" spans="1:13" s="101" customFormat="1" x14ac:dyDescent="0.25">
      <c r="A105" s="26">
        <v>355</v>
      </c>
      <c r="B105" s="26">
        <v>94621</v>
      </c>
      <c r="C105" s="27" t="s">
        <v>693</v>
      </c>
      <c r="D105" s="27" t="str">
        <f t="shared" si="4"/>
        <v>SIKACONCRELISTO RE 5000(AB)         80KG</v>
      </c>
      <c r="E105" s="28" t="s">
        <v>694</v>
      </c>
      <c r="F105" s="29"/>
      <c r="G105" s="30"/>
      <c r="H105" s="31">
        <v>80</v>
      </c>
      <c r="I105" s="32" t="s">
        <v>50</v>
      </c>
      <c r="J105" s="33">
        <v>1</v>
      </c>
      <c r="K105" s="34" t="s">
        <v>8</v>
      </c>
      <c r="L105" s="82">
        <v>316250</v>
      </c>
      <c r="M105" s="35">
        <v>8.199999999999999E-2</v>
      </c>
    </row>
    <row r="106" spans="1:13" s="101" customFormat="1" x14ac:dyDescent="0.25">
      <c r="A106" s="26">
        <v>376</v>
      </c>
      <c r="B106" s="26">
        <v>94622</v>
      </c>
      <c r="C106" s="27" t="s">
        <v>721</v>
      </c>
      <c r="D106" s="27" t="str">
        <f t="shared" si="4"/>
        <v>SIKADUR-31 ADHESIVO (AB) CO    /16X0,5KG</v>
      </c>
      <c r="E106" s="28" t="s">
        <v>722</v>
      </c>
      <c r="F106" s="29"/>
      <c r="G106" s="30"/>
      <c r="H106" s="31">
        <v>0.5</v>
      </c>
      <c r="I106" s="32" t="s">
        <v>50</v>
      </c>
      <c r="J106" s="33">
        <v>16</v>
      </c>
      <c r="K106" s="34" t="s">
        <v>8</v>
      </c>
      <c r="L106" s="82">
        <v>93950</v>
      </c>
      <c r="M106" s="35">
        <v>6.7000000000000004E-2</v>
      </c>
    </row>
    <row r="107" spans="1:13" s="101" customFormat="1" x14ac:dyDescent="0.25">
      <c r="A107" s="26">
        <v>377</v>
      </c>
      <c r="B107" s="26">
        <v>94626</v>
      </c>
      <c r="C107" s="27" t="s">
        <v>723</v>
      </c>
      <c r="D107" s="27" t="str">
        <f t="shared" si="4"/>
        <v>SIKADUR-31 ADHESIVO (AB) CO       /4X2KG</v>
      </c>
      <c r="E107" s="28" t="s">
        <v>722</v>
      </c>
      <c r="F107" s="29"/>
      <c r="G107" s="30"/>
      <c r="H107" s="31">
        <v>2</v>
      </c>
      <c r="I107" s="32" t="s">
        <v>50</v>
      </c>
      <c r="J107" s="33">
        <v>12</v>
      </c>
      <c r="K107" s="34" t="s">
        <v>8</v>
      </c>
      <c r="L107" s="82">
        <v>321800</v>
      </c>
      <c r="M107" s="35">
        <v>6.7000000000000004E-2</v>
      </c>
    </row>
    <row r="108" spans="1:13" s="101" customFormat="1" x14ac:dyDescent="0.25">
      <c r="A108" s="26">
        <v>379</v>
      </c>
      <c r="B108" s="26">
        <v>94634</v>
      </c>
      <c r="C108" s="27" t="s">
        <v>725</v>
      </c>
      <c r="D108" s="27" t="str">
        <f t="shared" si="4"/>
        <v>SIKADUR-32 PRIMER (AB) CO         /9X1KG</v>
      </c>
      <c r="E108" s="28" t="s">
        <v>726</v>
      </c>
      <c r="F108" s="29"/>
      <c r="G108" s="30"/>
      <c r="H108" s="31">
        <v>1</v>
      </c>
      <c r="I108" s="32" t="s">
        <v>50</v>
      </c>
      <c r="J108" s="33">
        <v>12</v>
      </c>
      <c r="K108" s="34" t="s">
        <v>8</v>
      </c>
      <c r="L108" s="82">
        <v>180500</v>
      </c>
      <c r="M108" s="35">
        <v>6.7000000000000004E-2</v>
      </c>
    </row>
    <row r="109" spans="1:13" s="101" customFormat="1" x14ac:dyDescent="0.25">
      <c r="A109" s="26">
        <v>380</v>
      </c>
      <c r="B109" s="26">
        <v>94637</v>
      </c>
      <c r="C109" s="27" t="s">
        <v>727</v>
      </c>
      <c r="D109" s="27" t="str">
        <f t="shared" si="4"/>
        <v>SIKADUR-32 PRIMER (AB) CO         /4X3KG</v>
      </c>
      <c r="E109" s="28" t="s">
        <v>726</v>
      </c>
      <c r="F109" s="29"/>
      <c r="G109" s="30"/>
      <c r="H109" s="31">
        <v>3</v>
      </c>
      <c r="I109" s="32" t="s">
        <v>50</v>
      </c>
      <c r="J109" s="33">
        <v>6</v>
      </c>
      <c r="K109" s="34" t="s">
        <v>8</v>
      </c>
      <c r="L109" s="82">
        <v>461900</v>
      </c>
      <c r="M109" s="35">
        <v>6.7000000000000004E-2</v>
      </c>
    </row>
    <row r="110" spans="1:13" s="101" customFormat="1" x14ac:dyDescent="0.25">
      <c r="A110" s="26">
        <v>383</v>
      </c>
      <c r="B110" s="26">
        <v>94643</v>
      </c>
      <c r="C110" s="27" t="s">
        <v>729</v>
      </c>
      <c r="D110" s="27" t="str">
        <f t="shared" si="4"/>
        <v>SIKADUR-32 PRIMER L (AB) CO       /9X1KG</v>
      </c>
      <c r="E110" s="28" t="s">
        <v>730</v>
      </c>
      <c r="F110" s="29"/>
      <c r="G110" s="30"/>
      <c r="H110" s="31">
        <v>1</v>
      </c>
      <c r="I110" s="32" t="s">
        <v>50</v>
      </c>
      <c r="J110" s="33">
        <v>9</v>
      </c>
      <c r="K110" s="34" t="s">
        <v>8</v>
      </c>
      <c r="L110" s="82">
        <v>155750</v>
      </c>
      <c r="M110" s="35">
        <v>6.7000000000000004E-2</v>
      </c>
    </row>
    <row r="111" spans="1:13" s="101" customFormat="1" x14ac:dyDescent="0.25">
      <c r="A111" s="26">
        <v>384</v>
      </c>
      <c r="B111" s="26">
        <v>94647</v>
      </c>
      <c r="C111" s="27" t="s">
        <v>731</v>
      </c>
      <c r="D111" s="27" t="str">
        <f t="shared" si="4"/>
        <v>SIKADUR-32 PRIMER L (AB) CO       /4X3KG</v>
      </c>
      <c r="E111" s="28" t="s">
        <v>730</v>
      </c>
      <c r="F111" s="29"/>
      <c r="G111" s="30"/>
      <c r="H111" s="31">
        <v>3</v>
      </c>
      <c r="I111" s="32" t="s">
        <v>50</v>
      </c>
      <c r="J111" s="33">
        <v>6</v>
      </c>
      <c r="K111" s="34" t="s">
        <v>8</v>
      </c>
      <c r="L111" s="82">
        <v>392300</v>
      </c>
      <c r="M111" s="35">
        <v>6.7000000000000004E-2</v>
      </c>
    </row>
    <row r="112" spans="1:13" s="101" customFormat="1" x14ac:dyDescent="0.25">
      <c r="A112" s="26">
        <v>365</v>
      </c>
      <c r="B112" s="26">
        <v>94664</v>
      </c>
      <c r="C112" s="27" t="s">
        <v>709</v>
      </c>
      <c r="D112" s="27" t="str">
        <f t="shared" si="4"/>
        <v>SIKADUR-42 ANCLAJE (ABC) CO/MX       5KG</v>
      </c>
      <c r="E112" s="28" t="s">
        <v>710</v>
      </c>
      <c r="F112" s="29"/>
      <c r="G112" s="30"/>
      <c r="H112" s="31">
        <v>5</v>
      </c>
      <c r="I112" s="32" t="s">
        <v>50</v>
      </c>
      <c r="J112" s="33">
        <v>1</v>
      </c>
      <c r="K112" s="34" t="s">
        <v>8</v>
      </c>
      <c r="L112" s="82">
        <v>557700</v>
      </c>
      <c r="M112" s="35">
        <v>8.6999999999999994E-2</v>
      </c>
    </row>
    <row r="113" spans="1:13" s="101" customFormat="1" x14ac:dyDescent="0.25">
      <c r="A113" s="26">
        <v>366</v>
      </c>
      <c r="B113" s="26">
        <v>94668</v>
      </c>
      <c r="C113" s="27" t="s">
        <v>711</v>
      </c>
      <c r="D113" s="27" t="str">
        <f t="shared" si="4"/>
        <v>SIKADUR-42 ANCLAJE (ABC) CO         15KG</v>
      </c>
      <c r="E113" s="28" t="s">
        <v>710</v>
      </c>
      <c r="F113" s="29"/>
      <c r="G113" s="30"/>
      <c r="H113" s="31">
        <v>15</v>
      </c>
      <c r="I113" s="32" t="s">
        <v>50</v>
      </c>
      <c r="J113" s="33">
        <v>1</v>
      </c>
      <c r="K113" s="34" t="s">
        <v>8</v>
      </c>
      <c r="L113" s="82">
        <v>1113550</v>
      </c>
      <c r="M113" s="35">
        <v>8.6999999999999994E-2</v>
      </c>
    </row>
    <row r="114" spans="1:13" s="101" customFormat="1" x14ac:dyDescent="0.25">
      <c r="A114" s="26">
        <v>369</v>
      </c>
      <c r="B114" s="26">
        <v>94717</v>
      </c>
      <c r="C114" s="27" t="s">
        <v>713</v>
      </c>
      <c r="D114" s="27" t="str">
        <f t="shared" si="4"/>
        <v>SIKADUR ANCHORFIX-4(AB)CO/UY/11 CTR900GR</v>
      </c>
      <c r="E114" s="28" t="s">
        <v>714</v>
      </c>
      <c r="F114" s="29"/>
      <c r="G114" s="30" t="s">
        <v>54</v>
      </c>
      <c r="H114" s="31">
        <v>1</v>
      </c>
      <c r="I114" s="32" t="s">
        <v>1448</v>
      </c>
      <c r="J114" s="33">
        <v>11</v>
      </c>
      <c r="K114" s="34" t="s">
        <v>8</v>
      </c>
      <c r="L114" s="82">
        <v>133900</v>
      </c>
      <c r="M114" s="35">
        <v>7.7000000000000013E-2</v>
      </c>
    </row>
    <row r="115" spans="1:13" s="101" customFormat="1" x14ac:dyDescent="0.25">
      <c r="A115" s="26">
        <v>371</v>
      </c>
      <c r="B115" s="26">
        <v>94722</v>
      </c>
      <c r="C115" s="27" t="s">
        <v>717</v>
      </c>
      <c r="D115" s="27" t="str">
        <f t="shared" si="4"/>
        <v>SIKADUR PANEL (AB) CO             /9X1KG</v>
      </c>
      <c r="E115" s="28" t="s">
        <v>718</v>
      </c>
      <c r="F115" s="29"/>
      <c r="G115" s="30"/>
      <c r="H115" s="31">
        <v>1</v>
      </c>
      <c r="I115" s="32" t="s">
        <v>50</v>
      </c>
      <c r="J115" s="33">
        <v>12</v>
      </c>
      <c r="K115" s="34" t="s">
        <v>8</v>
      </c>
      <c r="L115" s="82">
        <v>133300</v>
      </c>
      <c r="M115" s="35">
        <v>6.7000000000000004E-2</v>
      </c>
    </row>
    <row r="116" spans="1:13" s="101" customFormat="1" x14ac:dyDescent="0.25">
      <c r="A116" s="26">
        <v>372</v>
      </c>
      <c r="B116" s="26">
        <v>94725</v>
      </c>
      <c r="C116" s="27" t="s">
        <v>719</v>
      </c>
      <c r="D116" s="27" t="str">
        <f t="shared" si="4"/>
        <v>SIKADUR PANEL (AB) CO             /4X2KG</v>
      </c>
      <c r="E116" s="28" t="s">
        <v>718</v>
      </c>
      <c r="F116" s="29"/>
      <c r="G116" s="30"/>
      <c r="H116" s="31">
        <v>2</v>
      </c>
      <c r="I116" s="32" t="s">
        <v>50</v>
      </c>
      <c r="J116" s="33">
        <v>4</v>
      </c>
      <c r="K116" s="34" t="s">
        <v>8</v>
      </c>
      <c r="L116" s="82">
        <v>204750</v>
      </c>
      <c r="M116" s="35">
        <v>6.7000000000000004E-2</v>
      </c>
    </row>
    <row r="117" spans="1:13" s="101" customFormat="1" x14ac:dyDescent="0.25">
      <c r="A117" s="91">
        <v>386</v>
      </c>
      <c r="B117" s="91">
        <v>94900</v>
      </c>
      <c r="C117" s="92" t="s">
        <v>732</v>
      </c>
      <c r="D117" s="121" t="str">
        <f>CONCATENATE(UPPER(C117),$D$3)</f>
        <v>SIKADUR-35 HI-MOD LV (AB) CO         3KG "E"</v>
      </c>
      <c r="E117" s="93" t="s">
        <v>733</v>
      </c>
      <c r="F117" s="94"/>
      <c r="G117" s="95"/>
      <c r="H117" s="96">
        <v>3</v>
      </c>
      <c r="I117" s="97" t="s">
        <v>50</v>
      </c>
      <c r="J117" s="98">
        <v>1</v>
      </c>
      <c r="K117" s="99" t="s">
        <v>8</v>
      </c>
      <c r="L117" s="82">
        <v>992200</v>
      </c>
      <c r="M117" s="100">
        <v>7.7000000000000013E-2</v>
      </c>
    </row>
    <row r="118" spans="1:13" s="101" customFormat="1" x14ac:dyDescent="0.25">
      <c r="A118" s="91">
        <v>400</v>
      </c>
      <c r="B118" s="91">
        <v>95330</v>
      </c>
      <c r="C118" s="92" t="s">
        <v>754</v>
      </c>
      <c r="D118" s="121" t="str">
        <f>CONCATENATE(UPPER(C118),$D$3)</f>
        <v>SIKAGARD-63N (AB) LIGHT GREY CO      4KG "E"</v>
      </c>
      <c r="E118" s="93" t="s">
        <v>755</v>
      </c>
      <c r="F118" s="94"/>
      <c r="G118" s="95" t="s">
        <v>60</v>
      </c>
      <c r="H118" s="96">
        <v>4</v>
      </c>
      <c r="I118" s="97" t="s">
        <v>50</v>
      </c>
      <c r="J118" s="98">
        <v>4</v>
      </c>
      <c r="K118" s="99" t="s">
        <v>8</v>
      </c>
      <c r="L118" s="82">
        <v>1302650</v>
      </c>
      <c r="M118" s="100">
        <v>6.7000000000000004E-2</v>
      </c>
    </row>
    <row r="119" spans="1:13" s="101" customFormat="1" x14ac:dyDescent="0.25">
      <c r="A119" s="91">
        <v>665</v>
      </c>
      <c r="B119" s="91">
        <v>95334</v>
      </c>
      <c r="C119" s="92" t="s">
        <v>1066</v>
      </c>
      <c r="D119" s="121" t="str">
        <f>CONCATENATE(UPPER(C119),$D$3)</f>
        <v>SIKAGARD-63N (AB) LIGHT GREY CO     28KG "E"</v>
      </c>
      <c r="E119" s="93" t="s">
        <v>755</v>
      </c>
      <c r="F119" s="94"/>
      <c r="G119" s="95" t="s">
        <v>105</v>
      </c>
      <c r="H119" s="96">
        <v>28</v>
      </c>
      <c r="I119" s="97" t="s">
        <v>50</v>
      </c>
      <c r="J119" s="98">
        <v>1</v>
      </c>
      <c r="K119" s="99" t="s">
        <v>8</v>
      </c>
      <c r="L119" s="82">
        <v>7446100</v>
      </c>
      <c r="M119" s="100">
        <v>6.7000000000000004E-2</v>
      </c>
    </row>
    <row r="120" spans="1:13" s="101" customFormat="1" x14ac:dyDescent="0.25">
      <c r="A120" s="26">
        <v>362</v>
      </c>
      <c r="B120" s="26">
        <v>95360</v>
      </c>
      <c r="C120" s="27" t="s">
        <v>705</v>
      </c>
      <c r="D120" s="27" t="str">
        <f>UPPER(C120)</f>
        <v>SIKA URETANO (AB) WHITE CO         4,5KG</v>
      </c>
      <c r="E120" s="28" t="s">
        <v>703</v>
      </c>
      <c r="F120" s="29"/>
      <c r="G120" s="30" t="s">
        <v>57</v>
      </c>
      <c r="H120" s="31">
        <v>4.5</v>
      </c>
      <c r="I120" s="32" t="s">
        <v>50</v>
      </c>
      <c r="J120" s="33">
        <v>4</v>
      </c>
      <c r="K120" s="34" t="s">
        <v>8</v>
      </c>
      <c r="L120" s="82">
        <v>888300</v>
      </c>
      <c r="M120" s="35">
        <v>8.6999999999999994E-2</v>
      </c>
    </row>
    <row r="121" spans="1:13" s="101" customFormat="1" x14ac:dyDescent="0.25">
      <c r="A121" s="26">
        <v>360</v>
      </c>
      <c r="B121" s="38">
        <v>95363</v>
      </c>
      <c r="C121" s="39" t="s">
        <v>702</v>
      </c>
      <c r="D121" s="27" t="str">
        <f>UPPER(C121)</f>
        <v>SIKA URETANO (AB) TRANSPARENTE CO  3,5KG</v>
      </c>
      <c r="E121" s="40" t="s">
        <v>703</v>
      </c>
      <c r="F121" s="29"/>
      <c r="G121" s="41" t="s">
        <v>25</v>
      </c>
      <c r="H121" s="42">
        <v>3.5</v>
      </c>
      <c r="I121" s="43" t="s">
        <v>50</v>
      </c>
      <c r="J121" s="44">
        <v>4</v>
      </c>
      <c r="K121" s="45" t="s">
        <v>8</v>
      </c>
      <c r="L121" s="83">
        <v>758450</v>
      </c>
      <c r="M121" s="35">
        <v>9.1999999999999998E-2</v>
      </c>
    </row>
    <row r="122" spans="1:13" s="101" customFormat="1" x14ac:dyDescent="0.25">
      <c r="A122" s="26">
        <v>602</v>
      </c>
      <c r="B122" s="38">
        <v>95373</v>
      </c>
      <c r="C122" s="39" t="s">
        <v>1010</v>
      </c>
      <c r="D122" s="27" t="str">
        <f>UPPER(C122)</f>
        <v>SIKAFLOOR-2430CO (AB) YELLOW CO   /4X4KG</v>
      </c>
      <c r="E122" s="40" t="s">
        <v>180</v>
      </c>
      <c r="F122" s="29"/>
      <c r="G122" s="41" t="s">
        <v>71</v>
      </c>
      <c r="H122" s="42">
        <v>4</v>
      </c>
      <c r="I122" s="43" t="s">
        <v>50</v>
      </c>
      <c r="J122" s="44">
        <v>4</v>
      </c>
      <c r="K122" s="45" t="s">
        <v>8</v>
      </c>
      <c r="L122" s="83">
        <v>435900</v>
      </c>
      <c r="M122" s="35">
        <v>8.199999999999999E-2</v>
      </c>
    </row>
    <row r="123" spans="1:13" s="101" customFormat="1" x14ac:dyDescent="0.25">
      <c r="A123" s="91">
        <v>639</v>
      </c>
      <c r="B123" s="91">
        <v>95409</v>
      </c>
      <c r="C123" s="92" t="s">
        <v>1040</v>
      </c>
      <c r="D123" s="121" t="str">
        <f>CONCATENATE(UPPER(C123),$D$3)</f>
        <v>SIKAFLOOR-363CO (AB) RAL7035 CO    4,5KG "E"</v>
      </c>
      <c r="E123" s="93" t="s">
        <v>1041</v>
      </c>
      <c r="F123" s="94"/>
      <c r="G123" s="95" t="s">
        <v>63</v>
      </c>
      <c r="H123" s="96">
        <v>4.5</v>
      </c>
      <c r="I123" s="97" t="s">
        <v>50</v>
      </c>
      <c r="J123" s="98">
        <v>4</v>
      </c>
      <c r="K123" s="99" t="s">
        <v>8</v>
      </c>
      <c r="L123" s="82">
        <v>621950</v>
      </c>
      <c r="M123" s="100">
        <v>8.199999999999999E-2</v>
      </c>
    </row>
    <row r="124" spans="1:13" s="101" customFormat="1" x14ac:dyDescent="0.25">
      <c r="A124" s="26">
        <v>558</v>
      </c>
      <c r="B124" s="26">
        <v>95412</v>
      </c>
      <c r="C124" s="27" t="s">
        <v>964</v>
      </c>
      <c r="D124" s="27" t="str">
        <f>UPPER(C124)</f>
        <v>SIKAFLOOR CUREHARD-24 CO         PL 25KG</v>
      </c>
      <c r="E124" s="28" t="s">
        <v>965</v>
      </c>
      <c r="F124" s="29"/>
      <c r="G124" s="30"/>
      <c r="H124" s="31">
        <v>25</v>
      </c>
      <c r="I124" s="32" t="s">
        <v>50</v>
      </c>
      <c r="J124" s="33">
        <v>1</v>
      </c>
      <c r="K124" s="34" t="s">
        <v>8</v>
      </c>
      <c r="L124" s="82">
        <v>352850</v>
      </c>
      <c r="M124" s="35">
        <v>6.7000000000000004E-2</v>
      </c>
    </row>
    <row r="125" spans="1:13" s="101" customFormat="1" x14ac:dyDescent="0.25">
      <c r="A125" s="91">
        <v>521</v>
      </c>
      <c r="B125" s="91">
        <v>95494</v>
      </c>
      <c r="C125" s="92" t="s">
        <v>907</v>
      </c>
      <c r="D125" s="121" t="str">
        <f t="shared" ref="D125:D141" si="5">CONCATENATE(UPPER(C125),$D$3)</f>
        <v>IMPRIMANTE INORGANICO DE CINC (AB) 7,9KG "E"</v>
      </c>
      <c r="E125" s="93" t="s">
        <v>908</v>
      </c>
      <c r="F125" s="94"/>
      <c r="G125" s="95"/>
      <c r="H125" s="96">
        <v>1</v>
      </c>
      <c r="I125" s="97" t="s">
        <v>50</v>
      </c>
      <c r="J125" s="98">
        <v>4</v>
      </c>
      <c r="K125" s="99" t="s">
        <v>8</v>
      </c>
      <c r="L125" s="82">
        <v>655150</v>
      </c>
      <c r="M125" s="100">
        <v>9.286585678852799E-2</v>
      </c>
    </row>
    <row r="126" spans="1:13" s="101" customFormat="1" x14ac:dyDescent="0.25">
      <c r="A126" s="91">
        <v>445</v>
      </c>
      <c r="B126" s="91">
        <v>95507</v>
      </c>
      <c r="C126" s="92" t="s">
        <v>817</v>
      </c>
      <c r="D126" s="121" t="str">
        <f t="shared" si="5"/>
        <v>COALTAR EPOXICO (A) CO           /4X1GAL "E"</v>
      </c>
      <c r="E126" s="93" t="s">
        <v>818</v>
      </c>
      <c r="F126" s="94"/>
      <c r="G126" s="95"/>
      <c r="H126" s="96">
        <v>1</v>
      </c>
      <c r="I126" s="97" t="s">
        <v>1443</v>
      </c>
      <c r="J126" s="98">
        <v>4</v>
      </c>
      <c r="K126" s="99" t="s">
        <v>8</v>
      </c>
      <c r="L126" s="82">
        <v>239450</v>
      </c>
      <c r="M126" s="100">
        <v>9.286585678852799E-2</v>
      </c>
    </row>
    <row r="127" spans="1:13" s="101" customFormat="1" x14ac:dyDescent="0.25">
      <c r="A127" s="91">
        <v>446</v>
      </c>
      <c r="B127" s="91">
        <v>95508</v>
      </c>
      <c r="C127" s="92" t="s">
        <v>819</v>
      </c>
      <c r="D127" s="121" t="str">
        <f t="shared" si="5"/>
        <v>COALTAR EPOXICO (A) CO           PL 4GAL "E"</v>
      </c>
      <c r="E127" s="93" t="s">
        <v>818</v>
      </c>
      <c r="F127" s="94"/>
      <c r="G127" s="95"/>
      <c r="H127" s="96">
        <v>4</v>
      </c>
      <c r="I127" s="97" t="s">
        <v>1443</v>
      </c>
      <c r="J127" s="98">
        <v>1</v>
      </c>
      <c r="K127" s="99" t="s">
        <v>8</v>
      </c>
      <c r="L127" s="82">
        <v>929900</v>
      </c>
      <c r="M127" s="100">
        <v>9.286585678852799E-2</v>
      </c>
    </row>
    <row r="128" spans="1:13" s="101" customFormat="1" x14ac:dyDescent="0.25">
      <c r="A128" s="91">
        <v>447</v>
      </c>
      <c r="B128" s="91">
        <v>95515</v>
      </c>
      <c r="C128" s="92" t="s">
        <v>820</v>
      </c>
      <c r="D128" s="121" t="str">
        <f t="shared" si="5"/>
        <v>COLMASOLVENTE ALQUIDICO CO       PL 5GAL "E"</v>
      </c>
      <c r="E128" s="93" t="s">
        <v>821</v>
      </c>
      <c r="F128" s="94"/>
      <c r="G128" s="95"/>
      <c r="H128" s="96">
        <v>5</v>
      </c>
      <c r="I128" s="97" t="s">
        <v>1443</v>
      </c>
      <c r="J128" s="98">
        <v>1</v>
      </c>
      <c r="K128" s="99" t="s">
        <v>8</v>
      </c>
      <c r="L128" s="82">
        <v>459200</v>
      </c>
      <c r="M128" s="100">
        <v>9.286585678852799E-2</v>
      </c>
    </row>
    <row r="129" spans="1:13" s="101" customFormat="1" x14ac:dyDescent="0.25">
      <c r="A129" s="91">
        <v>531</v>
      </c>
      <c r="B129" s="91">
        <v>95527</v>
      </c>
      <c r="C129" s="92" t="s">
        <v>924</v>
      </c>
      <c r="D129" s="121" t="str">
        <f t="shared" si="5"/>
        <v>SIKA EPOXI-90HS SERIE 200 (B) CO PL 1GAL "E"</v>
      </c>
      <c r="E129" s="93" t="s">
        <v>925</v>
      </c>
      <c r="F129" s="94"/>
      <c r="G129" s="95"/>
      <c r="H129" s="96">
        <v>1</v>
      </c>
      <c r="I129" s="97" t="s">
        <v>1443</v>
      </c>
      <c r="J129" s="98">
        <v>4</v>
      </c>
      <c r="K129" s="99" t="s">
        <v>8</v>
      </c>
      <c r="L129" s="82">
        <v>331250</v>
      </c>
      <c r="M129" s="100">
        <v>9.286585678852799E-2</v>
      </c>
    </row>
    <row r="130" spans="1:13" s="101" customFormat="1" x14ac:dyDescent="0.25">
      <c r="A130" s="91">
        <v>530</v>
      </c>
      <c r="B130" s="91">
        <v>95528</v>
      </c>
      <c r="C130" s="92" t="s">
        <v>922</v>
      </c>
      <c r="D130" s="121" t="str">
        <f t="shared" si="5"/>
        <v>SIKA EPOXI-100HS SERIE 300 (A)CO PL 3GAL "E"</v>
      </c>
      <c r="E130" s="93" t="s">
        <v>923</v>
      </c>
      <c r="F130" s="94"/>
      <c r="G130" s="95" t="s">
        <v>15</v>
      </c>
      <c r="H130" s="96">
        <v>3</v>
      </c>
      <c r="I130" s="97" t="s">
        <v>1443</v>
      </c>
      <c r="J130" s="98">
        <v>1</v>
      </c>
      <c r="K130" s="99" t="s">
        <v>8</v>
      </c>
      <c r="L130" s="82">
        <v>887300</v>
      </c>
      <c r="M130" s="100">
        <v>9.286585678852799E-2</v>
      </c>
    </row>
    <row r="131" spans="1:13" s="101" customFormat="1" x14ac:dyDescent="0.25">
      <c r="A131" s="91">
        <v>467</v>
      </c>
      <c r="B131" s="91">
        <v>95530</v>
      </c>
      <c r="C131" s="92" t="s">
        <v>847</v>
      </c>
      <c r="D131" s="121" t="str">
        <f t="shared" si="5"/>
        <v>ESMALTE URETANO (B) CO           /4X1GAL "E"</v>
      </c>
      <c r="E131" s="93" t="s">
        <v>848</v>
      </c>
      <c r="F131" s="94"/>
      <c r="G131" s="95"/>
      <c r="H131" s="96">
        <v>1</v>
      </c>
      <c r="I131" s="97" t="s">
        <v>1443</v>
      </c>
      <c r="J131" s="98">
        <v>4</v>
      </c>
      <c r="K131" s="99" t="s">
        <v>8</v>
      </c>
      <c r="L131" s="82">
        <v>654450</v>
      </c>
      <c r="M131" s="100">
        <v>6.6000000000000003E-2</v>
      </c>
    </row>
    <row r="132" spans="1:13" s="101" customFormat="1" x14ac:dyDescent="0.25">
      <c r="A132" s="91">
        <v>466</v>
      </c>
      <c r="B132" s="91">
        <v>95532</v>
      </c>
      <c r="C132" s="92" t="s">
        <v>846</v>
      </c>
      <c r="D132" s="121" t="str">
        <f t="shared" si="5"/>
        <v>ESMALTE EPOXICO (B) CO           /4X1GAL "E"</v>
      </c>
      <c r="E132" s="93" t="s">
        <v>839</v>
      </c>
      <c r="F132" s="94"/>
      <c r="G132" s="95"/>
      <c r="H132" s="96">
        <v>1</v>
      </c>
      <c r="I132" s="97" t="s">
        <v>1443</v>
      </c>
      <c r="J132" s="98">
        <v>4</v>
      </c>
      <c r="K132" s="99" t="s">
        <v>8</v>
      </c>
      <c r="L132" s="82">
        <v>205600</v>
      </c>
      <c r="M132" s="100">
        <v>9.286585678852799E-2</v>
      </c>
    </row>
    <row r="133" spans="1:13" s="101" customFormat="1" x14ac:dyDescent="0.25">
      <c r="A133" s="91">
        <v>439</v>
      </c>
      <c r="B133" s="91">
        <v>95537</v>
      </c>
      <c r="C133" s="92" t="s">
        <v>808</v>
      </c>
      <c r="D133" s="121" t="str">
        <f t="shared" si="5"/>
        <v>BARRERA EPOXICA (B) CO           /4X1GAL "E"</v>
      </c>
      <c r="E133" s="93" t="s">
        <v>807</v>
      </c>
      <c r="F133" s="94"/>
      <c r="G133" s="95"/>
      <c r="H133" s="96">
        <v>1</v>
      </c>
      <c r="I133" s="97" t="s">
        <v>1443</v>
      </c>
      <c r="J133" s="98">
        <v>4</v>
      </c>
      <c r="K133" s="99" t="s">
        <v>8</v>
      </c>
      <c r="L133" s="82">
        <v>213500</v>
      </c>
      <c r="M133" s="100">
        <v>9.286585678852799E-2</v>
      </c>
    </row>
    <row r="134" spans="1:13" s="101" customFormat="1" x14ac:dyDescent="0.25">
      <c r="A134" s="91">
        <v>513</v>
      </c>
      <c r="B134" s="91">
        <v>95551</v>
      </c>
      <c r="C134" s="92" t="s">
        <v>896</v>
      </c>
      <c r="D134" s="121" t="str">
        <f t="shared" si="5"/>
        <v>IMPRIMANTE EPOXICO FOSF.CINC(A)CO/4X1GAL "E"</v>
      </c>
      <c r="E134" s="93" t="s">
        <v>897</v>
      </c>
      <c r="F134" s="94"/>
      <c r="G134" s="95"/>
      <c r="H134" s="96">
        <v>1</v>
      </c>
      <c r="I134" s="97" t="s">
        <v>1443</v>
      </c>
      <c r="J134" s="98">
        <v>4</v>
      </c>
      <c r="K134" s="99" t="s">
        <v>8</v>
      </c>
      <c r="L134" s="82">
        <v>283400</v>
      </c>
      <c r="M134" s="100">
        <v>9.286585678852799E-2</v>
      </c>
    </row>
    <row r="135" spans="1:13" s="101" customFormat="1" x14ac:dyDescent="0.25">
      <c r="A135" s="91">
        <v>515</v>
      </c>
      <c r="B135" s="91">
        <v>95552</v>
      </c>
      <c r="C135" s="92" t="s">
        <v>899</v>
      </c>
      <c r="D135" s="121" t="str">
        <f t="shared" si="5"/>
        <v>IMPRIMANTE EPOXICO FOSF.CINC(A)CO   5GAL "E"</v>
      </c>
      <c r="E135" s="93" t="s">
        <v>897</v>
      </c>
      <c r="F135" s="94"/>
      <c r="G135" s="95"/>
      <c r="H135" s="96">
        <v>5</v>
      </c>
      <c r="I135" s="97" t="s">
        <v>1443</v>
      </c>
      <c r="J135" s="98">
        <v>1</v>
      </c>
      <c r="K135" s="99" t="s">
        <v>8</v>
      </c>
      <c r="L135" s="82">
        <v>1342000</v>
      </c>
      <c r="M135" s="100">
        <v>9.286585678852799E-2</v>
      </c>
    </row>
    <row r="136" spans="1:13" s="101" customFormat="1" x14ac:dyDescent="0.25">
      <c r="A136" s="91">
        <v>514</v>
      </c>
      <c r="B136" s="91">
        <v>95553</v>
      </c>
      <c r="C136" s="92" t="s">
        <v>898</v>
      </c>
      <c r="D136" s="121" t="str">
        <f t="shared" si="5"/>
        <v>IMPRIMANTE EPOXICO FOSF.CINC(B)CO/4X1GAL "E"</v>
      </c>
      <c r="E136" s="93" t="s">
        <v>897</v>
      </c>
      <c r="F136" s="94"/>
      <c r="G136" s="95"/>
      <c r="H136" s="96">
        <v>1</v>
      </c>
      <c r="I136" s="97" t="s">
        <v>1443</v>
      </c>
      <c r="J136" s="98">
        <v>4</v>
      </c>
      <c r="K136" s="99" t="s">
        <v>8</v>
      </c>
      <c r="L136" s="82">
        <v>225150</v>
      </c>
      <c r="M136" s="100">
        <v>9.286585678852799E-2</v>
      </c>
    </row>
    <row r="137" spans="1:13" s="101" customFormat="1" x14ac:dyDescent="0.25">
      <c r="A137" s="91">
        <v>516</v>
      </c>
      <c r="B137" s="91">
        <v>95554</v>
      </c>
      <c r="C137" s="92" t="s">
        <v>900</v>
      </c>
      <c r="D137" s="121" t="str">
        <f t="shared" si="5"/>
        <v>IMPRIMANTE EPOXICO FOSF.CINC(B)CO   5GAL "E"</v>
      </c>
      <c r="E137" s="93" t="s">
        <v>897</v>
      </c>
      <c r="F137" s="94"/>
      <c r="G137" s="95"/>
      <c r="H137" s="96">
        <v>5</v>
      </c>
      <c r="I137" s="97" t="s">
        <v>1443</v>
      </c>
      <c r="J137" s="98">
        <v>1</v>
      </c>
      <c r="K137" s="99" t="s">
        <v>8</v>
      </c>
      <c r="L137" s="82">
        <v>1072550</v>
      </c>
      <c r="M137" s="100">
        <v>9.286585678852799E-2</v>
      </c>
    </row>
    <row r="138" spans="1:13" s="101" customFormat="1" x14ac:dyDescent="0.25">
      <c r="A138" s="91">
        <v>518</v>
      </c>
      <c r="B138" s="91">
        <v>95556</v>
      </c>
      <c r="C138" s="92" t="s">
        <v>903</v>
      </c>
      <c r="D138" s="121" t="str">
        <f t="shared" si="5"/>
        <v>IMPRIMANTE EPOXICO RICO CINC(A)CO   4GAL "E"</v>
      </c>
      <c r="E138" s="93" t="s">
        <v>902</v>
      </c>
      <c r="F138" s="94"/>
      <c r="G138" s="95"/>
      <c r="H138" s="96">
        <v>4</v>
      </c>
      <c r="I138" s="97" t="s">
        <v>1443</v>
      </c>
      <c r="J138" s="98">
        <v>1</v>
      </c>
      <c r="K138" s="99" t="s">
        <v>8</v>
      </c>
      <c r="L138" s="82">
        <v>3258000</v>
      </c>
      <c r="M138" s="100">
        <v>9.286585678852799E-2</v>
      </c>
    </row>
    <row r="139" spans="1:13" s="101" customFormat="1" x14ac:dyDescent="0.25">
      <c r="A139" s="91">
        <v>517</v>
      </c>
      <c r="B139" s="91">
        <v>95557</v>
      </c>
      <c r="C139" s="92" t="s">
        <v>901</v>
      </c>
      <c r="D139" s="121" t="str">
        <f t="shared" si="5"/>
        <v>IMPRIMANTE EPOXICO RICO CINC(B)CO/4X1GAL "E"</v>
      </c>
      <c r="E139" s="93" t="s">
        <v>902</v>
      </c>
      <c r="F139" s="94"/>
      <c r="G139" s="95"/>
      <c r="H139" s="96">
        <v>1</v>
      </c>
      <c r="I139" s="97" t="s">
        <v>1443</v>
      </c>
      <c r="J139" s="98">
        <v>4</v>
      </c>
      <c r="K139" s="99" t="s">
        <v>8</v>
      </c>
      <c r="L139" s="82">
        <v>321200</v>
      </c>
      <c r="M139" s="100">
        <v>9.286585678852799E-2</v>
      </c>
    </row>
    <row r="140" spans="1:13" s="101" customFormat="1" x14ac:dyDescent="0.25">
      <c r="A140" s="91">
        <v>519</v>
      </c>
      <c r="B140" s="91">
        <v>95558</v>
      </c>
      <c r="C140" s="92" t="s">
        <v>904</v>
      </c>
      <c r="D140" s="121" t="str">
        <f t="shared" si="5"/>
        <v>IMPRIMANTE EPOXICO ROJO (A) CO   /4X1GAL "E"</v>
      </c>
      <c r="E140" s="93" t="s">
        <v>905</v>
      </c>
      <c r="F140" s="94"/>
      <c r="G140" s="95" t="s">
        <v>48</v>
      </c>
      <c r="H140" s="96">
        <v>1</v>
      </c>
      <c r="I140" s="97" t="s">
        <v>1443</v>
      </c>
      <c r="J140" s="98">
        <v>4</v>
      </c>
      <c r="K140" s="99" t="s">
        <v>8</v>
      </c>
      <c r="L140" s="82">
        <v>196900</v>
      </c>
      <c r="M140" s="100">
        <v>9.286585678852799E-2</v>
      </c>
    </row>
    <row r="141" spans="1:13" s="101" customFormat="1" x14ac:dyDescent="0.25">
      <c r="A141" s="91">
        <v>520</v>
      </c>
      <c r="B141" s="91">
        <v>95569</v>
      </c>
      <c r="C141" s="92" t="s">
        <v>906</v>
      </c>
      <c r="D141" s="121" t="str">
        <f t="shared" si="5"/>
        <v>IMPRIMANTE EPOXICO ROJO (A) CO   PL 4GAL "E"</v>
      </c>
      <c r="E141" s="93" t="s">
        <v>905</v>
      </c>
      <c r="F141" s="94"/>
      <c r="G141" s="95" t="s">
        <v>48</v>
      </c>
      <c r="H141" s="96">
        <v>4</v>
      </c>
      <c r="I141" s="97" t="s">
        <v>1443</v>
      </c>
      <c r="J141" s="98">
        <v>1</v>
      </c>
      <c r="K141" s="99" t="s">
        <v>8</v>
      </c>
      <c r="L141" s="82">
        <v>735500</v>
      </c>
      <c r="M141" s="100">
        <v>9.286585678852799E-2</v>
      </c>
    </row>
    <row r="142" spans="1:13" s="101" customFormat="1" x14ac:dyDescent="0.25">
      <c r="A142" s="26">
        <v>806</v>
      </c>
      <c r="B142" s="26">
        <v>95642</v>
      </c>
      <c r="C142" s="27" t="s">
        <v>1237</v>
      </c>
      <c r="D142" s="27" t="str">
        <f>UPPER(C142)</f>
        <v>SIKAROD (1097MX3/8IN/CAR) CO/PA        M</v>
      </c>
      <c r="E142" s="28" t="s">
        <v>1238</v>
      </c>
      <c r="F142" s="29"/>
      <c r="G142" s="30" t="s">
        <v>159</v>
      </c>
      <c r="H142" s="31">
        <v>1</v>
      </c>
      <c r="I142" s="32" t="s">
        <v>106</v>
      </c>
      <c r="J142" s="33">
        <v>1097</v>
      </c>
      <c r="K142" s="34" t="s">
        <v>106</v>
      </c>
      <c r="L142" s="82">
        <v>2500</v>
      </c>
      <c r="M142" s="35">
        <v>6.7000000000000004E-2</v>
      </c>
    </row>
    <row r="143" spans="1:13" s="101" customFormat="1" x14ac:dyDescent="0.25">
      <c r="A143" s="26">
        <v>810</v>
      </c>
      <c r="B143" s="26">
        <v>95643</v>
      </c>
      <c r="C143" s="27" t="s">
        <v>1242</v>
      </c>
      <c r="D143" s="27" t="str">
        <f>UPPER(C143)</f>
        <v>SIKAROD (472MX5/8IN/CAR) CO            M</v>
      </c>
      <c r="E143" s="28" t="s">
        <v>1238</v>
      </c>
      <c r="F143" s="29"/>
      <c r="G143" s="30" t="s">
        <v>163</v>
      </c>
      <c r="H143" s="31">
        <v>1</v>
      </c>
      <c r="I143" s="32" t="s">
        <v>106</v>
      </c>
      <c r="J143" s="33">
        <v>472</v>
      </c>
      <c r="K143" s="34" t="s">
        <v>106</v>
      </c>
      <c r="L143" s="82">
        <v>4850</v>
      </c>
      <c r="M143" s="35">
        <v>6.7000000000000004E-2</v>
      </c>
    </row>
    <row r="144" spans="1:13" s="101" customFormat="1" x14ac:dyDescent="0.25">
      <c r="A144" s="26">
        <v>809</v>
      </c>
      <c r="B144" s="26">
        <v>95644</v>
      </c>
      <c r="C144" s="27" t="s">
        <v>1241</v>
      </c>
      <c r="D144" s="27" t="str">
        <f>UPPER(C144)</f>
        <v>SIKAROD (259MX7/8IN/CAR) CO            M</v>
      </c>
      <c r="E144" s="28" t="s">
        <v>1238</v>
      </c>
      <c r="F144" s="29"/>
      <c r="G144" s="30" t="s">
        <v>162</v>
      </c>
      <c r="H144" s="31">
        <v>1</v>
      </c>
      <c r="I144" s="32" t="s">
        <v>106</v>
      </c>
      <c r="J144" s="33">
        <v>259</v>
      </c>
      <c r="K144" s="34" t="s">
        <v>106</v>
      </c>
      <c r="L144" s="82">
        <v>9000</v>
      </c>
      <c r="M144" s="35">
        <v>6.7000000000000004E-2</v>
      </c>
    </row>
    <row r="145" spans="1:13" s="101" customFormat="1" x14ac:dyDescent="0.25">
      <c r="A145" s="26">
        <v>808</v>
      </c>
      <c r="B145" s="26">
        <v>95646</v>
      </c>
      <c r="C145" s="27" t="s">
        <v>1240</v>
      </c>
      <c r="D145" s="27" t="str">
        <f>UPPER(C145)</f>
        <v>SIKAROD (1700MX1/4IN/CAR) CO           M</v>
      </c>
      <c r="E145" s="28" t="s">
        <v>1238</v>
      </c>
      <c r="F145" s="29"/>
      <c r="G145" s="30" t="s">
        <v>161</v>
      </c>
      <c r="H145" s="31">
        <v>1</v>
      </c>
      <c r="I145" s="32" t="s">
        <v>106</v>
      </c>
      <c r="J145" s="33">
        <v>1700</v>
      </c>
      <c r="K145" s="34" t="s">
        <v>106</v>
      </c>
      <c r="L145" s="82">
        <v>2200</v>
      </c>
      <c r="M145" s="35">
        <v>6.7000000000000004E-2</v>
      </c>
    </row>
    <row r="146" spans="1:13" s="101" customFormat="1" x14ac:dyDescent="0.25">
      <c r="A146" s="91">
        <v>699</v>
      </c>
      <c r="B146" s="91">
        <v>95747</v>
      </c>
      <c r="C146" s="92" t="s">
        <v>1109</v>
      </c>
      <c r="D146" s="121" t="str">
        <f>CONCATENATE(UPPER(C146),$D$3)</f>
        <v>GEOTEXTIL SIKA PP-1800 (100M) CO     ROL "E"</v>
      </c>
      <c r="E146" s="93" t="s">
        <v>1110</v>
      </c>
      <c r="F146" s="94"/>
      <c r="G146" s="95" t="s">
        <v>133</v>
      </c>
      <c r="H146" s="96">
        <v>100</v>
      </c>
      <c r="I146" s="97" t="s">
        <v>1444</v>
      </c>
      <c r="J146" s="98">
        <v>1</v>
      </c>
      <c r="K146" s="99" t="s">
        <v>8</v>
      </c>
      <c r="L146" s="82">
        <v>1254850</v>
      </c>
      <c r="M146" s="100">
        <v>7.2499999999999995E-2</v>
      </c>
    </row>
    <row r="147" spans="1:13" s="101" customFormat="1" x14ac:dyDescent="0.25">
      <c r="A147" s="91">
        <v>700</v>
      </c>
      <c r="B147" s="91">
        <v>95748</v>
      </c>
      <c r="C147" s="92" t="s">
        <v>1111</v>
      </c>
      <c r="D147" s="121" t="str">
        <f>CONCATENATE(UPPER(C147),$D$3)</f>
        <v>GEOTEXTIL SIKA PP-2500 (100M) CO     ROL "E"</v>
      </c>
      <c r="E147" s="93" t="s">
        <v>1112</v>
      </c>
      <c r="F147" s="94"/>
      <c r="G147" s="95" t="s">
        <v>133</v>
      </c>
      <c r="H147" s="96">
        <v>100</v>
      </c>
      <c r="I147" s="97" t="s">
        <v>1444</v>
      </c>
      <c r="J147" s="98">
        <v>1</v>
      </c>
      <c r="K147" s="99" t="s">
        <v>8</v>
      </c>
      <c r="L147" s="82">
        <v>1510600</v>
      </c>
      <c r="M147" s="100">
        <v>4.2499999999999996E-2</v>
      </c>
    </row>
    <row r="148" spans="1:13" s="101" customFormat="1" x14ac:dyDescent="0.25">
      <c r="A148" s="91">
        <v>787</v>
      </c>
      <c r="B148" s="91">
        <v>95749</v>
      </c>
      <c r="C148" s="92" t="s">
        <v>1216</v>
      </c>
      <c r="D148" s="121" t="str">
        <f>CONCATENATE(UPPER(C148),$D$3)</f>
        <v>SPL PERFIL DE FONDO(BACKGROUND)CO /70 PC "E"</v>
      </c>
      <c r="E148" s="93" t="s">
        <v>1215</v>
      </c>
      <c r="F148" s="94"/>
      <c r="G148" s="95" t="s">
        <v>150</v>
      </c>
      <c r="H148" s="96">
        <v>1</v>
      </c>
      <c r="I148" s="97" t="s">
        <v>130</v>
      </c>
      <c r="J148" s="98">
        <v>70</v>
      </c>
      <c r="K148" s="99" t="s">
        <v>8</v>
      </c>
      <c r="L148" s="82">
        <v>8500</v>
      </c>
      <c r="M148" s="100">
        <v>7.2499999999999995E-2</v>
      </c>
    </row>
    <row r="149" spans="1:13" s="101" customFormat="1" x14ac:dyDescent="0.25">
      <c r="A149" s="91">
        <v>786</v>
      </c>
      <c r="B149" s="119">
        <v>95750</v>
      </c>
      <c r="C149" s="103" t="s">
        <v>149</v>
      </c>
      <c r="D149" s="121" t="str">
        <f>CONCATENATE(UPPER(C149),$D$3)</f>
        <v>SPL PERFIL DE BORDE(EDGE) CO      /60 PC "E"</v>
      </c>
      <c r="E149" s="103" t="s">
        <v>1215</v>
      </c>
      <c r="F149" s="94"/>
      <c r="G149" s="103"/>
      <c r="H149" s="96">
        <v>1</v>
      </c>
      <c r="I149" s="119" t="s">
        <v>130</v>
      </c>
      <c r="J149" s="98">
        <v>60</v>
      </c>
      <c r="K149" s="99" t="s">
        <v>8</v>
      </c>
      <c r="L149" s="82">
        <v>8500</v>
      </c>
      <c r="M149" s="100">
        <v>7.2499999999999995E-2</v>
      </c>
    </row>
    <row r="150" spans="1:13" s="101" customFormat="1" x14ac:dyDescent="0.25">
      <c r="A150" s="26">
        <v>726</v>
      </c>
      <c r="B150" s="26">
        <v>95756</v>
      </c>
      <c r="C150" s="27" t="s">
        <v>1141</v>
      </c>
      <c r="D150" s="27" t="str">
        <f t="shared" ref="D150:D155" si="6">UPPER(C150)</f>
        <v>SIKAFELT (1,20X40M=48M2) CO          ROL</v>
      </c>
      <c r="E150" s="28" t="s">
        <v>1142</v>
      </c>
      <c r="F150" s="29"/>
      <c r="G150" s="30" t="s">
        <v>141</v>
      </c>
      <c r="H150" s="31">
        <v>40</v>
      </c>
      <c r="I150" s="32" t="s">
        <v>106</v>
      </c>
      <c r="J150" s="33">
        <v>1</v>
      </c>
      <c r="K150" s="34" t="s">
        <v>8</v>
      </c>
      <c r="L150" s="82">
        <v>117650</v>
      </c>
      <c r="M150" s="35">
        <v>9.2499999999999999E-2</v>
      </c>
    </row>
    <row r="151" spans="1:13" s="101" customFormat="1" x14ac:dyDescent="0.25">
      <c r="A151" s="26">
        <v>928</v>
      </c>
      <c r="B151" s="26">
        <v>95810</v>
      </c>
      <c r="C151" s="27" t="s">
        <v>1413</v>
      </c>
      <c r="D151" s="27" t="str">
        <f t="shared" si="6"/>
        <v>SIKADUR COMBIFLEX H-10 CO            SET</v>
      </c>
      <c r="E151" s="28" t="s">
        <v>1414</v>
      </c>
      <c r="F151" s="29"/>
      <c r="G151" s="30" t="s">
        <v>169</v>
      </c>
      <c r="H151" s="31">
        <v>12.5</v>
      </c>
      <c r="I151" s="32" t="s">
        <v>106</v>
      </c>
      <c r="J151" s="33">
        <v>1</v>
      </c>
      <c r="K151" s="34" t="s">
        <v>8</v>
      </c>
      <c r="L151" s="82">
        <v>2484750</v>
      </c>
      <c r="M151" s="35">
        <v>6.7000000000000004E-2</v>
      </c>
    </row>
    <row r="152" spans="1:13" s="101" customFormat="1" x14ac:dyDescent="0.25">
      <c r="A152" s="26">
        <v>929</v>
      </c>
      <c r="B152" s="26">
        <v>95811</v>
      </c>
      <c r="C152" s="27" t="s">
        <v>1415</v>
      </c>
      <c r="D152" s="27" t="str">
        <f t="shared" si="6"/>
        <v>SIKADUR COMBIFLEX H-15 CO            SET</v>
      </c>
      <c r="E152" s="28" t="s">
        <v>1414</v>
      </c>
      <c r="F152" s="29"/>
      <c r="G152" s="30" t="s">
        <v>169</v>
      </c>
      <c r="H152" s="31">
        <v>12.5</v>
      </c>
      <c r="I152" s="32" t="s">
        <v>106</v>
      </c>
      <c r="J152" s="33">
        <v>1</v>
      </c>
      <c r="K152" s="34" t="s">
        <v>8</v>
      </c>
      <c r="L152" s="82">
        <v>2762650</v>
      </c>
      <c r="M152" s="35">
        <v>6.7000000000000004E-2</v>
      </c>
    </row>
    <row r="153" spans="1:13" s="101" customFormat="1" x14ac:dyDescent="0.25">
      <c r="A153" s="26">
        <v>930</v>
      </c>
      <c r="B153" s="26">
        <v>95812</v>
      </c>
      <c r="C153" s="27" t="s">
        <v>1416</v>
      </c>
      <c r="D153" s="27" t="str">
        <f t="shared" si="6"/>
        <v>SIKADUR COMBIFLEX H-20 CO            SET</v>
      </c>
      <c r="E153" s="28" t="s">
        <v>1414</v>
      </c>
      <c r="F153" s="29"/>
      <c r="G153" s="30" t="s">
        <v>169</v>
      </c>
      <c r="H153" s="31">
        <v>12.5</v>
      </c>
      <c r="I153" s="32" t="s">
        <v>106</v>
      </c>
      <c r="J153" s="33">
        <v>1</v>
      </c>
      <c r="K153" s="34" t="s">
        <v>8</v>
      </c>
      <c r="L153" s="82">
        <v>3130900</v>
      </c>
      <c r="M153" s="35">
        <v>6.7000000000000004E-2</v>
      </c>
    </row>
    <row r="154" spans="1:13" s="101" customFormat="1" x14ac:dyDescent="0.25">
      <c r="A154" s="26">
        <v>672</v>
      </c>
      <c r="B154" s="26">
        <v>97159</v>
      </c>
      <c r="C154" s="27" t="s">
        <v>1074</v>
      </c>
      <c r="D154" s="27" t="str">
        <f t="shared" si="6"/>
        <v>SIKAGARD-68(AB)BRILLANTE WHITE CO 7,28KG</v>
      </c>
      <c r="E154" s="28" t="s">
        <v>1072</v>
      </c>
      <c r="F154" s="29"/>
      <c r="G154" s="30" t="s">
        <v>15</v>
      </c>
      <c r="H154" s="31">
        <v>7.3</v>
      </c>
      <c r="I154" s="32" t="s">
        <v>50</v>
      </c>
      <c r="J154" s="33">
        <v>4</v>
      </c>
      <c r="K154" s="34" t="s">
        <v>8</v>
      </c>
      <c r="L154" s="82">
        <v>749800</v>
      </c>
      <c r="M154" s="35">
        <v>6.7000000000000004E-2</v>
      </c>
    </row>
    <row r="155" spans="1:13" s="101" customFormat="1" x14ac:dyDescent="0.25">
      <c r="A155" s="26">
        <v>262</v>
      </c>
      <c r="B155" s="26">
        <v>98402</v>
      </c>
      <c r="C155" s="27" t="s">
        <v>555</v>
      </c>
      <c r="D155" s="27" t="str">
        <f t="shared" si="6"/>
        <v>SIKAFUME CO                      BG 25KG</v>
      </c>
      <c r="E155" s="28" t="s">
        <v>556</v>
      </c>
      <c r="F155" s="29"/>
      <c r="G155" s="30"/>
      <c r="H155" s="31">
        <v>25</v>
      </c>
      <c r="I155" s="32" t="s">
        <v>50</v>
      </c>
      <c r="J155" s="33">
        <v>1</v>
      </c>
      <c r="K155" s="34" t="s">
        <v>8</v>
      </c>
      <c r="L155" s="82">
        <v>249400</v>
      </c>
      <c r="M155" s="35">
        <v>6.9999999999999993E-2</v>
      </c>
    </row>
    <row r="156" spans="1:13" s="101" customFormat="1" x14ac:dyDescent="0.25">
      <c r="A156" s="91">
        <v>686</v>
      </c>
      <c r="B156" s="91">
        <v>98804</v>
      </c>
      <c r="C156" s="92" t="s">
        <v>1091</v>
      </c>
      <c r="D156" s="121" t="str">
        <f>CONCATENATE(UPPER(C156),$D$3)</f>
        <v>ULTRAFLOW COMBI 600ML (BF4011)        PC "E"</v>
      </c>
      <c r="E156" s="93" t="s">
        <v>652</v>
      </c>
      <c r="F156" s="94"/>
      <c r="G156" s="95"/>
      <c r="H156" s="96">
        <v>1</v>
      </c>
      <c r="I156" s="97" t="s">
        <v>130</v>
      </c>
      <c r="J156" s="98">
        <v>1</v>
      </c>
      <c r="K156" s="99" t="s">
        <v>8</v>
      </c>
      <c r="L156" s="82">
        <v>1331200</v>
      </c>
      <c r="M156" s="100">
        <v>6.9999999999999993E-3</v>
      </c>
    </row>
    <row r="157" spans="1:13" s="101" customFormat="1" x14ac:dyDescent="0.25">
      <c r="A157" s="91">
        <v>867</v>
      </c>
      <c r="B157" s="91">
        <v>98850</v>
      </c>
      <c r="C157" s="92" t="s">
        <v>1328</v>
      </c>
      <c r="D157" s="121" t="str">
        <f>CONCATENATE(UPPER(C157),$D$3)</f>
        <v>BOQUILLA CD3A-52 CO                   PC "E"</v>
      </c>
      <c r="E157" s="93" t="s">
        <v>652</v>
      </c>
      <c r="F157" s="94"/>
      <c r="G157" s="95"/>
      <c r="H157" s="96">
        <v>1</v>
      </c>
      <c r="I157" s="97" t="s">
        <v>130</v>
      </c>
      <c r="J157" s="98">
        <v>1</v>
      </c>
      <c r="K157" s="99" t="s">
        <v>8</v>
      </c>
      <c r="L157" s="82">
        <v>13150</v>
      </c>
      <c r="M157" s="100">
        <v>6.7000000000000004E-2</v>
      </c>
    </row>
    <row r="158" spans="1:13" s="101" customFormat="1" x14ac:dyDescent="0.25">
      <c r="A158" s="26">
        <v>538</v>
      </c>
      <c r="B158" s="26">
        <v>98877</v>
      </c>
      <c r="C158" s="27" t="s">
        <v>935</v>
      </c>
      <c r="D158" s="27" t="str">
        <f>UPPER(C158)</f>
        <v>SIKAREFUERZO TEJIDO (0,9MX30M) CO    ROL</v>
      </c>
      <c r="E158" s="28" t="s">
        <v>936</v>
      </c>
      <c r="F158" s="29"/>
      <c r="G158" s="30"/>
      <c r="H158" s="31">
        <v>30</v>
      </c>
      <c r="I158" s="32" t="s">
        <v>106</v>
      </c>
      <c r="J158" s="33">
        <v>30</v>
      </c>
      <c r="K158" s="34" t="s">
        <v>106</v>
      </c>
      <c r="L158" s="82">
        <v>1469200</v>
      </c>
      <c r="M158" s="35">
        <v>6.7000000000000004E-2</v>
      </c>
    </row>
    <row r="159" spans="1:13" s="101" customFormat="1" x14ac:dyDescent="0.25">
      <c r="A159" s="91">
        <v>431</v>
      </c>
      <c r="B159" s="91">
        <v>102732</v>
      </c>
      <c r="C159" s="92" t="s">
        <v>797</v>
      </c>
      <c r="D159" s="121" t="str">
        <f>CONCATENATE(UPPER(C159),$D$3)</f>
        <v>RODILLO DE PUAS (SPIKED ROLLER) CO/UY PC "E"</v>
      </c>
      <c r="E159" s="93" t="s">
        <v>652</v>
      </c>
      <c r="F159" s="94"/>
      <c r="G159" s="95"/>
      <c r="H159" s="96">
        <v>1</v>
      </c>
      <c r="I159" s="97" t="s">
        <v>130</v>
      </c>
      <c r="J159" s="98">
        <v>1</v>
      </c>
      <c r="K159" s="99" t="s">
        <v>8</v>
      </c>
      <c r="L159" s="82">
        <v>247550</v>
      </c>
      <c r="M159" s="100">
        <v>8.199999999999999E-2</v>
      </c>
    </row>
    <row r="160" spans="1:13" s="101" customFormat="1" x14ac:dyDescent="0.25">
      <c r="A160" s="26">
        <v>807</v>
      </c>
      <c r="B160" s="26">
        <v>102765</v>
      </c>
      <c r="C160" s="27" t="s">
        <v>1239</v>
      </c>
      <c r="D160" s="27" t="str">
        <f>UPPER(C160)</f>
        <v>SIKAROD (125MX1 1/4IN/CAR) CO          M</v>
      </c>
      <c r="E160" s="28" t="s">
        <v>1238</v>
      </c>
      <c r="F160" s="29"/>
      <c r="G160" s="30" t="s">
        <v>160</v>
      </c>
      <c r="H160" s="31">
        <v>1</v>
      </c>
      <c r="I160" s="32" t="s">
        <v>106</v>
      </c>
      <c r="J160" s="33">
        <v>125</v>
      </c>
      <c r="K160" s="34" t="s">
        <v>106</v>
      </c>
      <c r="L160" s="82">
        <v>15400</v>
      </c>
      <c r="M160" s="35">
        <v>6.7000000000000004E-2</v>
      </c>
    </row>
    <row r="161" spans="1:13" s="101" customFormat="1" x14ac:dyDescent="0.25">
      <c r="A161" s="91">
        <v>367</v>
      </c>
      <c r="B161" s="91">
        <v>102925</v>
      </c>
      <c r="C161" s="92" t="s">
        <v>712</v>
      </c>
      <c r="D161" s="121" t="str">
        <f>CONCATENATE(UPPER(C161),$D$3)</f>
        <v>SIKADUR-42 ANCLAJE (ABC) SLOW CO    15KG "E"</v>
      </c>
      <c r="E161" s="93" t="s">
        <v>710</v>
      </c>
      <c r="F161" s="94"/>
      <c r="G161" s="95"/>
      <c r="H161" s="96">
        <v>15</v>
      </c>
      <c r="I161" s="97" t="s">
        <v>50</v>
      </c>
      <c r="J161" s="98">
        <v>1</v>
      </c>
      <c r="K161" s="99" t="s">
        <v>8</v>
      </c>
      <c r="L161" s="82">
        <v>1138650</v>
      </c>
      <c r="M161" s="100">
        <v>8.6999999999999994E-2</v>
      </c>
    </row>
    <row r="162" spans="1:13" s="101" customFormat="1" x14ac:dyDescent="0.25">
      <c r="A162" s="26">
        <v>597</v>
      </c>
      <c r="B162" s="26">
        <v>105387</v>
      </c>
      <c r="C162" s="27" t="s">
        <v>1005</v>
      </c>
      <c r="D162" s="27" t="str">
        <f t="shared" ref="D162:D167" si="7">UPPER(C162)</f>
        <v>SIKAFLOOR-2430CO (AB) BLUE CO     /4X4KG</v>
      </c>
      <c r="E162" s="28" t="s">
        <v>180</v>
      </c>
      <c r="F162" s="29"/>
      <c r="G162" s="30" t="s">
        <v>107</v>
      </c>
      <c r="H162" s="31">
        <v>4</v>
      </c>
      <c r="I162" s="32" t="s">
        <v>50</v>
      </c>
      <c r="J162" s="33">
        <v>4</v>
      </c>
      <c r="K162" s="34" t="s">
        <v>8</v>
      </c>
      <c r="L162" s="82">
        <v>435900</v>
      </c>
      <c r="M162" s="35">
        <v>8.199999999999999E-2</v>
      </c>
    </row>
    <row r="163" spans="1:13" s="101" customFormat="1" x14ac:dyDescent="0.25">
      <c r="A163" s="26">
        <v>601</v>
      </c>
      <c r="B163" s="26">
        <v>105388</v>
      </c>
      <c r="C163" s="27" t="s">
        <v>1009</v>
      </c>
      <c r="D163" s="27" t="str">
        <f t="shared" si="7"/>
        <v>SIKAFLOOR-2430CO (AB) WHITE CO    /4X4KG</v>
      </c>
      <c r="E163" s="28" t="s">
        <v>180</v>
      </c>
      <c r="F163" s="29"/>
      <c r="G163" s="30" t="s">
        <v>15</v>
      </c>
      <c r="H163" s="31">
        <v>4</v>
      </c>
      <c r="I163" s="32" t="s">
        <v>50</v>
      </c>
      <c r="J163" s="33">
        <v>4</v>
      </c>
      <c r="K163" s="34" t="s">
        <v>8</v>
      </c>
      <c r="L163" s="82">
        <v>435900</v>
      </c>
      <c r="M163" s="35">
        <v>8.199999999999999E-2</v>
      </c>
    </row>
    <row r="164" spans="1:13" s="101" customFormat="1" x14ac:dyDescent="0.25">
      <c r="A164" s="26">
        <v>604</v>
      </c>
      <c r="B164" s="26">
        <v>105399</v>
      </c>
      <c r="C164" s="27" t="s">
        <v>1012</v>
      </c>
      <c r="D164" s="27" t="str">
        <f t="shared" si="7"/>
        <v>SIKAFLOOR-2430CO(AB)LIGHT GREY CO /4X4KG</v>
      </c>
      <c r="E164" s="28" t="s">
        <v>180</v>
      </c>
      <c r="F164" s="29"/>
      <c r="G164" s="30" t="s">
        <v>60</v>
      </c>
      <c r="H164" s="31">
        <v>4</v>
      </c>
      <c r="I164" s="32" t="s">
        <v>50</v>
      </c>
      <c r="J164" s="33">
        <v>4</v>
      </c>
      <c r="K164" s="34" t="s">
        <v>8</v>
      </c>
      <c r="L164" s="82">
        <v>435900</v>
      </c>
      <c r="M164" s="35">
        <v>8.199999999999999E-2</v>
      </c>
    </row>
    <row r="165" spans="1:13" s="101" customFormat="1" x14ac:dyDescent="0.25">
      <c r="A165" s="26">
        <v>603</v>
      </c>
      <c r="B165" s="26">
        <v>105400</v>
      </c>
      <c r="C165" s="27" t="s">
        <v>1011</v>
      </c>
      <c r="D165" s="27" t="str">
        <f t="shared" si="7"/>
        <v>SIKAFLOOR-2430CO(AB)DARK GREY CO  /4X4KG</v>
      </c>
      <c r="E165" s="28" t="s">
        <v>180</v>
      </c>
      <c r="F165" s="29"/>
      <c r="G165" s="30" t="s">
        <v>108</v>
      </c>
      <c r="H165" s="31">
        <v>4</v>
      </c>
      <c r="I165" s="32" t="s">
        <v>50</v>
      </c>
      <c r="J165" s="33">
        <v>4</v>
      </c>
      <c r="K165" s="34" t="s">
        <v>8</v>
      </c>
      <c r="L165" s="82">
        <v>435900</v>
      </c>
      <c r="M165" s="35">
        <v>8.199999999999999E-2</v>
      </c>
    </row>
    <row r="166" spans="1:13" s="101" customFormat="1" x14ac:dyDescent="0.25">
      <c r="A166" s="26">
        <v>599</v>
      </c>
      <c r="B166" s="26">
        <v>105401</v>
      </c>
      <c r="C166" s="27" t="s">
        <v>1007</v>
      </c>
      <c r="D166" s="27" t="str">
        <f t="shared" si="7"/>
        <v>SIKAFLOOR-2430CO (AB) IVORY CO    /4X4KG</v>
      </c>
      <c r="E166" s="28" t="s">
        <v>180</v>
      </c>
      <c r="F166" s="29"/>
      <c r="G166" s="30" t="s">
        <v>35</v>
      </c>
      <c r="H166" s="31">
        <v>4</v>
      </c>
      <c r="I166" s="32" t="s">
        <v>50</v>
      </c>
      <c r="J166" s="33">
        <v>4</v>
      </c>
      <c r="K166" s="34" t="s">
        <v>8</v>
      </c>
      <c r="L166" s="82">
        <v>435900</v>
      </c>
      <c r="M166" s="35">
        <v>8.199999999999999E-2</v>
      </c>
    </row>
    <row r="167" spans="1:13" s="101" customFormat="1" x14ac:dyDescent="0.25">
      <c r="A167" s="26">
        <v>598</v>
      </c>
      <c r="B167" s="26">
        <v>105403</v>
      </c>
      <c r="C167" s="27" t="s">
        <v>1006</v>
      </c>
      <c r="D167" s="27" t="str">
        <f t="shared" si="7"/>
        <v>SIKAFLOOR-2430CO (AB) GREEN CO    /4X4KG</v>
      </c>
      <c r="E167" s="28" t="s">
        <v>180</v>
      </c>
      <c r="F167" s="29"/>
      <c r="G167" s="30" t="s">
        <v>110</v>
      </c>
      <c r="H167" s="31">
        <v>4</v>
      </c>
      <c r="I167" s="32" t="s">
        <v>50</v>
      </c>
      <c r="J167" s="33">
        <v>4</v>
      </c>
      <c r="K167" s="34" t="s">
        <v>8</v>
      </c>
      <c r="L167" s="82">
        <v>435900</v>
      </c>
      <c r="M167" s="35">
        <v>8.199999999999999E-2</v>
      </c>
    </row>
    <row r="168" spans="1:13" s="101" customFormat="1" x14ac:dyDescent="0.25">
      <c r="A168" s="91">
        <v>398</v>
      </c>
      <c r="B168" s="91">
        <v>105456</v>
      </c>
      <c r="C168" s="92" t="s">
        <v>752</v>
      </c>
      <c r="D168" s="121" t="str">
        <f t="shared" ref="D168:D173" si="8">CONCATENATE(UPPER(C168),$D$3)</f>
        <v>SIKAGARD-62 (AB) RAL7030 CO          3KG "E"</v>
      </c>
      <c r="E168" s="93" t="s">
        <v>750</v>
      </c>
      <c r="F168" s="94"/>
      <c r="G168" s="95" t="s">
        <v>61</v>
      </c>
      <c r="H168" s="96">
        <v>3</v>
      </c>
      <c r="I168" s="97" t="s">
        <v>50</v>
      </c>
      <c r="J168" s="98">
        <v>4</v>
      </c>
      <c r="K168" s="99" t="s">
        <v>8</v>
      </c>
      <c r="L168" s="82">
        <v>630500</v>
      </c>
      <c r="M168" s="100">
        <v>8.199999999999999E-2</v>
      </c>
    </row>
    <row r="169" spans="1:13" s="101" customFormat="1" x14ac:dyDescent="0.25">
      <c r="A169" s="91">
        <v>397</v>
      </c>
      <c r="B169" s="91">
        <v>105458</v>
      </c>
      <c r="C169" s="92" t="s">
        <v>751</v>
      </c>
      <c r="D169" s="121" t="str">
        <f t="shared" si="8"/>
        <v>SIKAGARD-62 (AB) LIGHT GREY CO       3KG "E"</v>
      </c>
      <c r="E169" s="93" t="s">
        <v>750</v>
      </c>
      <c r="F169" s="94"/>
      <c r="G169" s="95" t="s">
        <v>60</v>
      </c>
      <c r="H169" s="96">
        <v>3</v>
      </c>
      <c r="I169" s="97" t="s">
        <v>50</v>
      </c>
      <c r="J169" s="98">
        <v>4</v>
      </c>
      <c r="K169" s="99" t="s">
        <v>8</v>
      </c>
      <c r="L169" s="82">
        <v>636250</v>
      </c>
      <c r="M169" s="100">
        <v>7.2000000000000008E-2</v>
      </c>
    </row>
    <row r="170" spans="1:13" s="101" customFormat="1" x14ac:dyDescent="0.25">
      <c r="A170" s="91">
        <v>396</v>
      </c>
      <c r="B170" s="91">
        <v>105459</v>
      </c>
      <c r="C170" s="92" t="s">
        <v>749</v>
      </c>
      <c r="D170" s="121" t="str">
        <f t="shared" si="8"/>
        <v>SIKAGARD-62 (AB) IVORY CO            3KG "E"</v>
      </c>
      <c r="E170" s="93" t="s">
        <v>750</v>
      </c>
      <c r="F170" s="94"/>
      <c r="G170" s="95" t="s">
        <v>35</v>
      </c>
      <c r="H170" s="96">
        <v>3</v>
      </c>
      <c r="I170" s="97" t="s">
        <v>50</v>
      </c>
      <c r="J170" s="98">
        <v>4</v>
      </c>
      <c r="K170" s="99" t="s">
        <v>8</v>
      </c>
      <c r="L170" s="82">
        <v>630500</v>
      </c>
      <c r="M170" s="100">
        <v>8.199999999999999E-2</v>
      </c>
    </row>
    <row r="171" spans="1:13" s="101" customFormat="1" x14ac:dyDescent="0.25">
      <c r="A171" s="91">
        <v>662</v>
      </c>
      <c r="B171" s="91">
        <v>105460</v>
      </c>
      <c r="C171" s="92" t="s">
        <v>1065</v>
      </c>
      <c r="D171" s="121" t="str">
        <f t="shared" si="8"/>
        <v>SIKAGARD-62 (AB) RESEDA GREEN CO     3KG "E"</v>
      </c>
      <c r="E171" s="93" t="s">
        <v>750</v>
      </c>
      <c r="F171" s="94"/>
      <c r="G171" s="95" t="s">
        <v>126</v>
      </c>
      <c r="H171" s="96">
        <v>3</v>
      </c>
      <c r="I171" s="97" t="s">
        <v>50</v>
      </c>
      <c r="J171" s="98">
        <v>4</v>
      </c>
      <c r="K171" s="99" t="s">
        <v>8</v>
      </c>
      <c r="L171" s="82">
        <v>630500</v>
      </c>
      <c r="M171" s="100">
        <v>8.199999999999999E-2</v>
      </c>
    </row>
    <row r="172" spans="1:13" s="101" customFormat="1" x14ac:dyDescent="0.25">
      <c r="A172" s="91">
        <v>401</v>
      </c>
      <c r="B172" s="91">
        <v>105485</v>
      </c>
      <c r="C172" s="92" t="s">
        <v>756</v>
      </c>
      <c r="D172" s="121" t="str">
        <f t="shared" si="8"/>
        <v>SIKAGARD-63N (AB) OXIDE RED CO       4KG "E"</v>
      </c>
      <c r="E172" s="93" t="s">
        <v>755</v>
      </c>
      <c r="F172" s="94"/>
      <c r="G172" s="95" t="s">
        <v>62</v>
      </c>
      <c r="H172" s="96">
        <v>4</v>
      </c>
      <c r="I172" s="97" t="s">
        <v>50</v>
      </c>
      <c r="J172" s="98">
        <v>4</v>
      </c>
      <c r="K172" s="99" t="s">
        <v>8</v>
      </c>
      <c r="L172" s="82">
        <v>1290700</v>
      </c>
      <c r="M172" s="100">
        <v>6.7000000000000004E-2</v>
      </c>
    </row>
    <row r="173" spans="1:13" s="101" customFormat="1" x14ac:dyDescent="0.25">
      <c r="A173" s="91">
        <v>666</v>
      </c>
      <c r="B173" s="91">
        <v>105509</v>
      </c>
      <c r="C173" s="92" t="s">
        <v>1067</v>
      </c>
      <c r="D173" s="121" t="str">
        <f t="shared" si="8"/>
        <v>SIKAGARD-63N (AB) OXIDE RED CO      28KG "E"</v>
      </c>
      <c r="E173" s="93" t="s">
        <v>755</v>
      </c>
      <c r="F173" s="94"/>
      <c r="G173" s="95" t="s">
        <v>62</v>
      </c>
      <c r="H173" s="96">
        <v>28</v>
      </c>
      <c r="I173" s="97" t="s">
        <v>50</v>
      </c>
      <c r="J173" s="98">
        <v>1</v>
      </c>
      <c r="K173" s="99" t="s">
        <v>8</v>
      </c>
      <c r="L173" s="82">
        <v>6708050</v>
      </c>
      <c r="M173" s="100">
        <v>3.6999999999999998E-2</v>
      </c>
    </row>
    <row r="174" spans="1:13" s="101" customFormat="1" x14ac:dyDescent="0.25">
      <c r="A174" s="26">
        <v>97</v>
      </c>
      <c r="B174" s="26">
        <v>105515</v>
      </c>
      <c r="C174" s="27" t="s">
        <v>307</v>
      </c>
      <c r="D174" s="27" t="str">
        <f>UPPER(C174)</f>
        <v>SIKACOLOR C CONCRETE GREY CO     /4X1GAL</v>
      </c>
      <c r="E174" s="28" t="s">
        <v>306</v>
      </c>
      <c r="F174" s="29"/>
      <c r="G174" s="30" t="s">
        <v>42</v>
      </c>
      <c r="H174" s="31">
        <v>1</v>
      </c>
      <c r="I174" s="32" t="s">
        <v>1443</v>
      </c>
      <c r="J174" s="33">
        <v>4</v>
      </c>
      <c r="K174" s="34" t="s">
        <v>8</v>
      </c>
      <c r="L174" s="82">
        <v>151200</v>
      </c>
      <c r="M174" s="35">
        <v>6.4000000000000001E-2</v>
      </c>
    </row>
    <row r="175" spans="1:13" s="101" customFormat="1" x14ac:dyDescent="0.25">
      <c r="A175" s="26">
        <v>96</v>
      </c>
      <c r="B175" s="26">
        <v>105567</v>
      </c>
      <c r="C175" s="27" t="s">
        <v>305</v>
      </c>
      <c r="D175" s="27" t="str">
        <f>UPPER(C175)</f>
        <v>SIKACOLOR C BASALT GREY CO       /4X1GAL</v>
      </c>
      <c r="E175" s="28" t="s">
        <v>306</v>
      </c>
      <c r="F175" s="29"/>
      <c r="G175" s="30" t="s">
        <v>41</v>
      </c>
      <c r="H175" s="31">
        <v>1</v>
      </c>
      <c r="I175" s="32" t="s">
        <v>1443</v>
      </c>
      <c r="J175" s="33">
        <v>4</v>
      </c>
      <c r="K175" s="34" t="s">
        <v>8</v>
      </c>
      <c r="L175" s="82">
        <v>149800</v>
      </c>
      <c r="M175" s="35">
        <v>5.4000000000000006E-2</v>
      </c>
    </row>
    <row r="176" spans="1:13" s="101" customFormat="1" x14ac:dyDescent="0.25">
      <c r="A176" s="26">
        <v>100</v>
      </c>
      <c r="B176" s="26">
        <v>105573</v>
      </c>
      <c r="C176" s="27" t="s">
        <v>310</v>
      </c>
      <c r="D176" s="27" t="str">
        <f>UPPER(C176)</f>
        <v>SIKACOLOR C CONCRETE GREY CO     PL 5GAL</v>
      </c>
      <c r="E176" s="28" t="s">
        <v>306</v>
      </c>
      <c r="F176" s="29"/>
      <c r="G176" s="30" t="s">
        <v>42</v>
      </c>
      <c r="H176" s="31">
        <v>5</v>
      </c>
      <c r="I176" s="32" t="s">
        <v>1443</v>
      </c>
      <c r="J176" s="33">
        <v>1</v>
      </c>
      <c r="K176" s="34" t="s">
        <v>8</v>
      </c>
      <c r="L176" s="82">
        <v>686900</v>
      </c>
      <c r="M176" s="35">
        <v>6.4000000000000001E-2</v>
      </c>
    </row>
    <row r="177" spans="1:13" s="101" customFormat="1" x14ac:dyDescent="0.25">
      <c r="A177" s="26">
        <v>99</v>
      </c>
      <c r="B177" s="26">
        <v>105578</v>
      </c>
      <c r="C177" s="27" t="s">
        <v>309</v>
      </c>
      <c r="D177" s="27" t="str">
        <f>UPPER(C177)</f>
        <v>SIKACOLOR C BASALT GREY CO       PL 5GAL</v>
      </c>
      <c r="E177" s="28" t="s">
        <v>306</v>
      </c>
      <c r="F177" s="29"/>
      <c r="G177" s="30" t="s">
        <v>43</v>
      </c>
      <c r="H177" s="31">
        <v>5</v>
      </c>
      <c r="I177" s="32" t="s">
        <v>1443</v>
      </c>
      <c r="J177" s="33">
        <v>1</v>
      </c>
      <c r="K177" s="34" t="s">
        <v>8</v>
      </c>
      <c r="L177" s="82">
        <v>686900</v>
      </c>
      <c r="M177" s="35">
        <v>6.4000000000000001E-2</v>
      </c>
    </row>
    <row r="178" spans="1:13" s="101" customFormat="1" x14ac:dyDescent="0.25">
      <c r="A178" s="91">
        <v>637</v>
      </c>
      <c r="B178" s="91">
        <v>105623</v>
      </c>
      <c r="C178" s="92" t="s">
        <v>1039</v>
      </c>
      <c r="D178" s="121" t="str">
        <f t="shared" ref="D178:D193" si="9">CONCATENATE(UPPER(C178),$D$3)</f>
        <v>SIKAFLOOR-3 QUARTZTOP YELLOW CO  BG 50KG "E"</v>
      </c>
      <c r="E178" s="93" t="s">
        <v>1029</v>
      </c>
      <c r="F178" s="94"/>
      <c r="G178" s="95" t="s">
        <v>71</v>
      </c>
      <c r="H178" s="96">
        <v>50</v>
      </c>
      <c r="I178" s="97" t="s">
        <v>50</v>
      </c>
      <c r="J178" s="98">
        <v>1</v>
      </c>
      <c r="K178" s="99" t="s">
        <v>8</v>
      </c>
      <c r="L178" s="82">
        <v>417150</v>
      </c>
      <c r="M178" s="100">
        <v>7.7000000000000013E-2</v>
      </c>
    </row>
    <row r="179" spans="1:13" s="101" customFormat="1" x14ac:dyDescent="0.25">
      <c r="A179" s="91">
        <v>636</v>
      </c>
      <c r="B179" s="91">
        <v>105624</v>
      </c>
      <c r="C179" s="92" t="s">
        <v>1038</v>
      </c>
      <c r="D179" s="121" t="str">
        <f t="shared" si="9"/>
        <v>SIKAFLOOR-3 QUARTZTOP WHITE CO   BG 50KG "E"</v>
      </c>
      <c r="E179" s="93" t="s">
        <v>1029</v>
      </c>
      <c r="F179" s="94"/>
      <c r="G179" s="95" t="s">
        <v>15</v>
      </c>
      <c r="H179" s="96">
        <v>50</v>
      </c>
      <c r="I179" s="97" t="s">
        <v>50</v>
      </c>
      <c r="J179" s="98">
        <v>1</v>
      </c>
      <c r="K179" s="99" t="s">
        <v>8</v>
      </c>
      <c r="L179" s="82">
        <v>417150</v>
      </c>
      <c r="M179" s="100">
        <v>7.7000000000000013E-2</v>
      </c>
    </row>
    <row r="180" spans="1:13" s="101" customFormat="1" x14ac:dyDescent="0.25">
      <c r="A180" s="91">
        <v>630</v>
      </c>
      <c r="B180" s="91">
        <v>105625</v>
      </c>
      <c r="C180" s="92" t="s">
        <v>1032</v>
      </c>
      <c r="D180" s="121" t="str">
        <f t="shared" si="9"/>
        <v>SIKAFLOOR-3 QUARTZTOP LIGHT GREY CO 50KG "E"</v>
      </c>
      <c r="E180" s="93" t="s">
        <v>1029</v>
      </c>
      <c r="F180" s="94"/>
      <c r="G180" s="95" t="s">
        <v>105</v>
      </c>
      <c r="H180" s="96">
        <v>50</v>
      </c>
      <c r="I180" s="97" t="s">
        <v>50</v>
      </c>
      <c r="J180" s="98">
        <v>1</v>
      </c>
      <c r="K180" s="99" t="s">
        <v>8</v>
      </c>
      <c r="L180" s="82">
        <v>252050</v>
      </c>
      <c r="M180" s="100">
        <v>7.7000000000000013E-2</v>
      </c>
    </row>
    <row r="181" spans="1:13" s="101" customFormat="1" x14ac:dyDescent="0.25">
      <c r="A181" s="91">
        <v>628</v>
      </c>
      <c r="B181" s="91">
        <v>105626</v>
      </c>
      <c r="C181" s="92" t="s">
        <v>1030</v>
      </c>
      <c r="D181" s="121" t="str">
        <f t="shared" si="9"/>
        <v>SIKAFLOOR-3 QUARTZTOP BLACK CO   BG 50KG "E"</v>
      </c>
      <c r="E181" s="93" t="s">
        <v>1029</v>
      </c>
      <c r="F181" s="94"/>
      <c r="G181" s="95" t="s">
        <v>31</v>
      </c>
      <c r="H181" s="96">
        <v>50</v>
      </c>
      <c r="I181" s="97" t="s">
        <v>50</v>
      </c>
      <c r="J181" s="98">
        <v>1</v>
      </c>
      <c r="K181" s="99" t="s">
        <v>8</v>
      </c>
      <c r="L181" s="82">
        <v>299900</v>
      </c>
      <c r="M181" s="100">
        <v>7.7000000000000013E-2</v>
      </c>
    </row>
    <row r="182" spans="1:13" s="101" customFormat="1" x14ac:dyDescent="0.25">
      <c r="A182" s="91">
        <v>634</v>
      </c>
      <c r="B182" s="91">
        <v>105627</v>
      </c>
      <c r="C182" s="92" t="s">
        <v>1036</v>
      </c>
      <c r="D182" s="121" t="str">
        <f t="shared" si="9"/>
        <v>SIKAFLOOR-3 QUARTZTOP RED CO     BG 50KG "E"</v>
      </c>
      <c r="E182" s="93" t="s">
        <v>1029</v>
      </c>
      <c r="F182" s="94"/>
      <c r="G182" s="95" t="s">
        <v>48</v>
      </c>
      <c r="H182" s="96">
        <v>50</v>
      </c>
      <c r="I182" s="97" t="s">
        <v>50</v>
      </c>
      <c r="J182" s="98">
        <v>1</v>
      </c>
      <c r="K182" s="99" t="s">
        <v>8</v>
      </c>
      <c r="L182" s="82">
        <v>480150</v>
      </c>
      <c r="M182" s="100">
        <v>7.7000000000000013E-2</v>
      </c>
    </row>
    <row r="183" spans="1:13" s="101" customFormat="1" x14ac:dyDescent="0.25">
      <c r="A183" s="91">
        <v>629</v>
      </c>
      <c r="B183" s="91">
        <v>105628</v>
      </c>
      <c r="C183" s="92" t="s">
        <v>1031</v>
      </c>
      <c r="D183" s="121" t="str">
        <f t="shared" si="9"/>
        <v>SIKAFLOOR-3 QUARTZTOP GREEN CO   BG 50KG "E"</v>
      </c>
      <c r="E183" s="93" t="s">
        <v>1029</v>
      </c>
      <c r="F183" s="94"/>
      <c r="G183" s="95" t="s">
        <v>110</v>
      </c>
      <c r="H183" s="96">
        <v>50</v>
      </c>
      <c r="I183" s="97" t="s">
        <v>50</v>
      </c>
      <c r="J183" s="98">
        <v>1</v>
      </c>
      <c r="K183" s="99" t="s">
        <v>8</v>
      </c>
      <c r="L183" s="82">
        <v>480150</v>
      </c>
      <c r="M183" s="100">
        <v>7.7000000000000013E-2</v>
      </c>
    </row>
    <row r="184" spans="1:13" s="101" customFormat="1" x14ac:dyDescent="0.25">
      <c r="A184" s="91">
        <v>550</v>
      </c>
      <c r="B184" s="91">
        <v>105639</v>
      </c>
      <c r="C184" s="92" t="s">
        <v>954</v>
      </c>
      <c r="D184" s="121" t="str">
        <f t="shared" si="9"/>
        <v>SIKADUR-510 BLUE CO              BG 40KG "E"</v>
      </c>
      <c r="E184" s="93" t="s">
        <v>953</v>
      </c>
      <c r="F184" s="94"/>
      <c r="G184" s="95" t="s">
        <v>107</v>
      </c>
      <c r="H184" s="96">
        <v>40</v>
      </c>
      <c r="I184" s="97" t="s">
        <v>50</v>
      </c>
      <c r="J184" s="98">
        <v>1</v>
      </c>
      <c r="K184" s="99" t="s">
        <v>8</v>
      </c>
      <c r="L184" s="82">
        <v>393300</v>
      </c>
      <c r="M184" s="100">
        <v>6.7000000000000004E-2</v>
      </c>
    </row>
    <row r="185" spans="1:13" s="101" customFormat="1" x14ac:dyDescent="0.25">
      <c r="A185" s="91">
        <v>555</v>
      </c>
      <c r="B185" s="91">
        <v>105640</v>
      </c>
      <c r="C185" s="92" t="s">
        <v>959</v>
      </c>
      <c r="D185" s="121" t="str">
        <f t="shared" si="9"/>
        <v>SIKADUR-510 WHITE                BG 40KG "E"</v>
      </c>
      <c r="E185" s="93" t="s">
        <v>953</v>
      </c>
      <c r="F185" s="94"/>
      <c r="G185" s="95" t="s">
        <v>15</v>
      </c>
      <c r="H185" s="96">
        <v>40</v>
      </c>
      <c r="I185" s="97" t="s">
        <v>50</v>
      </c>
      <c r="J185" s="98">
        <v>1</v>
      </c>
      <c r="K185" s="99" t="s">
        <v>8</v>
      </c>
      <c r="L185" s="82">
        <v>393300</v>
      </c>
      <c r="M185" s="100">
        <v>6.7000000000000004E-2</v>
      </c>
    </row>
    <row r="186" spans="1:13" s="101" customFormat="1" x14ac:dyDescent="0.25">
      <c r="A186" s="91">
        <v>553</v>
      </c>
      <c r="B186" s="91">
        <v>105641</v>
      </c>
      <c r="C186" s="92" t="s">
        <v>957</v>
      </c>
      <c r="D186" s="121" t="str">
        <f t="shared" si="9"/>
        <v>SIKADUR-510 LIGHT GREY CO        BG 40KG "E"</v>
      </c>
      <c r="E186" s="93" t="s">
        <v>953</v>
      </c>
      <c r="F186" s="94"/>
      <c r="G186" s="95" t="s">
        <v>60</v>
      </c>
      <c r="H186" s="96">
        <v>40</v>
      </c>
      <c r="I186" s="97" t="s">
        <v>50</v>
      </c>
      <c r="J186" s="98">
        <v>1</v>
      </c>
      <c r="K186" s="99" t="s">
        <v>8</v>
      </c>
      <c r="L186" s="82">
        <v>393300</v>
      </c>
      <c r="M186" s="100">
        <v>6.7000000000000004E-2</v>
      </c>
    </row>
    <row r="187" spans="1:13" s="101" customFormat="1" x14ac:dyDescent="0.25">
      <c r="A187" s="91">
        <v>552</v>
      </c>
      <c r="B187" s="91">
        <v>105642</v>
      </c>
      <c r="C187" s="92" t="s">
        <v>956</v>
      </c>
      <c r="D187" s="121" t="str">
        <f t="shared" si="9"/>
        <v>SIKADUR-510 DARK GREY CO         BG 40KG "E"</v>
      </c>
      <c r="E187" s="93" t="s">
        <v>953</v>
      </c>
      <c r="F187" s="94"/>
      <c r="G187" s="95" t="s">
        <v>108</v>
      </c>
      <c r="H187" s="96">
        <v>40</v>
      </c>
      <c r="I187" s="97" t="s">
        <v>50</v>
      </c>
      <c r="J187" s="98">
        <v>1</v>
      </c>
      <c r="K187" s="99" t="s">
        <v>8</v>
      </c>
      <c r="L187" s="82">
        <v>393300</v>
      </c>
      <c r="M187" s="100">
        <v>6.7000000000000004E-2</v>
      </c>
    </row>
    <row r="188" spans="1:13" s="101" customFormat="1" x14ac:dyDescent="0.25">
      <c r="A188" s="91">
        <v>549</v>
      </c>
      <c r="B188" s="91">
        <v>105643</v>
      </c>
      <c r="C188" s="92" t="s">
        <v>952</v>
      </c>
      <c r="D188" s="121" t="str">
        <f t="shared" si="9"/>
        <v>SIKADUR-510 BLACK CO             BG 40KG "E"</v>
      </c>
      <c r="E188" s="93" t="s">
        <v>953</v>
      </c>
      <c r="F188" s="94"/>
      <c r="G188" s="95" t="s">
        <v>31</v>
      </c>
      <c r="H188" s="96">
        <v>40</v>
      </c>
      <c r="I188" s="97" t="s">
        <v>50</v>
      </c>
      <c r="J188" s="98">
        <v>1</v>
      </c>
      <c r="K188" s="99" t="s">
        <v>8</v>
      </c>
      <c r="L188" s="82">
        <v>393300</v>
      </c>
      <c r="M188" s="100">
        <v>6.7000000000000004E-2</v>
      </c>
    </row>
    <row r="189" spans="1:13" s="101" customFormat="1" x14ac:dyDescent="0.25">
      <c r="A189" s="91">
        <v>554</v>
      </c>
      <c r="B189" s="91">
        <v>105644</v>
      </c>
      <c r="C189" s="92" t="s">
        <v>958</v>
      </c>
      <c r="D189" s="121" t="str">
        <f t="shared" si="9"/>
        <v>SIKADUR-510 OXIDE RED CO         BG 40KG "E"</v>
      </c>
      <c r="E189" s="93" t="s">
        <v>953</v>
      </c>
      <c r="F189" s="94"/>
      <c r="G189" s="95" t="s">
        <v>62</v>
      </c>
      <c r="H189" s="96">
        <v>40</v>
      </c>
      <c r="I189" s="97" t="s">
        <v>50</v>
      </c>
      <c r="J189" s="98">
        <v>1</v>
      </c>
      <c r="K189" s="99" t="s">
        <v>8</v>
      </c>
      <c r="L189" s="82">
        <v>393300</v>
      </c>
      <c r="M189" s="100">
        <v>6.7000000000000004E-2</v>
      </c>
    </row>
    <row r="190" spans="1:13" s="101" customFormat="1" x14ac:dyDescent="0.25">
      <c r="A190" s="91">
        <v>674</v>
      </c>
      <c r="B190" s="91">
        <v>105657</v>
      </c>
      <c r="C190" s="92" t="s">
        <v>1077</v>
      </c>
      <c r="D190" s="121" t="str">
        <f t="shared" si="9"/>
        <v>SIKAPISO DECOR GREY CO           BG 50KG "E"</v>
      </c>
      <c r="E190" s="93" t="s">
        <v>1078</v>
      </c>
      <c r="F190" s="94"/>
      <c r="G190" s="95" t="s">
        <v>14</v>
      </c>
      <c r="H190" s="96">
        <v>50</v>
      </c>
      <c r="I190" s="97" t="s">
        <v>50</v>
      </c>
      <c r="J190" s="98">
        <v>1</v>
      </c>
      <c r="K190" s="99" t="s">
        <v>8</v>
      </c>
      <c r="L190" s="82">
        <v>233950</v>
      </c>
      <c r="M190" s="100">
        <v>8.199999999999999E-2</v>
      </c>
    </row>
    <row r="191" spans="1:13" s="101" customFormat="1" x14ac:dyDescent="0.25">
      <c r="A191" s="91">
        <v>675</v>
      </c>
      <c r="B191" s="91">
        <v>105658</v>
      </c>
      <c r="C191" s="92" t="s">
        <v>1079</v>
      </c>
      <c r="D191" s="121" t="str">
        <f t="shared" si="9"/>
        <v>SIKAPISO DECOR LAJILLA CO        BG 50KG "E"</v>
      </c>
      <c r="E191" s="93" t="s">
        <v>1078</v>
      </c>
      <c r="F191" s="94"/>
      <c r="G191" s="95" t="s">
        <v>127</v>
      </c>
      <c r="H191" s="96">
        <v>50</v>
      </c>
      <c r="I191" s="97" t="s">
        <v>50</v>
      </c>
      <c r="J191" s="98">
        <v>1</v>
      </c>
      <c r="K191" s="99" t="s">
        <v>8</v>
      </c>
      <c r="L191" s="82">
        <v>589550</v>
      </c>
      <c r="M191" s="100">
        <v>8.199999999999999E-2</v>
      </c>
    </row>
    <row r="192" spans="1:13" s="101" customFormat="1" x14ac:dyDescent="0.25">
      <c r="A192" s="91">
        <v>676</v>
      </c>
      <c r="B192" s="91">
        <v>105659</v>
      </c>
      <c r="C192" s="92" t="s">
        <v>1080</v>
      </c>
      <c r="D192" s="121" t="str">
        <f t="shared" si="9"/>
        <v>SIKAPISO DECOR OCHRE CO          BG 50KG "E"</v>
      </c>
      <c r="E192" s="93" t="s">
        <v>1078</v>
      </c>
      <c r="F192" s="94"/>
      <c r="G192" s="95" t="s">
        <v>118</v>
      </c>
      <c r="H192" s="96">
        <v>50</v>
      </c>
      <c r="I192" s="97" t="s">
        <v>50</v>
      </c>
      <c r="J192" s="98">
        <v>1</v>
      </c>
      <c r="K192" s="99" t="s">
        <v>8</v>
      </c>
      <c r="L192" s="82">
        <v>488850</v>
      </c>
      <c r="M192" s="100">
        <v>8.199999999999999E-2</v>
      </c>
    </row>
    <row r="193" spans="1:13" s="115" customFormat="1" x14ac:dyDescent="0.25">
      <c r="A193" s="91">
        <v>677</v>
      </c>
      <c r="B193" s="91">
        <v>105660</v>
      </c>
      <c r="C193" s="92" t="s">
        <v>1081</v>
      </c>
      <c r="D193" s="121" t="str">
        <f t="shared" si="9"/>
        <v>SIKAPISO DECOR TERRACOTTA CO     BG 50KG "E"</v>
      </c>
      <c r="E193" s="93" t="s">
        <v>1078</v>
      </c>
      <c r="F193" s="114"/>
      <c r="G193" s="109" t="s">
        <v>128</v>
      </c>
      <c r="H193" s="96">
        <v>50</v>
      </c>
      <c r="I193" s="97" t="s">
        <v>50</v>
      </c>
      <c r="J193" s="98">
        <v>1</v>
      </c>
      <c r="K193" s="99" t="s">
        <v>8</v>
      </c>
      <c r="L193" s="82">
        <v>302900</v>
      </c>
      <c r="M193" s="100">
        <v>8.199999999999999E-2</v>
      </c>
    </row>
    <row r="194" spans="1:13" s="101" customFormat="1" x14ac:dyDescent="0.25">
      <c r="A194" s="26">
        <v>671</v>
      </c>
      <c r="B194" s="26">
        <v>105689</v>
      </c>
      <c r="C194" s="27" t="s">
        <v>1073</v>
      </c>
      <c r="D194" s="27" t="str">
        <f t="shared" ref="D194:D201" si="10">UPPER(C194)</f>
        <v>SIKAGARD-68(AB)BRILLANTE RAL7035  7,28KG</v>
      </c>
      <c r="E194" s="28" t="s">
        <v>1072</v>
      </c>
      <c r="F194" s="29"/>
      <c r="G194" s="30" t="s">
        <v>63</v>
      </c>
      <c r="H194" s="31">
        <v>7.3</v>
      </c>
      <c r="I194" s="32" t="s">
        <v>50</v>
      </c>
      <c r="J194" s="33">
        <v>4</v>
      </c>
      <c r="K194" s="34" t="s">
        <v>8</v>
      </c>
      <c r="L194" s="82">
        <v>760350</v>
      </c>
      <c r="M194" s="35">
        <v>8.199999999999999E-2</v>
      </c>
    </row>
    <row r="195" spans="1:13" s="101" customFormat="1" x14ac:dyDescent="0.25">
      <c r="A195" s="26">
        <v>670</v>
      </c>
      <c r="B195" s="26">
        <v>105690</v>
      </c>
      <c r="C195" s="27" t="s">
        <v>1071</v>
      </c>
      <c r="D195" s="27" t="str">
        <f t="shared" si="10"/>
        <v>SIKAGARD-68(AB)BRILLANTE IVORY CO  7,3KG</v>
      </c>
      <c r="E195" s="28" t="s">
        <v>1072</v>
      </c>
      <c r="F195" s="29"/>
      <c r="G195" s="30" t="s">
        <v>35</v>
      </c>
      <c r="H195" s="31">
        <v>7.3</v>
      </c>
      <c r="I195" s="32" t="s">
        <v>50</v>
      </c>
      <c r="J195" s="33">
        <v>1</v>
      </c>
      <c r="K195" s="34" t="s">
        <v>8</v>
      </c>
      <c r="L195" s="82">
        <v>760350</v>
      </c>
      <c r="M195" s="35">
        <v>8.199999999999999E-2</v>
      </c>
    </row>
    <row r="196" spans="1:13" s="101" customFormat="1" x14ac:dyDescent="0.25">
      <c r="A196" s="26">
        <v>10</v>
      </c>
      <c r="B196" s="26">
        <v>109158</v>
      </c>
      <c r="C196" s="27" t="s">
        <v>197</v>
      </c>
      <c r="D196" s="27" t="str">
        <f t="shared" si="10"/>
        <v>PEGA ENCHAPE SIKA CO             BG 50KG</v>
      </c>
      <c r="E196" s="28" t="s">
        <v>194</v>
      </c>
      <c r="F196" s="29"/>
      <c r="G196" s="30" t="s">
        <v>14</v>
      </c>
      <c r="H196" s="31">
        <v>50</v>
      </c>
      <c r="I196" s="32" t="s">
        <v>50</v>
      </c>
      <c r="J196" s="33">
        <v>1</v>
      </c>
      <c r="K196" s="34" t="s">
        <v>8</v>
      </c>
      <c r="L196" s="82">
        <v>58100</v>
      </c>
      <c r="M196" s="35">
        <v>9.4E-2</v>
      </c>
    </row>
    <row r="197" spans="1:13" s="101" customFormat="1" x14ac:dyDescent="0.25">
      <c r="A197" s="26">
        <v>8</v>
      </c>
      <c r="B197" s="26">
        <v>109159</v>
      </c>
      <c r="C197" s="27" t="s">
        <v>195</v>
      </c>
      <c r="D197" s="27" t="str">
        <f t="shared" si="10"/>
        <v>PEGA ENCHAPE SIKA CO             BG 25KG</v>
      </c>
      <c r="E197" s="28" t="s">
        <v>194</v>
      </c>
      <c r="F197" s="29"/>
      <c r="G197" s="30" t="s">
        <v>14</v>
      </c>
      <c r="H197" s="31">
        <v>25</v>
      </c>
      <c r="I197" s="32" t="s">
        <v>50</v>
      </c>
      <c r="J197" s="33">
        <v>1</v>
      </c>
      <c r="K197" s="34" t="s">
        <v>8</v>
      </c>
      <c r="L197" s="82">
        <v>31900</v>
      </c>
      <c r="M197" s="35">
        <v>9.4E-2</v>
      </c>
    </row>
    <row r="198" spans="1:13" s="101" customFormat="1" x14ac:dyDescent="0.25">
      <c r="A198" s="26">
        <v>7</v>
      </c>
      <c r="B198" s="26">
        <v>109160</v>
      </c>
      <c r="C198" s="27" t="s">
        <v>193</v>
      </c>
      <c r="D198" s="27" t="str">
        <f t="shared" si="10"/>
        <v>PEGA ENCHAPE SIKA CO             /3X10KG</v>
      </c>
      <c r="E198" s="28" t="s">
        <v>194</v>
      </c>
      <c r="F198" s="29"/>
      <c r="G198" s="30" t="s">
        <v>14</v>
      </c>
      <c r="H198" s="31">
        <v>10</v>
      </c>
      <c r="I198" s="32" t="s">
        <v>50</v>
      </c>
      <c r="J198" s="33">
        <v>3</v>
      </c>
      <c r="K198" s="34" t="s">
        <v>8</v>
      </c>
      <c r="L198" s="82">
        <v>22950</v>
      </c>
      <c r="M198" s="35">
        <v>9.4E-2</v>
      </c>
    </row>
    <row r="199" spans="1:13" s="101" customFormat="1" x14ac:dyDescent="0.25">
      <c r="A199" s="26">
        <v>721</v>
      </c>
      <c r="B199" s="26">
        <v>109161</v>
      </c>
      <c r="C199" s="27" t="s">
        <v>1135</v>
      </c>
      <c r="D199" s="27" t="str">
        <f t="shared" si="10"/>
        <v>SIKATECHO E CO           (1GAL) /4X3,5KG</v>
      </c>
      <c r="E199" s="28" t="s">
        <v>1134</v>
      </c>
      <c r="F199" s="29"/>
      <c r="G199" s="30"/>
      <c r="H199" s="31">
        <v>3.5</v>
      </c>
      <c r="I199" s="32" t="s">
        <v>50</v>
      </c>
      <c r="J199" s="33">
        <v>4</v>
      </c>
      <c r="K199" s="34" t="s">
        <v>8</v>
      </c>
      <c r="L199" s="82">
        <v>39950</v>
      </c>
      <c r="M199" s="35">
        <v>8.2500000000000004E-2</v>
      </c>
    </row>
    <row r="200" spans="1:13" s="101" customFormat="1" x14ac:dyDescent="0.25">
      <c r="A200" s="26">
        <v>723</v>
      </c>
      <c r="B200" s="26">
        <v>109162</v>
      </c>
      <c r="C200" s="27" t="s">
        <v>1137</v>
      </c>
      <c r="D200" s="27" t="str">
        <f t="shared" si="10"/>
        <v>SIKATECHO E CO            PL (5GAL) 18KG</v>
      </c>
      <c r="E200" s="28" t="s">
        <v>1134</v>
      </c>
      <c r="F200" s="29"/>
      <c r="G200" s="30"/>
      <c r="H200" s="31">
        <v>18</v>
      </c>
      <c r="I200" s="32" t="s">
        <v>50</v>
      </c>
      <c r="J200" s="33">
        <v>1</v>
      </c>
      <c r="K200" s="34" t="s">
        <v>8</v>
      </c>
      <c r="L200" s="82">
        <v>165050</v>
      </c>
      <c r="M200" s="35">
        <v>8.2500000000000004E-2</v>
      </c>
    </row>
    <row r="201" spans="1:13" s="115" customFormat="1" x14ac:dyDescent="0.25">
      <c r="A201" s="26">
        <v>724</v>
      </c>
      <c r="B201" s="26">
        <v>109163</v>
      </c>
      <c r="C201" s="27" t="s">
        <v>1138</v>
      </c>
      <c r="D201" s="27" t="str">
        <f t="shared" si="10"/>
        <v>SIKATECHO E CO             (55GAL) 200KG</v>
      </c>
      <c r="E201" s="28" t="s">
        <v>1134</v>
      </c>
      <c r="F201" s="88"/>
      <c r="G201" s="41"/>
      <c r="H201" s="31">
        <v>200</v>
      </c>
      <c r="I201" s="32" t="s">
        <v>50</v>
      </c>
      <c r="J201" s="33">
        <v>1</v>
      </c>
      <c r="K201" s="34" t="s">
        <v>8</v>
      </c>
      <c r="L201" s="82">
        <v>1502750</v>
      </c>
      <c r="M201" s="35">
        <v>8.2500000000000004E-2</v>
      </c>
    </row>
    <row r="202" spans="1:13" s="101" customFormat="1" x14ac:dyDescent="0.25">
      <c r="A202" s="91">
        <v>714</v>
      </c>
      <c r="B202" s="119">
        <v>110599</v>
      </c>
      <c r="C202" s="103" t="s">
        <v>136</v>
      </c>
      <c r="D202" s="121" t="str">
        <f t="shared" ref="D202:D233" si="11">CONCATENATE(UPPER(C202),$D$3)</f>
        <v>SF T METAL SHEET RAL7040 1,00/2       M2 "E"</v>
      </c>
      <c r="E202" s="103" t="s">
        <v>1126</v>
      </c>
      <c r="F202" s="94"/>
      <c r="G202" s="103"/>
      <c r="H202" s="96">
        <v>2</v>
      </c>
      <c r="I202" s="97" t="s">
        <v>135</v>
      </c>
      <c r="J202" s="98">
        <v>1</v>
      </c>
      <c r="K202" s="99" t="s">
        <v>8</v>
      </c>
      <c r="L202" s="82">
        <v>1096800</v>
      </c>
      <c r="M202" s="100">
        <v>7.2499999999999995E-2</v>
      </c>
    </row>
    <row r="203" spans="1:13" s="101" customFormat="1" x14ac:dyDescent="0.25">
      <c r="A203" s="91">
        <v>472</v>
      </c>
      <c r="B203" s="91">
        <v>150963</v>
      </c>
      <c r="C203" s="92" t="s">
        <v>853</v>
      </c>
      <c r="D203" s="121" t="str">
        <f t="shared" si="11"/>
        <v>ESMALTE URETANO (A) RAL1003 CO   PL 4GAL "E"</v>
      </c>
      <c r="E203" s="93" t="s">
        <v>848</v>
      </c>
      <c r="F203" s="94"/>
      <c r="G203" s="95" t="s">
        <v>72</v>
      </c>
      <c r="H203" s="96">
        <v>4</v>
      </c>
      <c r="I203" s="97" t="s">
        <v>1443</v>
      </c>
      <c r="J203" s="98">
        <v>1</v>
      </c>
      <c r="K203" s="99" t="s">
        <v>8</v>
      </c>
      <c r="L203" s="82">
        <v>1550750</v>
      </c>
      <c r="M203" s="100">
        <v>6.6000000000000003E-2</v>
      </c>
    </row>
    <row r="204" spans="1:13" s="101" customFormat="1" x14ac:dyDescent="0.25">
      <c r="A204" s="91">
        <v>481</v>
      </c>
      <c r="B204" s="91">
        <v>150968</v>
      </c>
      <c r="C204" s="92" t="s">
        <v>862</v>
      </c>
      <c r="D204" s="121" t="str">
        <f t="shared" si="11"/>
        <v>ESMALTE URETANO (A) RAL5017 CO   PL 4GAL "E"</v>
      </c>
      <c r="E204" s="93" t="s">
        <v>848</v>
      </c>
      <c r="F204" s="94"/>
      <c r="G204" s="95" t="s">
        <v>74</v>
      </c>
      <c r="H204" s="96">
        <v>4</v>
      </c>
      <c r="I204" s="97" t="s">
        <v>1443</v>
      </c>
      <c r="J204" s="98">
        <v>1</v>
      </c>
      <c r="K204" s="99" t="s">
        <v>8</v>
      </c>
      <c r="L204" s="82">
        <v>1478150</v>
      </c>
      <c r="M204" s="100">
        <v>6.6000000000000003E-2</v>
      </c>
    </row>
    <row r="205" spans="1:13" s="101" customFormat="1" x14ac:dyDescent="0.25">
      <c r="A205" s="91">
        <v>479</v>
      </c>
      <c r="B205" s="91">
        <v>150999</v>
      </c>
      <c r="C205" s="92" t="s">
        <v>860</v>
      </c>
      <c r="D205" s="121" t="str">
        <f t="shared" si="11"/>
        <v>ESMALTE URETANO (A) RAL5012 CO   PL 4GAL "E"</v>
      </c>
      <c r="E205" s="93" t="s">
        <v>848</v>
      </c>
      <c r="F205" s="94"/>
      <c r="G205" s="95" t="s">
        <v>83</v>
      </c>
      <c r="H205" s="96">
        <v>4</v>
      </c>
      <c r="I205" s="97" t="s">
        <v>1443</v>
      </c>
      <c r="J205" s="98">
        <v>1</v>
      </c>
      <c r="K205" s="99" t="s">
        <v>8</v>
      </c>
      <c r="L205" s="82">
        <v>1521200</v>
      </c>
      <c r="M205" s="100">
        <v>6.6000000000000003E-2</v>
      </c>
    </row>
    <row r="206" spans="1:13" s="101" customFormat="1" x14ac:dyDescent="0.25">
      <c r="A206" s="91">
        <v>480</v>
      </c>
      <c r="B206" s="91">
        <v>151001</v>
      </c>
      <c r="C206" s="92" t="s">
        <v>861</v>
      </c>
      <c r="D206" s="121" t="str">
        <f t="shared" si="11"/>
        <v>ESMALTE URETANO (A) RAL5015 CO   PL 4GAL "E"</v>
      </c>
      <c r="E206" s="93" t="s">
        <v>848</v>
      </c>
      <c r="F206" s="94"/>
      <c r="G206" s="95" t="s">
        <v>84</v>
      </c>
      <c r="H206" s="96">
        <v>4</v>
      </c>
      <c r="I206" s="97" t="s">
        <v>1443</v>
      </c>
      <c r="J206" s="98">
        <v>1</v>
      </c>
      <c r="K206" s="99" t="s">
        <v>8</v>
      </c>
      <c r="L206" s="82">
        <v>1378450</v>
      </c>
      <c r="M206" s="100">
        <v>6.6000000000000003E-2</v>
      </c>
    </row>
    <row r="207" spans="1:13" s="101" customFormat="1" x14ac:dyDescent="0.25">
      <c r="A207" s="91">
        <v>488</v>
      </c>
      <c r="B207" s="91">
        <v>151003</v>
      </c>
      <c r="C207" s="92" t="s">
        <v>869</v>
      </c>
      <c r="D207" s="121" t="str">
        <f t="shared" si="11"/>
        <v>ESMALTE URETANO (A) RAL7030 CO   PL 4GAL "E"</v>
      </c>
      <c r="E207" s="93" t="s">
        <v>848</v>
      </c>
      <c r="F207" s="94"/>
      <c r="G207" s="95" t="s">
        <v>61</v>
      </c>
      <c r="H207" s="96">
        <v>4</v>
      </c>
      <c r="I207" s="97" t="s">
        <v>1443</v>
      </c>
      <c r="J207" s="98">
        <v>1</v>
      </c>
      <c r="K207" s="99" t="s">
        <v>8</v>
      </c>
      <c r="L207" s="82">
        <v>1459700</v>
      </c>
      <c r="M207" s="100">
        <v>6.6000000000000003E-2</v>
      </c>
    </row>
    <row r="208" spans="1:13" s="101" customFormat="1" x14ac:dyDescent="0.25">
      <c r="A208" s="91">
        <v>483</v>
      </c>
      <c r="B208" s="91">
        <v>151005</v>
      </c>
      <c r="C208" s="92" t="s">
        <v>864</v>
      </c>
      <c r="D208" s="121" t="str">
        <f t="shared" si="11"/>
        <v>ESMALTE URETANO (A) RAL6002 CO   PL 4GAL "E"</v>
      </c>
      <c r="E208" s="93" t="s">
        <v>848</v>
      </c>
      <c r="F208" s="94"/>
      <c r="G208" s="95" t="s">
        <v>86</v>
      </c>
      <c r="H208" s="96">
        <v>4</v>
      </c>
      <c r="I208" s="97" t="s">
        <v>1443</v>
      </c>
      <c r="J208" s="98">
        <v>1</v>
      </c>
      <c r="K208" s="99" t="s">
        <v>8</v>
      </c>
      <c r="L208" s="82">
        <v>1479350</v>
      </c>
      <c r="M208" s="100">
        <v>6.6000000000000003E-2</v>
      </c>
    </row>
    <row r="209" spans="1:13" s="101" customFormat="1" x14ac:dyDescent="0.25">
      <c r="A209" s="91">
        <v>471</v>
      </c>
      <c r="B209" s="91">
        <v>151006</v>
      </c>
      <c r="C209" s="92" t="s">
        <v>852</v>
      </c>
      <c r="D209" s="121" t="str">
        <f t="shared" si="11"/>
        <v>ESMALTE URETANO (A) R9016 WHITE CO  4GAL "E"</v>
      </c>
      <c r="E209" s="93" t="s">
        <v>848</v>
      </c>
      <c r="F209" s="94"/>
      <c r="G209" s="95" t="s">
        <v>67</v>
      </c>
      <c r="H209" s="96">
        <v>4</v>
      </c>
      <c r="I209" s="97" t="s">
        <v>1443</v>
      </c>
      <c r="J209" s="98">
        <v>1</v>
      </c>
      <c r="K209" s="99" t="s">
        <v>8</v>
      </c>
      <c r="L209" s="82">
        <v>1276300</v>
      </c>
      <c r="M209" s="100">
        <v>6.6000000000000003E-2</v>
      </c>
    </row>
    <row r="210" spans="1:13" s="101" customFormat="1" x14ac:dyDescent="0.25">
      <c r="A210" s="91">
        <v>489</v>
      </c>
      <c r="B210" s="91">
        <v>151007</v>
      </c>
      <c r="C210" s="92" t="s">
        <v>870</v>
      </c>
      <c r="D210" s="121" t="str">
        <f t="shared" si="11"/>
        <v>ESMALTE URETANO (A) RAL7031 CO   PL 4GAL "E"</v>
      </c>
      <c r="E210" s="93" t="s">
        <v>848</v>
      </c>
      <c r="F210" s="94"/>
      <c r="G210" s="95" t="s">
        <v>90</v>
      </c>
      <c r="H210" s="96">
        <v>4</v>
      </c>
      <c r="I210" s="97" t="s">
        <v>1443</v>
      </c>
      <c r="J210" s="98">
        <v>1</v>
      </c>
      <c r="K210" s="99" t="s">
        <v>8</v>
      </c>
      <c r="L210" s="82">
        <v>1379700</v>
      </c>
      <c r="M210" s="100">
        <v>6.6000000000000003E-2</v>
      </c>
    </row>
    <row r="211" spans="1:13" s="101" customFormat="1" x14ac:dyDescent="0.25">
      <c r="A211" s="91">
        <v>495</v>
      </c>
      <c r="B211" s="91">
        <v>151008</v>
      </c>
      <c r="C211" s="92" t="s">
        <v>876</v>
      </c>
      <c r="D211" s="121" t="str">
        <f t="shared" si="11"/>
        <v>ESMALTE URETANO (A) RAL7045 CO   PL 4GAL "E"</v>
      </c>
      <c r="E211" s="93" t="s">
        <v>848</v>
      </c>
      <c r="F211" s="94"/>
      <c r="G211" s="95" t="s">
        <v>96</v>
      </c>
      <c r="H211" s="96">
        <v>4</v>
      </c>
      <c r="I211" s="97" t="s">
        <v>1443</v>
      </c>
      <c r="J211" s="98">
        <v>1</v>
      </c>
      <c r="K211" s="99" t="s">
        <v>8</v>
      </c>
      <c r="L211" s="82">
        <v>1405550</v>
      </c>
      <c r="M211" s="100">
        <v>6.6000000000000003E-2</v>
      </c>
    </row>
    <row r="212" spans="1:13" s="101" customFormat="1" x14ac:dyDescent="0.25">
      <c r="A212" s="91">
        <v>434</v>
      </c>
      <c r="B212" s="91">
        <v>151017</v>
      </c>
      <c r="C212" s="92" t="s">
        <v>801</v>
      </c>
      <c r="D212" s="121" t="str">
        <f t="shared" si="11"/>
        <v>AUTOIMPRIMANTE EPOXICO HS FZ(A)WHIT.3GAL "E"</v>
      </c>
      <c r="E212" s="93" t="s">
        <v>799</v>
      </c>
      <c r="F212" s="94"/>
      <c r="G212" s="95" t="s">
        <v>15</v>
      </c>
      <c r="H212" s="96">
        <v>3</v>
      </c>
      <c r="I212" s="97" t="s">
        <v>1443</v>
      </c>
      <c r="J212" s="98">
        <v>1</v>
      </c>
      <c r="K212" s="99" t="s">
        <v>8</v>
      </c>
      <c r="L212" s="82">
        <v>927650</v>
      </c>
      <c r="M212" s="100">
        <v>3.4999999999999996E-2</v>
      </c>
    </row>
    <row r="213" spans="1:13" s="101" customFormat="1" x14ac:dyDescent="0.25">
      <c r="A213" s="91">
        <v>433</v>
      </c>
      <c r="B213" s="91">
        <v>151018</v>
      </c>
      <c r="C213" s="92" t="s">
        <v>800</v>
      </c>
      <c r="D213" s="121" t="str">
        <f t="shared" si="11"/>
        <v>AUTOIMPRIMANTE EPOXICO HS FZ(A)GREY 3GAL "E"</v>
      </c>
      <c r="E213" s="93" t="s">
        <v>799</v>
      </c>
      <c r="F213" s="94"/>
      <c r="G213" s="95" t="s">
        <v>14</v>
      </c>
      <c r="H213" s="96">
        <v>3</v>
      </c>
      <c r="I213" s="97" t="s">
        <v>1443</v>
      </c>
      <c r="J213" s="98">
        <v>1</v>
      </c>
      <c r="K213" s="99" t="s">
        <v>8</v>
      </c>
      <c r="L213" s="82">
        <v>917800</v>
      </c>
      <c r="M213" s="100">
        <v>3.4999999999999996E-2</v>
      </c>
    </row>
    <row r="214" spans="1:13" s="101" customFormat="1" x14ac:dyDescent="0.25">
      <c r="A214" s="91">
        <v>469</v>
      </c>
      <c r="B214" s="91">
        <v>151020</v>
      </c>
      <c r="C214" s="92" t="s">
        <v>850</v>
      </c>
      <c r="D214" s="121" t="str">
        <f t="shared" si="11"/>
        <v>ESMALTE URETANO (A) ALUMINIUM CO PL 4GAL "E"</v>
      </c>
      <c r="E214" s="93" t="s">
        <v>848</v>
      </c>
      <c r="F214" s="94"/>
      <c r="G214" s="95" t="s">
        <v>68</v>
      </c>
      <c r="H214" s="96">
        <v>4</v>
      </c>
      <c r="I214" s="97" t="s">
        <v>1443</v>
      </c>
      <c r="J214" s="98">
        <v>1</v>
      </c>
      <c r="K214" s="99" t="s">
        <v>8</v>
      </c>
      <c r="L214" s="82">
        <v>1047350</v>
      </c>
      <c r="M214" s="100">
        <v>6.6000000000000003E-2</v>
      </c>
    </row>
    <row r="215" spans="1:13" s="101" customFormat="1" x14ac:dyDescent="0.25">
      <c r="A215" s="91">
        <v>491</v>
      </c>
      <c r="B215" s="91">
        <v>151021</v>
      </c>
      <c r="C215" s="92" t="s">
        <v>872</v>
      </c>
      <c r="D215" s="121" t="str">
        <f t="shared" si="11"/>
        <v>ESMALTE URETANO (A) RAL7035 CO   PL 4GAL "E"</v>
      </c>
      <c r="E215" s="93" t="s">
        <v>848</v>
      </c>
      <c r="F215" s="94"/>
      <c r="G215" s="95" t="s">
        <v>92</v>
      </c>
      <c r="H215" s="96">
        <v>4</v>
      </c>
      <c r="I215" s="97" t="s">
        <v>1443</v>
      </c>
      <c r="J215" s="98">
        <v>1</v>
      </c>
      <c r="K215" s="99" t="s">
        <v>8</v>
      </c>
      <c r="L215" s="82">
        <v>1393250</v>
      </c>
      <c r="M215" s="100">
        <v>6.6000000000000003E-2</v>
      </c>
    </row>
    <row r="216" spans="1:13" s="101" customFormat="1" x14ac:dyDescent="0.25">
      <c r="A216" s="91">
        <v>492</v>
      </c>
      <c r="B216" s="91">
        <v>151024</v>
      </c>
      <c r="C216" s="92" t="s">
        <v>873</v>
      </c>
      <c r="D216" s="121" t="str">
        <f t="shared" si="11"/>
        <v>ESMALTE URETANO (A) RAL7038 CO   PL 4GAL "E"</v>
      </c>
      <c r="E216" s="93" t="s">
        <v>848</v>
      </c>
      <c r="F216" s="94"/>
      <c r="G216" s="95" t="s">
        <v>93</v>
      </c>
      <c r="H216" s="96">
        <v>4</v>
      </c>
      <c r="I216" s="97" t="s">
        <v>1443</v>
      </c>
      <c r="J216" s="98">
        <v>1</v>
      </c>
      <c r="K216" s="99" t="s">
        <v>8</v>
      </c>
      <c r="L216" s="82">
        <v>1479350</v>
      </c>
      <c r="M216" s="100">
        <v>6.6000000000000003E-2</v>
      </c>
    </row>
    <row r="217" spans="1:13" s="101" customFormat="1" x14ac:dyDescent="0.25">
      <c r="A217" s="91">
        <v>474</v>
      </c>
      <c r="B217" s="91">
        <v>151027</v>
      </c>
      <c r="C217" s="92" t="s">
        <v>855</v>
      </c>
      <c r="D217" s="121" t="str">
        <f t="shared" si="11"/>
        <v>ESMALTE URETANO (A) RAL2009 CO   PL 4GAL "E"</v>
      </c>
      <c r="E217" s="93" t="s">
        <v>848</v>
      </c>
      <c r="F217" s="94"/>
      <c r="G217" s="95" t="s">
        <v>73</v>
      </c>
      <c r="H217" s="96">
        <v>4</v>
      </c>
      <c r="I217" s="97" t="s">
        <v>1443</v>
      </c>
      <c r="J217" s="98">
        <v>1</v>
      </c>
      <c r="K217" s="99" t="s">
        <v>8</v>
      </c>
      <c r="L217" s="82">
        <v>1629500</v>
      </c>
      <c r="M217" s="100">
        <v>6.6000000000000003E-2</v>
      </c>
    </row>
    <row r="218" spans="1:13" s="101" customFormat="1" x14ac:dyDescent="0.25">
      <c r="A218" s="91">
        <v>500</v>
      </c>
      <c r="B218" s="91">
        <v>151028</v>
      </c>
      <c r="C218" s="92" t="s">
        <v>881</v>
      </c>
      <c r="D218" s="121" t="str">
        <f t="shared" si="11"/>
        <v>ESMALTE URETANO (A) RAL9005 CO   PL 4GAL "E"</v>
      </c>
      <c r="E218" s="93" t="s">
        <v>848</v>
      </c>
      <c r="F218" s="94"/>
      <c r="G218" s="95" t="s">
        <v>75</v>
      </c>
      <c r="H218" s="96">
        <v>4</v>
      </c>
      <c r="I218" s="97" t="s">
        <v>1443</v>
      </c>
      <c r="J218" s="98">
        <v>1</v>
      </c>
      <c r="K218" s="99" t="s">
        <v>8</v>
      </c>
      <c r="L218" s="82">
        <v>1438750</v>
      </c>
      <c r="M218" s="100">
        <v>6.6000000000000003E-2</v>
      </c>
    </row>
    <row r="219" spans="1:13" s="101" customFormat="1" x14ac:dyDescent="0.25">
      <c r="A219" s="91">
        <v>470</v>
      </c>
      <c r="B219" s="91">
        <v>151033</v>
      </c>
      <c r="C219" s="92" t="s">
        <v>851</v>
      </c>
      <c r="D219" s="121" t="str">
        <f t="shared" si="11"/>
        <v>ESMALTE URETANO (A) GREY ANSI-70 CO 4GAL "E"</v>
      </c>
      <c r="E219" s="93" t="s">
        <v>848</v>
      </c>
      <c r="F219" s="94"/>
      <c r="G219" s="95" t="s">
        <v>77</v>
      </c>
      <c r="H219" s="96">
        <v>4</v>
      </c>
      <c r="I219" s="97" t="s">
        <v>1443</v>
      </c>
      <c r="J219" s="98">
        <v>1</v>
      </c>
      <c r="K219" s="99" t="s">
        <v>8</v>
      </c>
      <c r="L219" s="82">
        <v>1405550</v>
      </c>
      <c r="M219" s="100">
        <v>6.6000000000000003E-2</v>
      </c>
    </row>
    <row r="220" spans="1:13" s="101" customFormat="1" x14ac:dyDescent="0.25">
      <c r="A220" s="91">
        <v>502</v>
      </c>
      <c r="B220" s="91">
        <v>151036</v>
      </c>
      <c r="C220" s="92" t="s">
        <v>883</v>
      </c>
      <c r="D220" s="121" t="str">
        <f t="shared" si="11"/>
        <v>ESMALTE URETANO(A)ESMERALDO GREEN   4GAL "E"</v>
      </c>
      <c r="E220" s="93" t="s">
        <v>848</v>
      </c>
      <c r="F220" s="94"/>
      <c r="G220" s="95" t="s">
        <v>102</v>
      </c>
      <c r="H220" s="96">
        <v>4</v>
      </c>
      <c r="I220" s="97" t="s">
        <v>1443</v>
      </c>
      <c r="J220" s="98">
        <v>1</v>
      </c>
      <c r="K220" s="99" t="s">
        <v>8</v>
      </c>
      <c r="L220" s="82">
        <v>1596300</v>
      </c>
      <c r="M220" s="100">
        <v>6.6000000000000003E-2</v>
      </c>
    </row>
    <row r="221" spans="1:13" s="101" customFormat="1" x14ac:dyDescent="0.25">
      <c r="A221" s="91">
        <v>486</v>
      </c>
      <c r="B221" s="91">
        <v>151037</v>
      </c>
      <c r="C221" s="92" t="s">
        <v>867</v>
      </c>
      <c r="D221" s="121" t="str">
        <f t="shared" si="11"/>
        <v>ESMALTE URETANO (A) RAL6021 CO   PL 4GAL "E"</v>
      </c>
      <c r="E221" s="93" t="s">
        <v>848</v>
      </c>
      <c r="F221" s="94"/>
      <c r="G221" s="95" t="s">
        <v>89</v>
      </c>
      <c r="H221" s="96">
        <v>4</v>
      </c>
      <c r="I221" s="97" t="s">
        <v>1443</v>
      </c>
      <c r="J221" s="98">
        <v>1</v>
      </c>
      <c r="K221" s="99" t="s">
        <v>8</v>
      </c>
      <c r="L221" s="82">
        <v>1501550</v>
      </c>
      <c r="M221" s="100">
        <v>6.6000000000000003E-2</v>
      </c>
    </row>
    <row r="222" spans="1:13" s="101" customFormat="1" x14ac:dyDescent="0.25">
      <c r="A222" s="91">
        <v>484</v>
      </c>
      <c r="B222" s="91">
        <v>151049</v>
      </c>
      <c r="C222" s="92" t="s">
        <v>865</v>
      </c>
      <c r="D222" s="121" t="str">
        <f t="shared" si="11"/>
        <v>ESMALTE URETANO (A) RAL6016 CO   PL 4GAL "E"</v>
      </c>
      <c r="E222" s="93" t="s">
        <v>848</v>
      </c>
      <c r="F222" s="94"/>
      <c r="G222" s="95" t="s">
        <v>87</v>
      </c>
      <c r="H222" s="96">
        <v>4</v>
      </c>
      <c r="I222" s="97" t="s">
        <v>1443</v>
      </c>
      <c r="J222" s="98">
        <v>1</v>
      </c>
      <c r="K222" s="99" t="s">
        <v>8</v>
      </c>
      <c r="L222" s="82">
        <v>1588900</v>
      </c>
      <c r="M222" s="100">
        <v>6.6000000000000003E-2</v>
      </c>
    </row>
    <row r="223" spans="1:13" s="101" customFormat="1" x14ac:dyDescent="0.25">
      <c r="A223" s="91">
        <v>460</v>
      </c>
      <c r="B223" s="91">
        <v>151054</v>
      </c>
      <c r="C223" s="92" t="s">
        <v>840</v>
      </c>
      <c r="D223" s="121" t="str">
        <f t="shared" si="11"/>
        <v>ESMALTE EPOXICO (A) RAL1003 CO   /4X1GAL "E"</v>
      </c>
      <c r="E223" s="93" t="s">
        <v>839</v>
      </c>
      <c r="F223" s="94"/>
      <c r="G223" s="95" t="s">
        <v>72</v>
      </c>
      <c r="H223" s="96">
        <v>1</v>
      </c>
      <c r="I223" s="97" t="s">
        <v>1443</v>
      </c>
      <c r="J223" s="98">
        <v>4</v>
      </c>
      <c r="K223" s="99" t="s">
        <v>8</v>
      </c>
      <c r="L223" s="82">
        <v>245200</v>
      </c>
      <c r="M223" s="100">
        <v>9.286585678852799E-2</v>
      </c>
    </row>
    <row r="224" spans="1:13" s="101" customFormat="1" x14ac:dyDescent="0.25">
      <c r="A224" s="91">
        <v>462</v>
      </c>
      <c r="B224" s="91">
        <v>151058</v>
      </c>
      <c r="C224" s="92" t="s">
        <v>842</v>
      </c>
      <c r="D224" s="121" t="str">
        <f t="shared" si="11"/>
        <v>ESMALTE EPOXICO (A) RAL5017 CO   /4X1GAL "E"</v>
      </c>
      <c r="E224" s="93" t="s">
        <v>839</v>
      </c>
      <c r="F224" s="94"/>
      <c r="G224" s="95" t="s">
        <v>74</v>
      </c>
      <c r="H224" s="96">
        <v>1</v>
      </c>
      <c r="I224" s="97" t="s">
        <v>1443</v>
      </c>
      <c r="J224" s="98">
        <v>4</v>
      </c>
      <c r="K224" s="99" t="s">
        <v>8</v>
      </c>
      <c r="L224" s="82">
        <v>232800</v>
      </c>
      <c r="M224" s="100">
        <v>9.286585678852799E-2</v>
      </c>
    </row>
    <row r="225" spans="1:13" s="101" customFormat="1" x14ac:dyDescent="0.25">
      <c r="A225" s="91">
        <v>465</v>
      </c>
      <c r="B225" s="91">
        <v>151060</v>
      </c>
      <c r="C225" s="92" t="s">
        <v>845</v>
      </c>
      <c r="D225" s="121" t="str">
        <f t="shared" si="11"/>
        <v>ESMALTE EPOXICO (A) RAL9016 CO   /4X1GAL "E"</v>
      </c>
      <c r="E225" s="93" t="s">
        <v>839</v>
      </c>
      <c r="F225" s="94"/>
      <c r="G225" s="95" t="s">
        <v>67</v>
      </c>
      <c r="H225" s="96">
        <v>1</v>
      </c>
      <c r="I225" s="97" t="s">
        <v>1443</v>
      </c>
      <c r="J225" s="98">
        <v>4</v>
      </c>
      <c r="K225" s="99" t="s">
        <v>8</v>
      </c>
      <c r="L225" s="82">
        <v>251400</v>
      </c>
      <c r="M225" s="100">
        <v>9.286585678852799E-2</v>
      </c>
    </row>
    <row r="226" spans="1:13" s="101" customFormat="1" x14ac:dyDescent="0.25">
      <c r="A226" s="91">
        <v>459</v>
      </c>
      <c r="B226" s="91">
        <v>151062</v>
      </c>
      <c r="C226" s="92" t="s">
        <v>838</v>
      </c>
      <c r="D226" s="121" t="str">
        <f t="shared" si="11"/>
        <v>ESMALTE EPOXICO (A) ALUMINIUM CO /4X1GAL "E"</v>
      </c>
      <c r="E226" s="93" t="s">
        <v>839</v>
      </c>
      <c r="F226" s="94"/>
      <c r="G226" s="95" t="s">
        <v>68</v>
      </c>
      <c r="H226" s="96">
        <v>1</v>
      </c>
      <c r="I226" s="97" t="s">
        <v>1443</v>
      </c>
      <c r="J226" s="98">
        <v>4</v>
      </c>
      <c r="K226" s="99" t="s">
        <v>8</v>
      </c>
      <c r="L226" s="82">
        <v>237800</v>
      </c>
      <c r="M226" s="100">
        <v>9.286585678852799E-2</v>
      </c>
    </row>
    <row r="227" spans="1:13" s="101" customFormat="1" x14ac:dyDescent="0.25">
      <c r="A227" s="91">
        <v>463</v>
      </c>
      <c r="B227" s="91">
        <v>151063</v>
      </c>
      <c r="C227" s="92" t="s">
        <v>843</v>
      </c>
      <c r="D227" s="121" t="str">
        <f t="shared" si="11"/>
        <v>ESMALTE EPOXICO (A) RAL7035 CO   /4X1GAL "E"</v>
      </c>
      <c r="E227" s="93" t="s">
        <v>839</v>
      </c>
      <c r="F227" s="94"/>
      <c r="G227" s="95" t="s">
        <v>63</v>
      </c>
      <c r="H227" s="96">
        <v>1</v>
      </c>
      <c r="I227" s="97" t="s">
        <v>1443</v>
      </c>
      <c r="J227" s="98">
        <v>4</v>
      </c>
      <c r="K227" s="99" t="s">
        <v>8</v>
      </c>
      <c r="L227" s="82">
        <v>250200</v>
      </c>
      <c r="M227" s="100">
        <v>9.286585678852799E-2</v>
      </c>
    </row>
    <row r="228" spans="1:13" s="101" customFormat="1" x14ac:dyDescent="0.25">
      <c r="A228" s="91">
        <v>461</v>
      </c>
      <c r="B228" s="91">
        <v>151066</v>
      </c>
      <c r="C228" s="92" t="s">
        <v>841</v>
      </c>
      <c r="D228" s="121" t="str">
        <f t="shared" si="11"/>
        <v>ESMALTE EPOXICO (A) RAL2009 CO   /4X1GAL "E"</v>
      </c>
      <c r="E228" s="93" t="s">
        <v>839</v>
      </c>
      <c r="F228" s="94"/>
      <c r="G228" s="95" t="s">
        <v>73</v>
      </c>
      <c r="H228" s="96">
        <v>1</v>
      </c>
      <c r="I228" s="97" t="s">
        <v>1443</v>
      </c>
      <c r="J228" s="98">
        <v>4</v>
      </c>
      <c r="K228" s="99" t="s">
        <v>8</v>
      </c>
      <c r="L228" s="82">
        <v>272400</v>
      </c>
      <c r="M228" s="100">
        <v>9.286585678852799E-2</v>
      </c>
    </row>
    <row r="229" spans="1:13" s="101" customFormat="1" x14ac:dyDescent="0.25">
      <c r="A229" s="91">
        <v>464</v>
      </c>
      <c r="B229" s="91">
        <v>151067</v>
      </c>
      <c r="C229" s="92" t="s">
        <v>844</v>
      </c>
      <c r="D229" s="121" t="str">
        <f t="shared" si="11"/>
        <v>ESMALTE EPOXICO (A) RAL9005 CO   /4X1GAL "E"</v>
      </c>
      <c r="E229" s="93" t="s">
        <v>839</v>
      </c>
      <c r="F229" s="94"/>
      <c r="G229" s="95" t="s">
        <v>75</v>
      </c>
      <c r="H229" s="96">
        <v>1</v>
      </c>
      <c r="I229" s="97" t="s">
        <v>1443</v>
      </c>
      <c r="J229" s="98">
        <v>4</v>
      </c>
      <c r="K229" s="99" t="s">
        <v>8</v>
      </c>
      <c r="L229" s="82">
        <v>219200</v>
      </c>
      <c r="M229" s="100">
        <v>9.286585678852799E-2</v>
      </c>
    </row>
    <row r="230" spans="1:13" s="101" customFormat="1" x14ac:dyDescent="0.25">
      <c r="A230" s="91">
        <v>438</v>
      </c>
      <c r="B230" s="91">
        <v>151082</v>
      </c>
      <c r="C230" s="92" t="s">
        <v>806</v>
      </c>
      <c r="D230" s="121" t="str">
        <f t="shared" si="11"/>
        <v>BARRERA EPOXICA (A) RAL7035 CO   /4X1GAL "E"</v>
      </c>
      <c r="E230" s="93" t="s">
        <v>807</v>
      </c>
      <c r="F230" s="94"/>
      <c r="G230" s="95" t="s">
        <v>14</v>
      </c>
      <c r="H230" s="96">
        <v>1</v>
      </c>
      <c r="I230" s="97" t="s">
        <v>1443</v>
      </c>
      <c r="J230" s="98">
        <v>4</v>
      </c>
      <c r="K230" s="99" t="s">
        <v>8</v>
      </c>
      <c r="L230" s="82">
        <v>246650</v>
      </c>
      <c r="M230" s="100">
        <v>9.286585678852799E-2</v>
      </c>
    </row>
    <row r="231" spans="1:13" s="101" customFormat="1" x14ac:dyDescent="0.25">
      <c r="A231" s="91">
        <v>449</v>
      </c>
      <c r="B231" s="91">
        <v>151083</v>
      </c>
      <c r="C231" s="92" t="s">
        <v>824</v>
      </c>
      <c r="D231" s="121" t="str">
        <f t="shared" si="11"/>
        <v>EPOXICO INTERIOR DE TANQUES(A)WHITE 4GAL "E"</v>
      </c>
      <c r="E231" s="93" t="s">
        <v>825</v>
      </c>
      <c r="F231" s="94"/>
      <c r="G231" s="95" t="s">
        <v>15</v>
      </c>
      <c r="H231" s="96">
        <v>4</v>
      </c>
      <c r="I231" s="97" t="s">
        <v>1443</v>
      </c>
      <c r="J231" s="98">
        <v>1</v>
      </c>
      <c r="K231" s="99" t="s">
        <v>8</v>
      </c>
      <c r="L231" s="82">
        <v>886550</v>
      </c>
      <c r="M231" s="100">
        <v>9.286585678852799E-2</v>
      </c>
    </row>
    <row r="232" spans="1:13" s="101" customFormat="1" x14ac:dyDescent="0.25">
      <c r="A232" s="91">
        <v>453</v>
      </c>
      <c r="B232" s="91">
        <v>151087</v>
      </c>
      <c r="C232" s="92" t="s">
        <v>831</v>
      </c>
      <c r="D232" s="121" t="str">
        <f t="shared" si="11"/>
        <v>EPOXIFENOLICO SERIE 45(A)RAL9016 PL 5GAL "E"</v>
      </c>
      <c r="E232" s="93" t="s">
        <v>830</v>
      </c>
      <c r="F232" s="94"/>
      <c r="G232" s="95" t="s">
        <v>67</v>
      </c>
      <c r="H232" s="96">
        <v>5</v>
      </c>
      <c r="I232" s="97" t="s">
        <v>1443</v>
      </c>
      <c r="J232" s="98">
        <v>1</v>
      </c>
      <c r="K232" s="99" t="s">
        <v>8</v>
      </c>
      <c r="L232" s="82">
        <v>1287600</v>
      </c>
      <c r="M232" s="100">
        <v>9.286585678852799E-2</v>
      </c>
    </row>
    <row r="233" spans="1:13" s="101" customFormat="1" x14ac:dyDescent="0.25">
      <c r="A233" s="91">
        <v>452</v>
      </c>
      <c r="B233" s="91">
        <v>151088</v>
      </c>
      <c r="C233" s="92" t="s">
        <v>829</v>
      </c>
      <c r="D233" s="121" t="str">
        <f t="shared" si="11"/>
        <v>EPOXIFENOLICO SERIE 45(A)GREY    PL 5GAL "E"</v>
      </c>
      <c r="E233" s="93" t="s">
        <v>830</v>
      </c>
      <c r="F233" s="94"/>
      <c r="G233" s="95" t="s">
        <v>14</v>
      </c>
      <c r="H233" s="96">
        <v>5</v>
      </c>
      <c r="I233" s="97" t="s">
        <v>1443</v>
      </c>
      <c r="J233" s="98">
        <v>1</v>
      </c>
      <c r="K233" s="99" t="s">
        <v>8</v>
      </c>
      <c r="L233" s="82">
        <v>1165150</v>
      </c>
      <c r="M233" s="100">
        <v>9.286585678852799E-2</v>
      </c>
    </row>
    <row r="234" spans="1:13" s="101" customFormat="1" x14ac:dyDescent="0.25">
      <c r="A234" s="26">
        <v>259</v>
      </c>
      <c r="B234" s="26">
        <v>151152</v>
      </c>
      <c r="C234" s="27" t="s">
        <v>550</v>
      </c>
      <c r="D234" s="27" t="str">
        <f>UPPER(C234)</f>
        <v>SIKAFLUID CO                   TANKER KG</v>
      </c>
      <c r="E234" s="28" t="s">
        <v>551</v>
      </c>
      <c r="F234" s="29"/>
      <c r="G234" s="30"/>
      <c r="H234" s="31">
        <v>1</v>
      </c>
      <c r="I234" s="32" t="s">
        <v>50</v>
      </c>
      <c r="J234" s="33">
        <v>1000</v>
      </c>
      <c r="K234" s="34" t="s">
        <v>50</v>
      </c>
      <c r="L234" s="82">
        <v>15200</v>
      </c>
      <c r="M234" s="35">
        <v>0.08</v>
      </c>
    </row>
    <row r="235" spans="1:13" s="101" customFormat="1" x14ac:dyDescent="0.25">
      <c r="A235" s="26">
        <v>170</v>
      </c>
      <c r="B235" s="26">
        <v>151155</v>
      </c>
      <c r="C235" s="27" t="s">
        <v>416</v>
      </c>
      <c r="D235" s="27" t="str">
        <f>UPPER(C235)</f>
        <v>SIKAPLASTOCRETE DM       COL   TANKER KG</v>
      </c>
      <c r="E235" s="28" t="s">
        <v>417</v>
      </c>
      <c r="F235" s="29"/>
      <c r="G235" s="30"/>
      <c r="H235" s="31">
        <v>1</v>
      </c>
      <c r="I235" s="32" t="s">
        <v>50</v>
      </c>
      <c r="J235" s="33">
        <v>1</v>
      </c>
      <c r="K235" s="34" t="s">
        <v>8</v>
      </c>
      <c r="L235" s="82">
        <v>9100</v>
      </c>
      <c r="M235" s="35">
        <v>0.08</v>
      </c>
    </row>
    <row r="236" spans="1:13" s="101" customFormat="1" x14ac:dyDescent="0.25">
      <c r="A236" s="26">
        <v>310</v>
      </c>
      <c r="B236" s="26">
        <v>151157</v>
      </c>
      <c r="C236" s="27" t="s">
        <v>631</v>
      </c>
      <c r="D236" s="27" t="str">
        <f>UPPER(C236)</f>
        <v>SIKASET NC CO                   DR 230KG</v>
      </c>
      <c r="E236" s="28" t="s">
        <v>630</v>
      </c>
      <c r="F236" s="29"/>
      <c r="G236" s="30"/>
      <c r="H236" s="31">
        <v>230</v>
      </c>
      <c r="I236" s="32" t="s">
        <v>50</v>
      </c>
      <c r="J236" s="33">
        <v>1</v>
      </c>
      <c r="K236" s="34" t="s">
        <v>8</v>
      </c>
      <c r="L236" s="82">
        <v>4847850</v>
      </c>
      <c r="M236" s="35">
        <v>6.9999999999999993E-2</v>
      </c>
    </row>
    <row r="237" spans="1:13" s="101" customFormat="1" x14ac:dyDescent="0.25">
      <c r="A237" s="91">
        <v>450</v>
      </c>
      <c r="B237" s="91">
        <v>152160</v>
      </c>
      <c r="C237" s="92" t="s">
        <v>826</v>
      </c>
      <c r="D237" s="121" t="str">
        <f t="shared" ref="D237:D246" si="12">CONCATENATE(UPPER(C237),$D$3)</f>
        <v>EPOXIFENOLICO S-400 (A) GREY CO  PL 3GAL "E"</v>
      </c>
      <c r="E237" s="93" t="s">
        <v>827</v>
      </c>
      <c r="F237" s="94"/>
      <c r="G237" s="95" t="s">
        <v>14</v>
      </c>
      <c r="H237" s="96">
        <v>3</v>
      </c>
      <c r="I237" s="97" t="s">
        <v>1443</v>
      </c>
      <c r="J237" s="98">
        <v>1</v>
      </c>
      <c r="K237" s="99" t="s">
        <v>8</v>
      </c>
      <c r="L237" s="82">
        <v>1092600</v>
      </c>
      <c r="M237" s="100">
        <v>0.1</v>
      </c>
    </row>
    <row r="238" spans="1:13" s="101" customFormat="1" x14ac:dyDescent="0.25">
      <c r="A238" s="91">
        <v>430</v>
      </c>
      <c r="B238" s="91">
        <v>152342</v>
      </c>
      <c r="C238" s="92" t="s">
        <v>796</v>
      </c>
      <c r="D238" s="121" t="str">
        <f t="shared" si="12"/>
        <v>RODILLO DE PIEL DE CARNERO(ROLLER)CO  PC "E"</v>
      </c>
      <c r="E238" s="93" t="s">
        <v>652</v>
      </c>
      <c r="F238" s="94"/>
      <c r="G238" s="95"/>
      <c r="H238" s="96">
        <v>1</v>
      </c>
      <c r="I238" s="97" t="s">
        <v>130</v>
      </c>
      <c r="J238" s="98">
        <v>1</v>
      </c>
      <c r="K238" s="99" t="s">
        <v>8</v>
      </c>
      <c r="L238" s="82">
        <v>92350</v>
      </c>
      <c r="M238" s="100">
        <v>8.199999999999999E-2</v>
      </c>
    </row>
    <row r="239" spans="1:13" s="101" customFormat="1" x14ac:dyDescent="0.25">
      <c r="A239" s="91">
        <v>633</v>
      </c>
      <c r="B239" s="91">
        <v>152346</v>
      </c>
      <c r="C239" s="92" t="s">
        <v>1035</v>
      </c>
      <c r="D239" s="121" t="str">
        <f t="shared" si="12"/>
        <v>SIKAFLOOR-3 QUARTZTOP PEARL GREY CO 50KG "E"</v>
      </c>
      <c r="E239" s="93" t="s">
        <v>1029</v>
      </c>
      <c r="F239" s="94"/>
      <c r="G239" s="95" t="s">
        <v>119</v>
      </c>
      <c r="H239" s="96">
        <v>50</v>
      </c>
      <c r="I239" s="97" t="s">
        <v>50</v>
      </c>
      <c r="J239" s="98">
        <v>1</v>
      </c>
      <c r="K239" s="99" t="s">
        <v>8</v>
      </c>
      <c r="L239" s="82">
        <v>299900</v>
      </c>
      <c r="M239" s="100">
        <v>7.7000000000000013E-2</v>
      </c>
    </row>
    <row r="240" spans="1:13" s="101" customFormat="1" x14ac:dyDescent="0.25">
      <c r="A240" s="91">
        <v>363</v>
      </c>
      <c r="B240" s="91">
        <v>152387</v>
      </c>
      <c r="C240" s="92" t="s">
        <v>706</v>
      </c>
      <c r="D240" s="121" t="str">
        <f t="shared" si="12"/>
        <v>SIKACOLOR-555W CONCRETE GREY CO  PL 25KG "E"</v>
      </c>
      <c r="E240" s="93" t="s">
        <v>707</v>
      </c>
      <c r="F240" s="94"/>
      <c r="G240" s="95" t="s">
        <v>58</v>
      </c>
      <c r="H240" s="96">
        <v>25</v>
      </c>
      <c r="I240" s="97" t="s">
        <v>50</v>
      </c>
      <c r="J240" s="98">
        <v>1</v>
      </c>
      <c r="K240" s="99" t="s">
        <v>8</v>
      </c>
      <c r="L240" s="82">
        <v>1452400</v>
      </c>
      <c r="M240" s="100">
        <v>8.6999999999999994E-2</v>
      </c>
    </row>
    <row r="241" spans="1:13" s="101" customFormat="1" x14ac:dyDescent="0.25">
      <c r="A241" s="91">
        <v>660</v>
      </c>
      <c r="B241" s="91">
        <v>152546</v>
      </c>
      <c r="C241" s="92" t="s">
        <v>1064</v>
      </c>
      <c r="D241" s="121" t="str">
        <f t="shared" si="12"/>
        <v>SIKAGARD-62 (AB) DARK GREY CO        3KG "E"</v>
      </c>
      <c r="E241" s="93" t="s">
        <v>750</v>
      </c>
      <c r="F241" s="94"/>
      <c r="G241" s="95" t="s">
        <v>108</v>
      </c>
      <c r="H241" s="96">
        <v>3</v>
      </c>
      <c r="I241" s="97" t="s">
        <v>50</v>
      </c>
      <c r="J241" s="98">
        <v>4</v>
      </c>
      <c r="K241" s="99" t="s">
        <v>8</v>
      </c>
      <c r="L241" s="82">
        <v>630500</v>
      </c>
      <c r="M241" s="100">
        <v>8.199999999999999E-2</v>
      </c>
    </row>
    <row r="242" spans="1:13" s="101" customFormat="1" x14ac:dyDescent="0.25">
      <c r="A242" s="91">
        <v>511</v>
      </c>
      <c r="B242" s="91">
        <v>152562</v>
      </c>
      <c r="C242" s="92" t="s">
        <v>893</v>
      </c>
      <c r="D242" s="121" t="str">
        <f t="shared" si="12"/>
        <v>IMPRIMANTE ALQUIDICO GREY CO     /4X1GAL "E"</v>
      </c>
      <c r="E242" s="93" t="s">
        <v>894</v>
      </c>
      <c r="F242" s="94"/>
      <c r="G242" s="95" t="s">
        <v>105</v>
      </c>
      <c r="H242" s="96">
        <v>1</v>
      </c>
      <c r="I242" s="97" t="s">
        <v>1443</v>
      </c>
      <c r="J242" s="98">
        <v>4</v>
      </c>
      <c r="K242" s="99" t="s">
        <v>8</v>
      </c>
      <c r="L242" s="82">
        <v>144100</v>
      </c>
      <c r="M242" s="100">
        <v>9.286585678852799E-2</v>
      </c>
    </row>
    <row r="243" spans="1:13" s="101" customFormat="1" x14ac:dyDescent="0.25">
      <c r="A243" s="91">
        <v>512</v>
      </c>
      <c r="B243" s="91">
        <v>152565</v>
      </c>
      <c r="C243" s="92" t="s">
        <v>895</v>
      </c>
      <c r="D243" s="121" t="str">
        <f t="shared" si="12"/>
        <v>IMPRIMANTE ALQUIDICO GREY CO     PL 5GAL "E"</v>
      </c>
      <c r="E243" s="93" t="s">
        <v>894</v>
      </c>
      <c r="F243" s="94"/>
      <c r="G243" s="95" t="s">
        <v>105</v>
      </c>
      <c r="H243" s="96">
        <v>5</v>
      </c>
      <c r="I243" s="97" t="s">
        <v>1443</v>
      </c>
      <c r="J243" s="98">
        <v>1</v>
      </c>
      <c r="K243" s="99" t="s">
        <v>8</v>
      </c>
      <c r="L243" s="82">
        <v>652600</v>
      </c>
      <c r="M243" s="100">
        <v>9.286585678852799E-2</v>
      </c>
    </row>
    <row r="244" spans="1:13" s="101" customFormat="1" x14ac:dyDescent="0.25">
      <c r="A244" s="91">
        <v>458</v>
      </c>
      <c r="B244" s="91">
        <v>152567</v>
      </c>
      <c r="C244" s="92" t="s">
        <v>837</v>
      </c>
      <c r="D244" s="121" t="str">
        <f t="shared" si="12"/>
        <v>ESMALTE ALQUIDICO YELLOW CO      /4X1GAL "E"</v>
      </c>
      <c r="E244" s="93" t="s">
        <v>833</v>
      </c>
      <c r="F244" s="94"/>
      <c r="G244" s="95" t="s">
        <v>71</v>
      </c>
      <c r="H244" s="96">
        <v>1</v>
      </c>
      <c r="I244" s="97" t="s">
        <v>1443</v>
      </c>
      <c r="J244" s="98">
        <v>4</v>
      </c>
      <c r="K244" s="99" t="s">
        <v>8</v>
      </c>
      <c r="L244" s="82">
        <v>198050</v>
      </c>
      <c r="M244" s="100">
        <v>9.286585678852799E-2</v>
      </c>
    </row>
    <row r="245" spans="1:13" s="101" customFormat="1" x14ac:dyDescent="0.25">
      <c r="A245" s="91">
        <v>457</v>
      </c>
      <c r="B245" s="91">
        <v>152574</v>
      </c>
      <c r="C245" s="92" t="s">
        <v>836</v>
      </c>
      <c r="D245" s="121" t="str">
        <f t="shared" si="12"/>
        <v>ESMALTE ALQUIDICO WHITE CO       /4X1GAL "E"</v>
      </c>
      <c r="E245" s="93" t="s">
        <v>833</v>
      </c>
      <c r="F245" s="94"/>
      <c r="G245" s="95" t="s">
        <v>15</v>
      </c>
      <c r="H245" s="96">
        <v>1</v>
      </c>
      <c r="I245" s="97" t="s">
        <v>1443</v>
      </c>
      <c r="J245" s="98">
        <v>4</v>
      </c>
      <c r="K245" s="99" t="s">
        <v>8</v>
      </c>
      <c r="L245" s="82">
        <v>167500</v>
      </c>
      <c r="M245" s="100">
        <v>9.286585678852799E-2</v>
      </c>
    </row>
    <row r="246" spans="1:13" s="101" customFormat="1" x14ac:dyDescent="0.25">
      <c r="A246" s="91">
        <v>456</v>
      </c>
      <c r="B246" s="91">
        <v>152578</v>
      </c>
      <c r="C246" s="92" t="s">
        <v>835</v>
      </c>
      <c r="D246" s="121" t="str">
        <f t="shared" si="12"/>
        <v>ESMALTE ALQUIDICO SILVER GREY CO /4X1GAL "E"</v>
      </c>
      <c r="E246" s="93" t="s">
        <v>833</v>
      </c>
      <c r="F246" s="94"/>
      <c r="G246" s="95" t="s">
        <v>70</v>
      </c>
      <c r="H246" s="96">
        <v>1</v>
      </c>
      <c r="I246" s="97" t="s">
        <v>1443</v>
      </c>
      <c r="J246" s="98">
        <v>4</v>
      </c>
      <c r="K246" s="99" t="s">
        <v>8</v>
      </c>
      <c r="L246" s="82">
        <v>161400</v>
      </c>
      <c r="M246" s="100">
        <v>9.286585678852799E-2</v>
      </c>
    </row>
    <row r="247" spans="1:13" s="101" customFormat="1" x14ac:dyDescent="0.25">
      <c r="A247" s="26">
        <v>361</v>
      </c>
      <c r="B247" s="26">
        <v>152614</v>
      </c>
      <c r="C247" s="27" t="s">
        <v>704</v>
      </c>
      <c r="D247" s="27" t="str">
        <f t="shared" ref="D247:D252" si="13">UPPER(C247)</f>
        <v>SIKA URETANO (AB)TRANSPAR.MATE CO  3,5KG</v>
      </c>
      <c r="E247" s="28" t="s">
        <v>703</v>
      </c>
      <c r="F247" s="29"/>
      <c r="G247" s="30" t="s">
        <v>56</v>
      </c>
      <c r="H247" s="31">
        <v>3.5</v>
      </c>
      <c r="I247" s="32" t="s">
        <v>50</v>
      </c>
      <c r="J247" s="33">
        <v>4</v>
      </c>
      <c r="K247" s="34" t="s">
        <v>8</v>
      </c>
      <c r="L247" s="82">
        <v>751200</v>
      </c>
      <c r="M247" s="35">
        <v>9.1999999999999998E-2</v>
      </c>
    </row>
    <row r="248" spans="1:13" s="101" customFormat="1" x14ac:dyDescent="0.25">
      <c r="A248" s="26">
        <v>105</v>
      </c>
      <c r="B248" s="26">
        <v>152721</v>
      </c>
      <c r="C248" s="27" t="s">
        <v>316</v>
      </c>
      <c r="D248" s="27" t="str">
        <f t="shared" si="13"/>
        <v>SIKACOLOR F BASALT GREY CO       PL 5GAL</v>
      </c>
      <c r="E248" s="28" t="s">
        <v>314</v>
      </c>
      <c r="F248" s="29"/>
      <c r="G248" s="30" t="s">
        <v>41</v>
      </c>
      <c r="H248" s="31">
        <v>5</v>
      </c>
      <c r="I248" s="32" t="s">
        <v>1443</v>
      </c>
      <c r="J248" s="33">
        <v>1</v>
      </c>
      <c r="K248" s="34" t="s">
        <v>8</v>
      </c>
      <c r="L248" s="82">
        <v>434100</v>
      </c>
      <c r="M248" s="35">
        <v>5.4000000000000006E-2</v>
      </c>
    </row>
    <row r="249" spans="1:13" s="101" customFormat="1" x14ac:dyDescent="0.25">
      <c r="A249" s="26">
        <v>106</v>
      </c>
      <c r="B249" s="26">
        <v>152722</v>
      </c>
      <c r="C249" s="27" t="s">
        <v>317</v>
      </c>
      <c r="D249" s="27" t="str">
        <f t="shared" si="13"/>
        <v>SIKACOLOR F CONCRETE GREY CO     PL 5GAL</v>
      </c>
      <c r="E249" s="28" t="s">
        <v>314</v>
      </c>
      <c r="F249" s="29"/>
      <c r="G249" s="30" t="s">
        <v>42</v>
      </c>
      <c r="H249" s="31">
        <v>5</v>
      </c>
      <c r="I249" s="32" t="s">
        <v>1443</v>
      </c>
      <c r="J249" s="33">
        <v>1</v>
      </c>
      <c r="K249" s="34" t="s">
        <v>8</v>
      </c>
      <c r="L249" s="82">
        <v>434100</v>
      </c>
      <c r="M249" s="35">
        <v>5.4000000000000006E-2</v>
      </c>
    </row>
    <row r="250" spans="1:13" s="101" customFormat="1" x14ac:dyDescent="0.25">
      <c r="A250" s="26">
        <v>107</v>
      </c>
      <c r="B250" s="26">
        <v>152723</v>
      </c>
      <c r="C250" s="27" t="s">
        <v>318</v>
      </c>
      <c r="D250" s="27" t="str">
        <f t="shared" si="13"/>
        <v>SIKACOLOR F WHITE CO             PL 5GAL</v>
      </c>
      <c r="E250" s="28" t="s">
        <v>314</v>
      </c>
      <c r="F250" s="29"/>
      <c r="G250" s="30" t="s">
        <v>15</v>
      </c>
      <c r="H250" s="31">
        <v>5</v>
      </c>
      <c r="I250" s="32" t="s">
        <v>1443</v>
      </c>
      <c r="J250" s="33">
        <v>1</v>
      </c>
      <c r="K250" s="34" t="s">
        <v>8</v>
      </c>
      <c r="L250" s="82">
        <v>438250</v>
      </c>
      <c r="M250" s="35">
        <v>6.4000000000000001E-2</v>
      </c>
    </row>
    <row r="251" spans="1:13" s="101" customFormat="1" x14ac:dyDescent="0.25">
      <c r="A251" s="26">
        <v>104</v>
      </c>
      <c r="B251" s="26">
        <v>152730</v>
      </c>
      <c r="C251" s="27" t="s">
        <v>315</v>
      </c>
      <c r="D251" s="27" t="str">
        <f t="shared" si="13"/>
        <v>SIKACOLOR F WHITE CO             /4X1GAL</v>
      </c>
      <c r="E251" s="28" t="s">
        <v>314</v>
      </c>
      <c r="F251" s="29"/>
      <c r="G251" s="30" t="s">
        <v>15</v>
      </c>
      <c r="H251" s="31">
        <v>1</v>
      </c>
      <c r="I251" s="32" t="s">
        <v>1443</v>
      </c>
      <c r="J251" s="33">
        <v>4</v>
      </c>
      <c r="K251" s="34" t="s">
        <v>8</v>
      </c>
      <c r="L251" s="82">
        <v>96500</v>
      </c>
      <c r="M251" s="35">
        <v>6.4000000000000001E-2</v>
      </c>
    </row>
    <row r="252" spans="1:13" s="101" customFormat="1" x14ac:dyDescent="0.25">
      <c r="A252" s="26">
        <v>865</v>
      </c>
      <c r="B252" s="26">
        <v>162600</v>
      </c>
      <c r="C252" s="27" t="s">
        <v>1324</v>
      </c>
      <c r="D252" s="27" t="str">
        <f t="shared" si="13"/>
        <v>SIKASIL POOL TRANSPAR.ES/PT/EL/12 CTR300</v>
      </c>
      <c r="E252" s="28" t="s">
        <v>1325</v>
      </c>
      <c r="F252" s="29"/>
      <c r="G252" s="30" t="s">
        <v>25</v>
      </c>
      <c r="H252" s="31">
        <v>300</v>
      </c>
      <c r="I252" s="32" t="s">
        <v>1445</v>
      </c>
      <c r="J252" s="33">
        <v>12</v>
      </c>
      <c r="K252" s="34" t="s">
        <v>8</v>
      </c>
      <c r="L252" s="82">
        <v>112200</v>
      </c>
      <c r="M252" s="35">
        <v>9.7000000000000003E-2</v>
      </c>
    </row>
    <row r="253" spans="1:13" s="101" customFormat="1" x14ac:dyDescent="0.25">
      <c r="A253" s="91">
        <v>785</v>
      </c>
      <c r="B253" s="119">
        <v>162861</v>
      </c>
      <c r="C253" s="103" t="s">
        <v>147</v>
      </c>
      <c r="D253" s="121" t="str">
        <f>CONCATENATE(UPPER(C253),$D$3)</f>
        <v>SPL G-12 LIGHT GREY RO 2,00/20 -03-   M2 "E"</v>
      </c>
      <c r="E253" s="103" t="s">
        <v>148</v>
      </c>
      <c r="F253" s="94"/>
      <c r="G253" s="103"/>
      <c r="H253" s="96">
        <v>40</v>
      </c>
      <c r="I253" s="97" t="s">
        <v>1446</v>
      </c>
      <c r="J253" s="98">
        <v>1</v>
      </c>
      <c r="K253" s="99" t="s">
        <v>8</v>
      </c>
      <c r="L253" s="82">
        <v>2494850</v>
      </c>
      <c r="M253" s="100">
        <v>7.2499999999999995E-2</v>
      </c>
    </row>
    <row r="254" spans="1:13" s="101" customFormat="1" x14ac:dyDescent="0.25">
      <c r="A254" s="91">
        <v>935</v>
      </c>
      <c r="B254" s="91">
        <v>164272</v>
      </c>
      <c r="C254" s="92" t="s">
        <v>1425</v>
      </c>
      <c r="D254" s="121" t="str">
        <f>CONCATENATE(UPPER(C254),$D$3)</f>
        <v>SPL WT 4220-15C LIGHT BLUE RO 2,00/20 M2 "E"</v>
      </c>
      <c r="E254" s="93" t="s">
        <v>1426</v>
      </c>
      <c r="F254" s="94" t="s">
        <v>170</v>
      </c>
      <c r="G254" s="103"/>
      <c r="H254" s="96">
        <v>40</v>
      </c>
      <c r="I254" s="97" t="s">
        <v>1446</v>
      </c>
      <c r="J254" s="98">
        <v>1</v>
      </c>
      <c r="K254" s="99" t="s">
        <v>8</v>
      </c>
      <c r="L254" s="82">
        <v>3165150</v>
      </c>
      <c r="M254" s="100">
        <v>6.7000000000000004E-2</v>
      </c>
    </row>
    <row r="255" spans="1:13" s="101" customFormat="1" x14ac:dyDescent="0.25">
      <c r="A255" s="91">
        <v>936</v>
      </c>
      <c r="B255" s="91">
        <v>164278</v>
      </c>
      <c r="C255" s="92" t="s">
        <v>1427</v>
      </c>
      <c r="D255" s="121" t="str">
        <f>CONCATENATE(UPPER(C255),$D$3)</f>
        <v>SPL WT 4220-18H LIGHT BLUE STR 0,54/5 M2 "E"</v>
      </c>
      <c r="E255" s="93" t="s">
        <v>1428</v>
      </c>
      <c r="F255" s="94" t="s">
        <v>170</v>
      </c>
      <c r="G255" s="103"/>
      <c r="H255" s="96">
        <v>2.7</v>
      </c>
      <c r="I255" s="97" t="s">
        <v>1446</v>
      </c>
      <c r="J255" s="98">
        <v>1</v>
      </c>
      <c r="K255" s="99" t="s">
        <v>8</v>
      </c>
      <c r="L255" s="82">
        <v>225300</v>
      </c>
      <c r="M255" s="100">
        <v>6.7000000000000004E-2</v>
      </c>
    </row>
    <row r="256" spans="1:13" s="101" customFormat="1" x14ac:dyDescent="0.25">
      <c r="A256" s="91">
        <v>937</v>
      </c>
      <c r="B256" s="91">
        <v>165792</v>
      </c>
      <c r="C256" s="92" t="s">
        <v>1429</v>
      </c>
      <c r="D256" s="121" t="str">
        <f>CONCATENATE(UPPER(C256),$D$3)</f>
        <v>SPL WT FIXATION PLATE PE LIG.BLUE 2M  PC "E"</v>
      </c>
      <c r="E256" s="93" t="s">
        <v>1430</v>
      </c>
      <c r="F256" s="94" t="s">
        <v>170</v>
      </c>
      <c r="G256" s="103"/>
      <c r="H256" s="96">
        <v>2</v>
      </c>
      <c r="I256" s="97" t="s">
        <v>106</v>
      </c>
      <c r="J256" s="98">
        <v>1</v>
      </c>
      <c r="K256" s="99" t="s">
        <v>8</v>
      </c>
      <c r="L256" s="82">
        <v>125100</v>
      </c>
      <c r="M256" s="100">
        <v>6.7000000000000004E-2</v>
      </c>
    </row>
    <row r="257" spans="1:13" s="101" customFormat="1" x14ac:dyDescent="0.25">
      <c r="A257" s="26">
        <v>416</v>
      </c>
      <c r="B257" s="26">
        <v>169441</v>
      </c>
      <c r="C257" s="27" t="s">
        <v>777</v>
      </c>
      <c r="D257" s="27" t="str">
        <f>UPPER(C257)</f>
        <v>SIKAQUICK-2500 CO                BG 25KG</v>
      </c>
      <c r="E257" s="28" t="s">
        <v>778</v>
      </c>
      <c r="F257" s="29"/>
      <c r="G257" s="30"/>
      <c r="H257" s="31">
        <v>25</v>
      </c>
      <c r="I257" s="32" t="s">
        <v>50</v>
      </c>
      <c r="J257" s="33">
        <v>1</v>
      </c>
      <c r="K257" s="34" t="s">
        <v>8</v>
      </c>
      <c r="L257" s="82">
        <v>583150</v>
      </c>
      <c r="M257" s="35">
        <v>8.199999999999999E-2</v>
      </c>
    </row>
    <row r="258" spans="1:13" s="101" customFormat="1" x14ac:dyDescent="0.25">
      <c r="A258" s="91">
        <v>408</v>
      </c>
      <c r="B258" s="91">
        <v>169729</v>
      </c>
      <c r="C258" s="92" t="s">
        <v>767</v>
      </c>
      <c r="D258" s="121" t="str">
        <f>CONCATENATE(UPPER(C258),$D$3)</f>
        <v>SIKAGARD-50 (AB) RAL7035 CO      22,78KG "E"</v>
      </c>
      <c r="E258" s="93" t="s">
        <v>766</v>
      </c>
      <c r="F258" s="94"/>
      <c r="G258" s="95" t="s">
        <v>63</v>
      </c>
      <c r="H258" s="96">
        <v>22.78</v>
      </c>
      <c r="I258" s="97" t="s">
        <v>50</v>
      </c>
      <c r="J258" s="98">
        <v>1</v>
      </c>
      <c r="K258" s="99" t="s">
        <v>8</v>
      </c>
      <c r="L258" s="82">
        <v>2334500</v>
      </c>
      <c r="M258" s="100">
        <v>6.7000000000000004E-2</v>
      </c>
    </row>
    <row r="259" spans="1:13" s="101" customFormat="1" x14ac:dyDescent="0.25">
      <c r="A259" s="91">
        <v>399</v>
      </c>
      <c r="B259" s="91">
        <v>169933</v>
      </c>
      <c r="C259" s="92" t="s">
        <v>753</v>
      </c>
      <c r="D259" s="121" t="str">
        <f>CONCATENATE(UPPER(C259),$D$3)</f>
        <v>SIKAGARD-62 (AB) WHITE CO            3KG "E"</v>
      </c>
      <c r="E259" s="93" t="s">
        <v>750</v>
      </c>
      <c r="F259" s="94"/>
      <c r="G259" s="95" t="s">
        <v>15</v>
      </c>
      <c r="H259" s="96">
        <v>3</v>
      </c>
      <c r="I259" s="97" t="s">
        <v>50</v>
      </c>
      <c r="J259" s="98">
        <v>4</v>
      </c>
      <c r="K259" s="99" t="s">
        <v>8</v>
      </c>
      <c r="L259" s="82">
        <v>630500</v>
      </c>
      <c r="M259" s="100">
        <v>8.199999999999999E-2</v>
      </c>
    </row>
    <row r="260" spans="1:13" s="101" customFormat="1" x14ac:dyDescent="0.25">
      <c r="A260" s="26">
        <v>274</v>
      </c>
      <c r="B260" s="26">
        <v>171608</v>
      </c>
      <c r="C260" s="27" t="s">
        <v>577</v>
      </c>
      <c r="D260" s="27" t="str">
        <f>UPPER(C260)</f>
        <v>SIKAPAVER HC-1 CO              TANKER KG</v>
      </c>
      <c r="E260" s="28" t="s">
        <v>578</v>
      </c>
      <c r="F260" s="29"/>
      <c r="G260" s="30"/>
      <c r="H260" s="31">
        <v>0</v>
      </c>
      <c r="I260" s="32" t="s">
        <v>50</v>
      </c>
      <c r="J260" s="33">
        <v>1</v>
      </c>
      <c r="K260" s="34" t="s">
        <v>8</v>
      </c>
      <c r="L260" s="82">
        <v>14850</v>
      </c>
      <c r="M260" s="35">
        <v>0.08</v>
      </c>
    </row>
    <row r="261" spans="1:13" s="101" customFormat="1" x14ac:dyDescent="0.25">
      <c r="A261" s="26">
        <v>150</v>
      </c>
      <c r="B261" s="26">
        <v>171645</v>
      </c>
      <c r="C261" s="27" t="s">
        <v>387</v>
      </c>
      <c r="D261" s="27" t="str">
        <f>UPPER(C261)</f>
        <v>SIKAPLASTIMENT AD-30            DR 230KG</v>
      </c>
      <c r="E261" s="28" t="s">
        <v>386</v>
      </c>
      <c r="F261" s="29"/>
      <c r="G261" s="30"/>
      <c r="H261" s="31">
        <v>230</v>
      </c>
      <c r="I261" s="32" t="s">
        <v>50</v>
      </c>
      <c r="J261" s="33">
        <v>1</v>
      </c>
      <c r="K261" s="34" t="s">
        <v>8</v>
      </c>
      <c r="L261" s="82">
        <v>2859600</v>
      </c>
      <c r="M261" s="35">
        <v>6.9999999999999993E-2</v>
      </c>
    </row>
    <row r="262" spans="1:13" s="101" customFormat="1" x14ac:dyDescent="0.25">
      <c r="A262" s="26">
        <v>149</v>
      </c>
      <c r="B262" s="26">
        <v>171646</v>
      </c>
      <c r="C262" s="27" t="s">
        <v>385</v>
      </c>
      <c r="D262" s="27" t="str">
        <f>UPPER(C262)</f>
        <v>SIKAPLASTIMENT AD-30           TANKER KG</v>
      </c>
      <c r="E262" s="28" t="s">
        <v>386</v>
      </c>
      <c r="F262" s="29"/>
      <c r="G262" s="30"/>
      <c r="H262" s="31">
        <v>1</v>
      </c>
      <c r="I262" s="32" t="s">
        <v>50</v>
      </c>
      <c r="J262" s="33">
        <v>500</v>
      </c>
      <c r="K262" s="34" t="s">
        <v>50</v>
      </c>
      <c r="L262" s="82">
        <v>9200</v>
      </c>
      <c r="M262" s="35">
        <v>0.08</v>
      </c>
    </row>
    <row r="263" spans="1:13" s="101" customFormat="1" x14ac:dyDescent="0.25">
      <c r="A263" s="26">
        <v>18</v>
      </c>
      <c r="B263" s="26">
        <v>177332</v>
      </c>
      <c r="C263" s="27" t="s">
        <v>207</v>
      </c>
      <c r="D263" s="27" t="str">
        <f>UPPER(C263)</f>
        <v>SIKA IMPERMUR CO                  /6X4KG</v>
      </c>
      <c r="E263" s="28" t="s">
        <v>205</v>
      </c>
      <c r="F263" s="29"/>
      <c r="G263" s="30"/>
      <c r="H263" s="31">
        <v>4</v>
      </c>
      <c r="I263" s="32" t="s">
        <v>50</v>
      </c>
      <c r="J263" s="33">
        <v>6</v>
      </c>
      <c r="K263" s="34" t="s">
        <v>8</v>
      </c>
      <c r="L263" s="82">
        <v>236300</v>
      </c>
      <c r="M263" s="35">
        <v>8.4000000000000005E-2</v>
      </c>
    </row>
    <row r="264" spans="1:13" s="101" customFormat="1" x14ac:dyDescent="0.25">
      <c r="A264" s="26">
        <v>17</v>
      </c>
      <c r="B264" s="26">
        <v>177333</v>
      </c>
      <c r="C264" s="27" t="s">
        <v>206</v>
      </c>
      <c r="D264" s="27" t="str">
        <f>UPPER(C264)</f>
        <v>SIKA IMPERMUR CO                 /12X2KG</v>
      </c>
      <c r="E264" s="28" t="s">
        <v>205</v>
      </c>
      <c r="F264" s="29"/>
      <c r="G264" s="30"/>
      <c r="H264" s="31">
        <v>2</v>
      </c>
      <c r="I264" s="32" t="s">
        <v>50</v>
      </c>
      <c r="J264" s="33">
        <v>12</v>
      </c>
      <c r="K264" s="34" t="s">
        <v>8</v>
      </c>
      <c r="L264" s="82">
        <v>143100</v>
      </c>
      <c r="M264" s="35">
        <v>8.4000000000000005E-2</v>
      </c>
    </row>
    <row r="265" spans="1:13" s="101" customFormat="1" x14ac:dyDescent="0.25">
      <c r="A265" s="91">
        <v>526</v>
      </c>
      <c r="B265" s="91">
        <v>179313</v>
      </c>
      <c r="C265" s="92" t="s">
        <v>915</v>
      </c>
      <c r="D265" s="121" t="str">
        <f>CONCATENATE(UPPER(C265),$D$3)</f>
        <v>SIKACATALIZADOR GRUP.1(B)(S45)CO /4X1GAL "E"</v>
      </c>
      <c r="E265" s="93" t="s">
        <v>916</v>
      </c>
      <c r="F265" s="94"/>
      <c r="G265" s="95"/>
      <c r="H265" s="96">
        <v>1</v>
      </c>
      <c r="I265" s="97" t="s">
        <v>1443</v>
      </c>
      <c r="J265" s="98">
        <v>4</v>
      </c>
      <c r="K265" s="99" t="s">
        <v>8</v>
      </c>
      <c r="L265" s="82">
        <v>232350</v>
      </c>
      <c r="M265" s="100">
        <v>9.286585678852799E-2</v>
      </c>
    </row>
    <row r="266" spans="1:13" s="101" customFormat="1" x14ac:dyDescent="0.25">
      <c r="A266" s="91">
        <v>528</v>
      </c>
      <c r="B266" s="91">
        <v>179315</v>
      </c>
      <c r="C266" s="92" t="s">
        <v>919</v>
      </c>
      <c r="D266" s="121" t="str">
        <f>CONCATENATE(UPPER(C266),$D$3)</f>
        <v>SIKACATALIZADOR GRUP.2(B)(S100)CO/4X1GAL "E"</v>
      </c>
      <c r="E266" s="93" t="s">
        <v>918</v>
      </c>
      <c r="F266" s="94"/>
      <c r="G266" s="95"/>
      <c r="H266" s="96">
        <v>1</v>
      </c>
      <c r="I266" s="97" t="s">
        <v>1443</v>
      </c>
      <c r="J266" s="98">
        <v>4</v>
      </c>
      <c r="K266" s="99" t="s">
        <v>8</v>
      </c>
      <c r="L266" s="82">
        <v>267650</v>
      </c>
      <c r="M266" s="100">
        <v>9.286585678852799E-2</v>
      </c>
    </row>
    <row r="267" spans="1:13" s="101" customFormat="1" x14ac:dyDescent="0.25">
      <c r="A267" s="91">
        <v>527</v>
      </c>
      <c r="B267" s="91">
        <v>179316</v>
      </c>
      <c r="C267" s="92" t="s">
        <v>917</v>
      </c>
      <c r="D267" s="121" t="str">
        <f>CONCATENATE(UPPER(C267),$D$3)</f>
        <v>SIKACATALIZADOR GRUPO 2(B) CO/12X0,25GAL "E"</v>
      </c>
      <c r="E267" s="93" t="s">
        <v>918</v>
      </c>
      <c r="F267" s="94"/>
      <c r="G267" s="95"/>
      <c r="H267" s="96">
        <v>0.25</v>
      </c>
      <c r="I267" s="97" t="s">
        <v>1443</v>
      </c>
      <c r="J267" s="98">
        <v>12</v>
      </c>
      <c r="K267" s="99" t="s">
        <v>8</v>
      </c>
      <c r="L267" s="82">
        <v>74300</v>
      </c>
      <c r="M267" s="100">
        <v>9.286585678852799E-2</v>
      </c>
    </row>
    <row r="268" spans="1:13" s="101" customFormat="1" x14ac:dyDescent="0.25">
      <c r="A268" s="91">
        <v>529</v>
      </c>
      <c r="B268" s="91">
        <v>401445</v>
      </c>
      <c r="C268" s="92" t="s">
        <v>920</v>
      </c>
      <c r="D268" s="121" t="str">
        <f>CONCATENATE(UPPER(C268),$D$3)</f>
        <v>SIKACATALIZADOR GRUPO 3 (B) CO   /4X1GAL "E"</v>
      </c>
      <c r="E268" s="93" t="s">
        <v>921</v>
      </c>
      <c r="F268" s="94"/>
      <c r="G268" s="95"/>
      <c r="H268" s="96">
        <v>1</v>
      </c>
      <c r="I268" s="97" t="s">
        <v>1443</v>
      </c>
      <c r="J268" s="98">
        <v>4</v>
      </c>
      <c r="K268" s="99" t="s">
        <v>8</v>
      </c>
      <c r="L268" s="82">
        <v>438550</v>
      </c>
      <c r="M268" s="100">
        <v>0.1</v>
      </c>
    </row>
    <row r="269" spans="1:13" s="101" customFormat="1" x14ac:dyDescent="0.25">
      <c r="A269" s="91">
        <v>948</v>
      </c>
      <c r="B269" s="91">
        <v>409683</v>
      </c>
      <c r="C269" s="92" t="s">
        <v>171</v>
      </c>
      <c r="D269" s="121" t="str">
        <f>CONCATENATE(UPPER(C269),$D$3)</f>
        <v>SIKAPROOF A-08 0,8MM FPO RO 2,00/25   M2 "E"</v>
      </c>
      <c r="E269" s="93" t="s">
        <v>1442</v>
      </c>
      <c r="F269" s="120"/>
      <c r="G269" s="103"/>
      <c r="H269" s="96">
        <v>25</v>
      </c>
      <c r="I269" s="97" t="s">
        <v>1446</v>
      </c>
      <c r="J269" s="98">
        <v>1</v>
      </c>
      <c r="K269" s="99" t="s">
        <v>8</v>
      </c>
      <c r="L269" s="82">
        <v>286800</v>
      </c>
      <c r="M269" s="100">
        <v>6.7000000000000004E-2</v>
      </c>
    </row>
    <row r="270" spans="1:13" s="101" customFormat="1" x14ac:dyDescent="0.25">
      <c r="A270" s="26">
        <v>20</v>
      </c>
      <c r="B270" s="26">
        <v>415291</v>
      </c>
      <c r="C270" s="27" t="s">
        <v>209</v>
      </c>
      <c r="D270" s="27" t="str">
        <f t="shared" ref="D270:D276" si="14">UPPER(C270)</f>
        <v>SIKAJOINT COMPOUND CO            /4X1GAL</v>
      </c>
      <c r="E270" s="28" t="s">
        <v>210</v>
      </c>
      <c r="F270" s="29"/>
      <c r="G270" s="30" t="s">
        <v>18</v>
      </c>
      <c r="H270" s="31">
        <v>5</v>
      </c>
      <c r="I270" s="32" t="s">
        <v>1443</v>
      </c>
      <c r="J270" s="33">
        <v>4</v>
      </c>
      <c r="K270" s="34" t="s">
        <v>8</v>
      </c>
      <c r="L270" s="82">
        <v>19400</v>
      </c>
      <c r="M270" s="35">
        <v>9.4E-2</v>
      </c>
    </row>
    <row r="271" spans="1:13" s="101" customFormat="1" x14ac:dyDescent="0.25">
      <c r="A271" s="26">
        <v>35</v>
      </c>
      <c r="B271" s="26">
        <v>415317</v>
      </c>
      <c r="C271" s="27" t="s">
        <v>228</v>
      </c>
      <c r="D271" s="27" t="str">
        <f t="shared" si="14"/>
        <v>SIKATRANSPARENTE-7W CO CO        /4X1GAL</v>
      </c>
      <c r="E271" s="28" t="s">
        <v>229</v>
      </c>
      <c r="F271" s="29"/>
      <c r="G271" s="30" t="s">
        <v>25</v>
      </c>
      <c r="H271" s="31">
        <v>1</v>
      </c>
      <c r="I271" s="32" t="s">
        <v>1443</v>
      </c>
      <c r="J271" s="33">
        <v>4</v>
      </c>
      <c r="K271" s="34" t="s">
        <v>8</v>
      </c>
      <c r="L271" s="82">
        <v>146200</v>
      </c>
      <c r="M271" s="35">
        <v>6.4000000000000001E-2</v>
      </c>
    </row>
    <row r="272" spans="1:13" s="101" customFormat="1" x14ac:dyDescent="0.25">
      <c r="A272" s="26">
        <v>36</v>
      </c>
      <c r="B272" s="26">
        <v>415318</v>
      </c>
      <c r="C272" s="27" t="s">
        <v>230</v>
      </c>
      <c r="D272" s="27" t="str">
        <f t="shared" si="14"/>
        <v>SIKATRANSPARENTE-7W CO CO        PL 5GAL</v>
      </c>
      <c r="E272" s="28" t="s">
        <v>229</v>
      </c>
      <c r="F272" s="29"/>
      <c r="G272" s="30" t="s">
        <v>25</v>
      </c>
      <c r="H272" s="31">
        <v>5</v>
      </c>
      <c r="I272" s="32" t="s">
        <v>1443</v>
      </c>
      <c r="J272" s="33">
        <v>1</v>
      </c>
      <c r="K272" s="34" t="s">
        <v>8</v>
      </c>
      <c r="L272" s="82">
        <v>698750</v>
      </c>
      <c r="M272" s="35">
        <v>6.4000000000000001E-2</v>
      </c>
    </row>
    <row r="273" spans="1:13" s="101" customFormat="1" x14ac:dyDescent="0.25">
      <c r="A273" s="26">
        <v>37</v>
      </c>
      <c r="B273" s="26">
        <v>415319</v>
      </c>
      <c r="C273" s="27" t="s">
        <v>231</v>
      </c>
      <c r="D273" s="27" t="str">
        <f t="shared" si="14"/>
        <v>SIKATRANSPARENTE-7W CO CO       DR 55GAL</v>
      </c>
      <c r="E273" s="28" t="s">
        <v>229</v>
      </c>
      <c r="F273" s="29"/>
      <c r="G273" s="30" t="s">
        <v>25</v>
      </c>
      <c r="H273" s="31">
        <v>55</v>
      </c>
      <c r="I273" s="32" t="s">
        <v>1443</v>
      </c>
      <c r="J273" s="33">
        <v>1</v>
      </c>
      <c r="K273" s="34" t="s">
        <v>8</v>
      </c>
      <c r="L273" s="82">
        <v>6264100</v>
      </c>
      <c r="M273" s="35">
        <v>6.4000000000000001E-2</v>
      </c>
    </row>
    <row r="274" spans="1:13" s="101" customFormat="1" x14ac:dyDescent="0.25">
      <c r="A274" s="26">
        <v>110</v>
      </c>
      <c r="B274" s="26">
        <v>417497</v>
      </c>
      <c r="C274" s="27" t="s">
        <v>323</v>
      </c>
      <c r="D274" s="27" t="str">
        <f t="shared" si="14"/>
        <v>SIKALIMPIADOR RINSE CO        /12X0,5GAL</v>
      </c>
      <c r="E274" s="28" t="s">
        <v>324</v>
      </c>
      <c r="F274" s="29"/>
      <c r="G274" s="30"/>
      <c r="H274" s="31">
        <v>0.5</v>
      </c>
      <c r="I274" s="32" t="s">
        <v>1443</v>
      </c>
      <c r="J274" s="33">
        <v>12</v>
      </c>
      <c r="K274" s="34" t="s">
        <v>8</v>
      </c>
      <c r="L274" s="82">
        <v>94200</v>
      </c>
      <c r="M274" s="35">
        <v>6.4000000000000001E-2</v>
      </c>
    </row>
    <row r="275" spans="1:13" s="101" customFormat="1" x14ac:dyDescent="0.25">
      <c r="A275" s="26">
        <v>111</v>
      </c>
      <c r="B275" s="26">
        <v>417501</v>
      </c>
      <c r="C275" s="27" t="s">
        <v>325</v>
      </c>
      <c r="D275" s="27" t="str">
        <f t="shared" si="14"/>
        <v>SIKALIMPIADOR RINSE CO           /6X1GAL</v>
      </c>
      <c r="E275" s="28" t="s">
        <v>324</v>
      </c>
      <c r="F275" s="29"/>
      <c r="G275" s="30" t="s">
        <v>18</v>
      </c>
      <c r="H275" s="31">
        <v>1</v>
      </c>
      <c r="I275" s="32" t="s">
        <v>1443</v>
      </c>
      <c r="J275" s="33">
        <v>6</v>
      </c>
      <c r="K275" s="34" t="s">
        <v>8</v>
      </c>
      <c r="L275" s="82">
        <v>183150</v>
      </c>
      <c r="M275" s="35">
        <v>6.4000000000000001E-2</v>
      </c>
    </row>
    <row r="276" spans="1:13" s="101" customFormat="1" x14ac:dyDescent="0.25">
      <c r="A276" s="26">
        <v>112</v>
      </c>
      <c r="B276" s="26">
        <v>417503</v>
      </c>
      <c r="C276" s="27" t="s">
        <v>326</v>
      </c>
      <c r="D276" s="27" t="str">
        <f t="shared" si="14"/>
        <v>SIKALIMPIADOR RINSE CO           PL 5GAL</v>
      </c>
      <c r="E276" s="28" t="s">
        <v>324</v>
      </c>
      <c r="F276" s="29"/>
      <c r="G276" s="30" t="s">
        <v>19</v>
      </c>
      <c r="H276" s="31">
        <v>5</v>
      </c>
      <c r="I276" s="32" t="s">
        <v>1443</v>
      </c>
      <c r="J276" s="33">
        <v>1</v>
      </c>
      <c r="K276" s="34" t="s">
        <v>8</v>
      </c>
      <c r="L276" s="82">
        <v>819800</v>
      </c>
      <c r="M276" s="35">
        <v>6.4000000000000001E-2</v>
      </c>
    </row>
    <row r="277" spans="1:13" s="101" customFormat="1" x14ac:dyDescent="0.25">
      <c r="A277" s="91">
        <v>669</v>
      </c>
      <c r="B277" s="91">
        <v>417526</v>
      </c>
      <c r="C277" s="92" t="s">
        <v>1070</v>
      </c>
      <c r="D277" s="121" t="str">
        <f>CONCATENATE(UPPER(C277),$D$3)</f>
        <v>SIKAGARD-50 (AB) WHITE CO        22,78KG "E"</v>
      </c>
      <c r="E277" s="93" t="s">
        <v>766</v>
      </c>
      <c r="F277" s="94"/>
      <c r="G277" s="95" t="s">
        <v>15</v>
      </c>
      <c r="H277" s="96">
        <v>22.78</v>
      </c>
      <c r="I277" s="97" t="s">
        <v>50</v>
      </c>
      <c r="J277" s="98">
        <v>1</v>
      </c>
      <c r="K277" s="99" t="s">
        <v>8</v>
      </c>
      <c r="L277" s="82">
        <v>2334500</v>
      </c>
      <c r="M277" s="100">
        <v>6.7000000000000004E-2</v>
      </c>
    </row>
    <row r="278" spans="1:13" s="101" customFormat="1" x14ac:dyDescent="0.25">
      <c r="A278" s="91">
        <v>668</v>
      </c>
      <c r="B278" s="91">
        <v>417527</v>
      </c>
      <c r="C278" s="92" t="s">
        <v>1069</v>
      </c>
      <c r="D278" s="121" t="str">
        <f>CONCATENATE(UPPER(C278),$D$3)</f>
        <v>SIKAGARD-50 (AB) RAL7032 CO      22,78KG "E"</v>
      </c>
      <c r="E278" s="93" t="s">
        <v>766</v>
      </c>
      <c r="F278" s="94"/>
      <c r="G278" s="118"/>
      <c r="H278" s="96">
        <v>22.8</v>
      </c>
      <c r="I278" s="97" t="s">
        <v>50</v>
      </c>
      <c r="J278" s="98">
        <v>1</v>
      </c>
      <c r="K278" s="99" t="s">
        <v>8</v>
      </c>
      <c r="L278" s="82">
        <v>2334500</v>
      </c>
      <c r="M278" s="100">
        <v>6.7000000000000004E-2</v>
      </c>
    </row>
    <row r="279" spans="1:13" s="101" customFormat="1" x14ac:dyDescent="0.25">
      <c r="A279" s="91">
        <v>667</v>
      </c>
      <c r="B279" s="91">
        <v>417528</v>
      </c>
      <c r="C279" s="92" t="s">
        <v>1068</v>
      </c>
      <c r="D279" s="121" t="str">
        <f>CONCATENATE(UPPER(C279),$D$3)</f>
        <v>SIKAGARD-50 (AB) RAL5007 CO      22,78KG "E"</v>
      </c>
      <c r="E279" s="93" t="s">
        <v>766</v>
      </c>
      <c r="F279" s="94"/>
      <c r="G279" s="95" t="s">
        <v>115</v>
      </c>
      <c r="H279" s="96">
        <v>22.78</v>
      </c>
      <c r="I279" s="97" t="s">
        <v>50</v>
      </c>
      <c r="J279" s="98">
        <v>1</v>
      </c>
      <c r="K279" s="99" t="s">
        <v>8</v>
      </c>
      <c r="L279" s="82">
        <v>2334500</v>
      </c>
      <c r="M279" s="100">
        <v>6.7000000000000004E-2</v>
      </c>
    </row>
    <row r="280" spans="1:13" s="101" customFormat="1" x14ac:dyDescent="0.25">
      <c r="A280" s="91">
        <v>407</v>
      </c>
      <c r="B280" s="91">
        <v>417530</v>
      </c>
      <c r="C280" s="92" t="s">
        <v>765</v>
      </c>
      <c r="D280" s="121" t="str">
        <f>CONCATENATE(UPPER(C280),$D$3)</f>
        <v>SIKAGARD-50 (AB) RAL7030 CO      22,78KG "E"</v>
      </c>
      <c r="E280" s="93" t="s">
        <v>766</v>
      </c>
      <c r="F280" s="94"/>
      <c r="G280" s="95" t="s">
        <v>61</v>
      </c>
      <c r="H280" s="96">
        <v>22.78</v>
      </c>
      <c r="I280" s="97" t="s">
        <v>50</v>
      </c>
      <c r="J280" s="98">
        <v>1</v>
      </c>
      <c r="K280" s="99" t="s">
        <v>8</v>
      </c>
      <c r="L280" s="82">
        <v>2334500</v>
      </c>
      <c r="M280" s="100">
        <v>6.7000000000000004E-2</v>
      </c>
    </row>
    <row r="281" spans="1:13" s="101" customFormat="1" x14ac:dyDescent="0.25">
      <c r="A281" s="91">
        <v>868</v>
      </c>
      <c r="B281" s="91">
        <v>419079</v>
      </c>
      <c r="C281" s="92" t="s">
        <v>1329</v>
      </c>
      <c r="D281" s="121" t="str">
        <f>CONCATENATE(UPPER(C281),$D$3)</f>
        <v>HEATING IRON 216 XL 6X14IN            PC "E"</v>
      </c>
      <c r="E281" s="93" t="s">
        <v>652</v>
      </c>
      <c r="F281" s="94"/>
      <c r="G281" s="95"/>
      <c r="H281" s="96">
        <v>1</v>
      </c>
      <c r="I281" s="97" t="s">
        <v>130</v>
      </c>
      <c r="J281" s="98">
        <v>1</v>
      </c>
      <c r="K281" s="99" t="s">
        <v>8</v>
      </c>
      <c r="L281" s="82">
        <v>6067750</v>
      </c>
      <c r="M281" s="100">
        <v>6.7000000000000004E-2</v>
      </c>
    </row>
    <row r="282" spans="1:13" s="101" customFormat="1" x14ac:dyDescent="0.25">
      <c r="A282" s="26">
        <v>45</v>
      </c>
      <c r="B282" s="26">
        <v>423373</v>
      </c>
      <c r="C282" s="27" t="s">
        <v>242</v>
      </c>
      <c r="D282" s="27" t="str">
        <f>UPPER(C282)</f>
        <v>SIKAVINILO PANEL CO            PL 26,3KG</v>
      </c>
      <c r="E282" s="28" t="s">
        <v>241</v>
      </c>
      <c r="F282" s="29"/>
      <c r="G282" s="30"/>
      <c r="H282" s="31">
        <v>5</v>
      </c>
      <c r="I282" s="32" t="s">
        <v>50</v>
      </c>
      <c r="J282" s="33">
        <v>1</v>
      </c>
      <c r="K282" s="34" t="s">
        <v>8</v>
      </c>
      <c r="L282" s="82">
        <v>210000</v>
      </c>
      <c r="M282" s="35">
        <v>6.4000000000000001E-2</v>
      </c>
    </row>
    <row r="283" spans="1:13" s="101" customFormat="1" x14ac:dyDescent="0.25">
      <c r="A283" s="26">
        <v>44</v>
      </c>
      <c r="B283" s="26">
        <v>423374</v>
      </c>
      <c r="C283" s="27" t="s">
        <v>240</v>
      </c>
      <c r="D283" s="27" t="str">
        <f>UPPER(C283)</f>
        <v>SIKAVINILO PANEL CO            KA 5,26KG</v>
      </c>
      <c r="E283" s="28" t="s">
        <v>241</v>
      </c>
      <c r="F283" s="29"/>
      <c r="G283" s="30"/>
      <c r="H283" s="31">
        <v>1</v>
      </c>
      <c r="I283" s="32" t="s">
        <v>50</v>
      </c>
      <c r="J283" s="33">
        <v>4</v>
      </c>
      <c r="K283" s="34" t="s">
        <v>8</v>
      </c>
      <c r="L283" s="82">
        <v>50850</v>
      </c>
      <c r="M283" s="35">
        <v>5.4000000000000006E-2</v>
      </c>
    </row>
    <row r="284" spans="1:13" s="101" customFormat="1" x14ac:dyDescent="0.25">
      <c r="A284" s="91">
        <v>543</v>
      </c>
      <c r="B284" s="91">
        <v>437082</v>
      </c>
      <c r="C284" s="92" t="s">
        <v>942</v>
      </c>
      <c r="D284" s="121" t="str">
        <f>CONCATENATE(UPPER(C284),$D$3)</f>
        <v>SIKACOR PRIMER FZ (A) WHITE CO   PL 5GAL "E"</v>
      </c>
      <c r="E284" s="93" t="s">
        <v>938</v>
      </c>
      <c r="F284" s="94"/>
      <c r="G284" s="95" t="s">
        <v>15</v>
      </c>
      <c r="H284" s="96">
        <v>5</v>
      </c>
      <c r="I284" s="97" t="s">
        <v>1443</v>
      </c>
      <c r="J284" s="98">
        <v>1</v>
      </c>
      <c r="K284" s="99" t="s">
        <v>8</v>
      </c>
      <c r="L284" s="82">
        <v>1138200</v>
      </c>
      <c r="M284" s="100">
        <v>9.286585678852799E-2</v>
      </c>
    </row>
    <row r="285" spans="1:13" s="101" customFormat="1" x14ac:dyDescent="0.25">
      <c r="A285" s="91">
        <v>544</v>
      </c>
      <c r="B285" s="91">
        <v>437083</v>
      </c>
      <c r="C285" s="92" t="s">
        <v>943</v>
      </c>
      <c r="D285" s="121" t="str">
        <f>CONCATENATE(UPPER(C285),$D$3)</f>
        <v>SIKACOR PRIMER FZ (B) CO         PL 5GAL "E"</v>
      </c>
      <c r="E285" s="93" t="s">
        <v>938</v>
      </c>
      <c r="F285" s="94"/>
      <c r="G285" s="95"/>
      <c r="H285" s="96">
        <v>5</v>
      </c>
      <c r="I285" s="97" t="s">
        <v>1443</v>
      </c>
      <c r="J285" s="98">
        <v>1</v>
      </c>
      <c r="K285" s="99" t="s">
        <v>8</v>
      </c>
      <c r="L285" s="82">
        <v>766450</v>
      </c>
      <c r="M285" s="100">
        <v>9.286585678852799E-2</v>
      </c>
    </row>
    <row r="286" spans="1:13" s="101" customFormat="1" x14ac:dyDescent="0.25">
      <c r="A286" s="91">
        <v>541</v>
      </c>
      <c r="B286" s="91">
        <v>437085</v>
      </c>
      <c r="C286" s="92" t="s">
        <v>940</v>
      </c>
      <c r="D286" s="121" t="str">
        <f>CONCATENATE(UPPER(C286),$D$3)</f>
        <v>SIKACOR PRIMER FZ (A) DAR.GRE.CO PL 5GAL "E"</v>
      </c>
      <c r="E286" s="93" t="s">
        <v>938</v>
      </c>
      <c r="F286" s="94"/>
      <c r="G286" s="95"/>
      <c r="H286" s="96">
        <v>5</v>
      </c>
      <c r="I286" s="97" t="s">
        <v>1443</v>
      </c>
      <c r="J286" s="98">
        <v>1</v>
      </c>
      <c r="K286" s="99" t="s">
        <v>8</v>
      </c>
      <c r="L286" s="82">
        <v>990550</v>
      </c>
      <c r="M286" s="100">
        <v>9.286585678852799E-2</v>
      </c>
    </row>
    <row r="287" spans="1:13" s="101" customFormat="1" x14ac:dyDescent="0.25">
      <c r="A287" s="91">
        <v>542</v>
      </c>
      <c r="B287" s="91">
        <v>437087</v>
      </c>
      <c r="C287" s="92" t="s">
        <v>941</v>
      </c>
      <c r="D287" s="121" t="str">
        <f>CONCATENATE(UPPER(C287),$D$3)</f>
        <v>SIKACOR PRIMER FZ (A) LIG.GRE.CO PL 5GAL "E"</v>
      </c>
      <c r="E287" s="93" t="s">
        <v>938</v>
      </c>
      <c r="F287" s="94"/>
      <c r="G287" s="95" t="s">
        <v>60</v>
      </c>
      <c r="H287" s="96">
        <v>5</v>
      </c>
      <c r="I287" s="97" t="s">
        <v>1443</v>
      </c>
      <c r="J287" s="98">
        <v>1</v>
      </c>
      <c r="K287" s="99" t="s">
        <v>8</v>
      </c>
      <c r="L287" s="82">
        <v>1063050</v>
      </c>
      <c r="M287" s="100">
        <v>9.286585678852799E-2</v>
      </c>
    </row>
    <row r="288" spans="1:13" s="101" customFormat="1" x14ac:dyDescent="0.25">
      <c r="A288" s="26">
        <v>866</v>
      </c>
      <c r="B288" s="26">
        <v>438772</v>
      </c>
      <c r="C288" s="27" t="s">
        <v>1326</v>
      </c>
      <c r="D288" s="27" t="str">
        <f>UPPER(C288)</f>
        <v>SIKASIL UNIVERSAL TRANS.C5006 /12 CTR280</v>
      </c>
      <c r="E288" s="28" t="s">
        <v>1327</v>
      </c>
      <c r="F288" s="48"/>
      <c r="G288" s="30" t="s">
        <v>25</v>
      </c>
      <c r="H288" s="31">
        <v>280</v>
      </c>
      <c r="I288" s="32" t="s">
        <v>1445</v>
      </c>
      <c r="J288" s="33">
        <v>12</v>
      </c>
      <c r="K288" s="34" t="s">
        <v>8</v>
      </c>
      <c r="L288" s="82">
        <v>15700</v>
      </c>
      <c r="M288" s="35">
        <v>6.7000000000000004E-2</v>
      </c>
    </row>
    <row r="289" spans="1:13" s="101" customFormat="1" x14ac:dyDescent="0.25">
      <c r="A289" s="26">
        <v>108</v>
      </c>
      <c r="B289" s="26">
        <v>439505</v>
      </c>
      <c r="C289" s="27" t="s">
        <v>319</v>
      </c>
      <c r="D289" s="27" t="str">
        <f>UPPER(C289)</f>
        <v>SIKAGARD-719W CO                  /6X4KG</v>
      </c>
      <c r="E289" s="28" t="s">
        <v>320</v>
      </c>
      <c r="F289" s="29"/>
      <c r="G289" s="30"/>
      <c r="H289" s="31">
        <v>4</v>
      </c>
      <c r="I289" s="32" t="s">
        <v>50</v>
      </c>
      <c r="J289" s="33">
        <v>6</v>
      </c>
      <c r="K289" s="34" t="s">
        <v>8</v>
      </c>
      <c r="L289" s="82">
        <v>180750</v>
      </c>
      <c r="M289" s="35">
        <v>6.4000000000000001E-2</v>
      </c>
    </row>
    <row r="290" spans="1:13" s="101" customFormat="1" x14ac:dyDescent="0.25">
      <c r="A290" s="91">
        <v>540</v>
      </c>
      <c r="B290" s="91">
        <v>439825</v>
      </c>
      <c r="C290" s="92" t="s">
        <v>939</v>
      </c>
      <c r="D290" s="121" t="str">
        <f t="shared" ref="D290:D295" si="15">CONCATENATE(UPPER(C290),$D$3)</f>
        <v>SIKACOR PRIMER FZ (B) CO         KA 1GAL "E"</v>
      </c>
      <c r="E290" s="93" t="s">
        <v>938</v>
      </c>
      <c r="F290" s="94"/>
      <c r="G290" s="95"/>
      <c r="H290" s="96">
        <v>1</v>
      </c>
      <c r="I290" s="97" t="s">
        <v>1443</v>
      </c>
      <c r="J290" s="98">
        <v>4</v>
      </c>
      <c r="K290" s="99" t="s">
        <v>8</v>
      </c>
      <c r="L290" s="82">
        <v>169350</v>
      </c>
      <c r="M290" s="100">
        <v>9.286585678852799E-2</v>
      </c>
    </row>
    <row r="291" spans="1:13" s="101" customFormat="1" x14ac:dyDescent="0.25">
      <c r="A291" s="91">
        <v>539</v>
      </c>
      <c r="B291" s="91">
        <v>439826</v>
      </c>
      <c r="C291" s="92" t="s">
        <v>937</v>
      </c>
      <c r="D291" s="121" t="str">
        <f t="shared" si="15"/>
        <v>SIKACOR PRIMER FZ (A) LIG.GRE.CO /4X1GAL "E"</v>
      </c>
      <c r="E291" s="93" t="s">
        <v>938</v>
      </c>
      <c r="F291" s="94"/>
      <c r="G291" s="95" t="s">
        <v>60</v>
      </c>
      <c r="H291" s="96">
        <v>1</v>
      </c>
      <c r="I291" s="97" t="s">
        <v>1443</v>
      </c>
      <c r="J291" s="98">
        <v>4</v>
      </c>
      <c r="K291" s="99" t="s">
        <v>8</v>
      </c>
      <c r="L291" s="82">
        <v>222850</v>
      </c>
      <c r="M291" s="100">
        <v>9.286585678852799E-2</v>
      </c>
    </row>
    <row r="292" spans="1:13" s="101" customFormat="1" x14ac:dyDescent="0.25">
      <c r="A292" s="91">
        <v>532</v>
      </c>
      <c r="B292" s="91">
        <v>446080</v>
      </c>
      <c r="C292" s="92" t="s">
        <v>926</v>
      </c>
      <c r="D292" s="121" t="str">
        <f t="shared" si="15"/>
        <v>SIKA EPOXI-90HS SERIE 200(A)GREY PL 4GAL "E"</v>
      </c>
      <c r="E292" s="93" t="s">
        <v>925</v>
      </c>
      <c r="F292" s="94"/>
      <c r="G292" s="95" t="s">
        <v>14</v>
      </c>
      <c r="H292" s="96">
        <v>4</v>
      </c>
      <c r="I292" s="97" t="s">
        <v>1443</v>
      </c>
      <c r="J292" s="98">
        <v>1</v>
      </c>
      <c r="K292" s="99" t="s">
        <v>8</v>
      </c>
      <c r="L292" s="82">
        <v>900750</v>
      </c>
      <c r="M292" s="100">
        <v>9.286585678852799E-2</v>
      </c>
    </row>
    <row r="293" spans="1:13" s="101" customFormat="1" x14ac:dyDescent="0.25">
      <c r="A293" s="91">
        <v>712</v>
      </c>
      <c r="B293" s="91">
        <v>451976</v>
      </c>
      <c r="C293" s="92" t="s">
        <v>1124</v>
      </c>
      <c r="D293" s="121" t="str">
        <f t="shared" si="15"/>
        <v>SF METAL SHEET PVC NR.9525 1,00/2 -03-M2 "E"</v>
      </c>
      <c r="E293" s="93" t="s">
        <v>1125</v>
      </c>
      <c r="F293" s="94"/>
      <c r="G293" s="95" t="s">
        <v>134</v>
      </c>
      <c r="H293" s="96">
        <v>2</v>
      </c>
      <c r="I293" s="97" t="s">
        <v>135</v>
      </c>
      <c r="J293" s="98">
        <v>2</v>
      </c>
      <c r="K293" s="99" t="s">
        <v>135</v>
      </c>
      <c r="L293" s="82">
        <v>1097550</v>
      </c>
      <c r="M293" s="100">
        <v>7.2499999999999995E-2</v>
      </c>
    </row>
    <row r="294" spans="1:13" s="101" customFormat="1" x14ac:dyDescent="0.25">
      <c r="A294" s="91">
        <v>340</v>
      </c>
      <c r="B294" s="91">
        <v>455511</v>
      </c>
      <c r="C294" s="92" t="s">
        <v>673</v>
      </c>
      <c r="D294" s="121" t="str">
        <f t="shared" si="15"/>
        <v>SIKA ANCHORFIX STAT.MIXER QH HIFL(5X)BAG "E"</v>
      </c>
      <c r="E294" s="93" t="s">
        <v>674</v>
      </c>
      <c r="F294" s="94"/>
      <c r="G294" s="95"/>
      <c r="H294" s="96">
        <v>5</v>
      </c>
      <c r="I294" s="97" t="s">
        <v>130</v>
      </c>
      <c r="J294" s="98">
        <v>5</v>
      </c>
      <c r="K294" s="99" t="s">
        <v>8</v>
      </c>
      <c r="L294" s="82">
        <v>200950</v>
      </c>
      <c r="M294" s="100">
        <v>8.199999999999999E-2</v>
      </c>
    </row>
    <row r="295" spans="1:13" s="101" customFormat="1" x14ac:dyDescent="0.25">
      <c r="A295" s="91">
        <v>359</v>
      </c>
      <c r="B295" s="91">
        <v>455512</v>
      </c>
      <c r="C295" s="92" t="s">
        <v>700</v>
      </c>
      <c r="D295" s="121" t="str">
        <f t="shared" si="15"/>
        <v>STATIC MIXER SIKA ANCHORFIX-3001(5X) BAG "E"</v>
      </c>
      <c r="E295" s="93" t="s">
        <v>701</v>
      </c>
      <c r="F295" s="94"/>
      <c r="G295" s="95"/>
      <c r="H295" s="96">
        <v>5</v>
      </c>
      <c r="I295" s="97" t="s">
        <v>130</v>
      </c>
      <c r="J295" s="98">
        <v>5</v>
      </c>
      <c r="K295" s="99" t="s">
        <v>8</v>
      </c>
      <c r="L295" s="82">
        <v>53700</v>
      </c>
      <c r="M295" s="100">
        <v>8.199999999999999E-2</v>
      </c>
    </row>
    <row r="296" spans="1:13" s="101" customFormat="1" x14ac:dyDescent="0.25">
      <c r="A296" s="26">
        <v>343</v>
      </c>
      <c r="B296" s="26">
        <v>456435</v>
      </c>
      <c r="C296" s="27" t="s">
        <v>679</v>
      </c>
      <c r="D296" s="27" t="str">
        <f>UPPER(C296)</f>
        <v>SIKA ANCHORFIX-3001(AB) EN    /12 CTR600</v>
      </c>
      <c r="E296" s="28" t="s">
        <v>678</v>
      </c>
      <c r="F296" s="29"/>
      <c r="G296" s="30" t="s">
        <v>54</v>
      </c>
      <c r="H296" s="31">
        <v>1</v>
      </c>
      <c r="I296" s="32" t="s">
        <v>1445</v>
      </c>
      <c r="J296" s="33">
        <v>1</v>
      </c>
      <c r="K296" s="34" t="s">
        <v>8</v>
      </c>
      <c r="L296" s="82">
        <v>218100</v>
      </c>
      <c r="M296" s="35">
        <v>8.199999999999999E-2</v>
      </c>
    </row>
    <row r="297" spans="1:13" s="101" customFormat="1" x14ac:dyDescent="0.25">
      <c r="A297" s="91">
        <v>706</v>
      </c>
      <c r="B297" s="91">
        <v>456993</v>
      </c>
      <c r="C297" s="92" t="s">
        <v>1119</v>
      </c>
      <c r="D297" s="121" t="str">
        <f t="shared" ref="D297:D303" si="16">CONCATENATE(UPPER(C297),$D$3)</f>
        <v>SARNACOL T-660              C148 PL 18KG "E"</v>
      </c>
      <c r="E297" s="93" t="s">
        <v>1120</v>
      </c>
      <c r="F297" s="94"/>
      <c r="G297" s="95"/>
      <c r="H297" s="96">
        <v>18</v>
      </c>
      <c r="I297" s="97" t="s">
        <v>50</v>
      </c>
      <c r="J297" s="98">
        <v>1</v>
      </c>
      <c r="K297" s="99" t="s">
        <v>8</v>
      </c>
      <c r="L297" s="82">
        <v>4374750</v>
      </c>
      <c r="M297" s="100">
        <v>7.2499999999999995E-2</v>
      </c>
    </row>
    <row r="298" spans="1:13" x14ac:dyDescent="0.25">
      <c r="A298" s="91">
        <v>333</v>
      </c>
      <c r="B298" s="91">
        <v>459550</v>
      </c>
      <c r="C298" s="92" t="s">
        <v>664</v>
      </c>
      <c r="D298" s="121" t="str">
        <f t="shared" si="16"/>
        <v>SIKA ANCHORFIX STE.BR.27MM EX.HA.CDN BAG "E"</v>
      </c>
      <c r="E298" s="93" t="s">
        <v>661</v>
      </c>
      <c r="F298" s="94"/>
      <c r="G298" s="95"/>
      <c r="H298" s="96">
        <v>1</v>
      </c>
      <c r="I298" s="97" t="s">
        <v>130</v>
      </c>
      <c r="J298" s="98">
        <v>1</v>
      </c>
      <c r="K298" s="99" t="s">
        <v>8</v>
      </c>
      <c r="L298" s="82">
        <v>26900</v>
      </c>
      <c r="M298" s="100">
        <v>8.199999999999999E-2</v>
      </c>
    </row>
    <row r="299" spans="1:13" x14ac:dyDescent="0.25">
      <c r="A299" s="91">
        <v>332</v>
      </c>
      <c r="B299" s="91">
        <v>459551</v>
      </c>
      <c r="C299" s="92" t="s">
        <v>663</v>
      </c>
      <c r="D299" s="121" t="str">
        <f t="shared" si="16"/>
        <v>SIKA ANCHORFIX STE.BR.24MM EX.HA.CDN BAG "E"</v>
      </c>
      <c r="E299" s="93" t="s">
        <v>661</v>
      </c>
      <c r="F299" s="94"/>
      <c r="G299" s="95"/>
      <c r="H299" s="96">
        <v>1</v>
      </c>
      <c r="I299" s="97" t="s">
        <v>130</v>
      </c>
      <c r="J299" s="98">
        <v>1</v>
      </c>
      <c r="K299" s="99" t="s">
        <v>8</v>
      </c>
      <c r="L299" s="82">
        <v>147400</v>
      </c>
      <c r="M299" s="100">
        <v>8.199999999999999E-2</v>
      </c>
    </row>
    <row r="300" spans="1:13" x14ac:dyDescent="0.25">
      <c r="A300" s="91">
        <v>331</v>
      </c>
      <c r="B300" s="91">
        <v>459552</v>
      </c>
      <c r="C300" s="92" t="s">
        <v>662</v>
      </c>
      <c r="D300" s="121" t="str">
        <f t="shared" si="16"/>
        <v>SIKA ANCHORFIX STE.BR.22MM EX.HA.CDN BAG "E"</v>
      </c>
      <c r="E300" s="93" t="s">
        <v>661</v>
      </c>
      <c r="F300" s="94"/>
      <c r="G300" s="95"/>
      <c r="H300" s="96">
        <v>1</v>
      </c>
      <c r="I300" s="97" t="s">
        <v>130</v>
      </c>
      <c r="J300" s="98">
        <v>1</v>
      </c>
      <c r="K300" s="99" t="s">
        <v>8</v>
      </c>
      <c r="L300" s="82">
        <v>134650</v>
      </c>
      <c r="M300" s="100">
        <v>8.199999999999999E-2</v>
      </c>
    </row>
    <row r="301" spans="1:13" x14ac:dyDescent="0.25">
      <c r="A301" s="91">
        <v>330</v>
      </c>
      <c r="B301" s="91">
        <v>459553</v>
      </c>
      <c r="C301" s="92" t="s">
        <v>660</v>
      </c>
      <c r="D301" s="121" t="str">
        <f t="shared" si="16"/>
        <v>SIKA ANCHORFIX STE.BR.18MM EX.HA.CDN BAG "E"</v>
      </c>
      <c r="E301" s="93" t="s">
        <v>661</v>
      </c>
      <c r="F301" s="94"/>
      <c r="G301" s="95"/>
      <c r="H301" s="96">
        <v>1</v>
      </c>
      <c r="I301" s="97" t="s">
        <v>130</v>
      </c>
      <c r="J301" s="98">
        <v>1</v>
      </c>
      <c r="K301" s="99" t="s">
        <v>8</v>
      </c>
      <c r="L301" s="82">
        <v>134650</v>
      </c>
      <c r="M301" s="100">
        <v>8.199999999999999E-2</v>
      </c>
    </row>
    <row r="302" spans="1:13" x14ac:dyDescent="0.25">
      <c r="A302" s="91">
        <v>335</v>
      </c>
      <c r="B302" s="91">
        <v>459554</v>
      </c>
      <c r="C302" s="92" t="s">
        <v>666</v>
      </c>
      <c r="D302" s="121" t="str">
        <f t="shared" si="16"/>
        <v>SIKA ANCHORFIX STE.BRU.16MM HAND.CDN BAG "E"</v>
      </c>
      <c r="E302" s="93" t="s">
        <v>661</v>
      </c>
      <c r="F302" s="94"/>
      <c r="G302" s="95"/>
      <c r="H302" s="96">
        <v>1</v>
      </c>
      <c r="I302" s="97" t="s">
        <v>130</v>
      </c>
      <c r="J302" s="98">
        <v>1</v>
      </c>
      <c r="K302" s="99" t="s">
        <v>8</v>
      </c>
      <c r="L302" s="82">
        <v>125050</v>
      </c>
      <c r="M302" s="100">
        <v>8.199999999999999E-2</v>
      </c>
    </row>
    <row r="303" spans="1:13" x14ac:dyDescent="0.25">
      <c r="A303" s="91">
        <v>334</v>
      </c>
      <c r="B303" s="91">
        <v>459555</v>
      </c>
      <c r="C303" s="92" t="s">
        <v>665</v>
      </c>
      <c r="D303" s="121" t="str">
        <f t="shared" si="16"/>
        <v>SIKA ANCHORFIX STE.BRU.14MM HAND.CDN BAG "E"</v>
      </c>
      <c r="E303" s="93" t="s">
        <v>661</v>
      </c>
      <c r="F303" s="94"/>
      <c r="G303" s="95"/>
      <c r="H303" s="96">
        <v>1</v>
      </c>
      <c r="I303" s="97" t="s">
        <v>130</v>
      </c>
      <c r="J303" s="98">
        <v>1</v>
      </c>
      <c r="K303" s="99" t="s">
        <v>8</v>
      </c>
      <c r="L303" s="82">
        <v>131200</v>
      </c>
      <c r="M303" s="100">
        <v>8.199999999999999E-2</v>
      </c>
    </row>
    <row r="304" spans="1:13" x14ac:dyDescent="0.25">
      <c r="A304" s="26">
        <v>795</v>
      </c>
      <c r="B304" s="26">
        <v>460774</v>
      </c>
      <c r="C304" s="27" t="s">
        <v>1223</v>
      </c>
      <c r="D304" s="27" t="str">
        <f t="shared" ref="D304:D311" si="17">UPPER(C304)</f>
        <v>SIKABOND PVA CO                  /20X1KG</v>
      </c>
      <c r="E304" s="28" t="s">
        <v>1224</v>
      </c>
      <c r="F304" s="29"/>
      <c r="G304" s="30"/>
      <c r="H304" s="31">
        <v>1</v>
      </c>
      <c r="I304" s="32" t="s">
        <v>50</v>
      </c>
      <c r="J304" s="33">
        <v>20</v>
      </c>
      <c r="K304" s="34" t="s">
        <v>8</v>
      </c>
      <c r="L304" s="82">
        <v>38100</v>
      </c>
      <c r="M304" s="35">
        <v>6.7000000000000004E-2</v>
      </c>
    </row>
    <row r="305" spans="1:13" x14ac:dyDescent="0.25">
      <c r="A305" s="26">
        <v>796</v>
      </c>
      <c r="B305" s="26">
        <v>460776</v>
      </c>
      <c r="C305" s="27" t="s">
        <v>1225</v>
      </c>
      <c r="D305" s="27" t="str">
        <f t="shared" si="17"/>
        <v>SIKABOND PVA CO                   /4X4KG</v>
      </c>
      <c r="E305" s="28" t="s">
        <v>1224</v>
      </c>
      <c r="F305" s="29"/>
      <c r="G305" s="30"/>
      <c r="H305" s="31">
        <v>4</v>
      </c>
      <c r="I305" s="32" t="s">
        <v>50</v>
      </c>
      <c r="J305" s="33">
        <v>4</v>
      </c>
      <c r="K305" s="34" t="s">
        <v>8</v>
      </c>
      <c r="L305" s="82">
        <v>137750</v>
      </c>
      <c r="M305" s="35">
        <v>6.7000000000000004E-2</v>
      </c>
    </row>
    <row r="306" spans="1:13" x14ac:dyDescent="0.25">
      <c r="A306" s="26">
        <v>797</v>
      </c>
      <c r="B306" s="26">
        <v>460777</v>
      </c>
      <c r="C306" s="27" t="s">
        <v>1226</v>
      </c>
      <c r="D306" s="27" t="str">
        <f t="shared" si="17"/>
        <v>SIKABOND PVA CO                  PL 20KG</v>
      </c>
      <c r="E306" s="28" t="s">
        <v>1224</v>
      </c>
      <c r="F306" s="29"/>
      <c r="G306" s="30"/>
      <c r="H306" s="31">
        <v>20</v>
      </c>
      <c r="I306" s="32" t="s">
        <v>50</v>
      </c>
      <c r="J306" s="33">
        <v>1</v>
      </c>
      <c r="K306" s="34" t="s">
        <v>8</v>
      </c>
      <c r="L306" s="82">
        <v>592950</v>
      </c>
      <c r="M306" s="35">
        <v>6.7000000000000004E-2</v>
      </c>
    </row>
    <row r="307" spans="1:13" x14ac:dyDescent="0.25">
      <c r="A307" s="26">
        <v>798</v>
      </c>
      <c r="B307" s="26">
        <v>460778</v>
      </c>
      <c r="C307" s="27" t="s">
        <v>1227</v>
      </c>
      <c r="D307" s="27" t="str">
        <f t="shared" si="17"/>
        <v>SIKABOND PVA CO                 DR 200KG</v>
      </c>
      <c r="E307" s="28" t="s">
        <v>1224</v>
      </c>
      <c r="F307" s="29"/>
      <c r="G307" s="30"/>
      <c r="H307" s="31">
        <v>200</v>
      </c>
      <c r="I307" s="32" t="s">
        <v>50</v>
      </c>
      <c r="J307" s="33">
        <v>1</v>
      </c>
      <c r="K307" s="34" t="s">
        <v>8</v>
      </c>
      <c r="L307" s="82">
        <v>4904050</v>
      </c>
      <c r="M307" s="35">
        <v>6.7000000000000004E-2</v>
      </c>
    </row>
    <row r="308" spans="1:13" x14ac:dyDescent="0.25">
      <c r="A308" s="26">
        <v>23</v>
      </c>
      <c r="B308" s="26">
        <v>463660</v>
      </c>
      <c r="C308" s="27" t="s">
        <v>214</v>
      </c>
      <c r="D308" s="27" t="str">
        <f t="shared" si="17"/>
        <v>SIKAMASTIC INTERIOR CO            /4X5KG</v>
      </c>
      <c r="E308" s="28" t="s">
        <v>213</v>
      </c>
      <c r="F308" s="29"/>
      <c r="G308" s="30" t="s">
        <v>18</v>
      </c>
      <c r="H308" s="31">
        <v>5</v>
      </c>
      <c r="I308" s="32" t="s">
        <v>50</v>
      </c>
      <c r="J308" s="33">
        <v>4</v>
      </c>
      <c r="K308" s="34" t="s">
        <v>8</v>
      </c>
      <c r="L308" s="82">
        <v>18350</v>
      </c>
      <c r="M308" s="35">
        <v>9.4E-2</v>
      </c>
    </row>
    <row r="309" spans="1:13" x14ac:dyDescent="0.25">
      <c r="A309" s="26">
        <v>22</v>
      </c>
      <c r="B309" s="26">
        <v>463661</v>
      </c>
      <c r="C309" s="27" t="s">
        <v>212</v>
      </c>
      <c r="D309" s="27" t="str">
        <f t="shared" si="17"/>
        <v>SIKAMASTIC INTERIOR CO         /12X1,1KG</v>
      </c>
      <c r="E309" s="28" t="s">
        <v>213</v>
      </c>
      <c r="F309" s="29"/>
      <c r="G309" s="30" t="s">
        <v>20</v>
      </c>
      <c r="H309" s="31">
        <v>1.1000000000000001</v>
      </c>
      <c r="I309" s="32" t="s">
        <v>50</v>
      </c>
      <c r="J309" s="33">
        <v>12</v>
      </c>
      <c r="K309" s="34" t="s">
        <v>8</v>
      </c>
      <c r="L309" s="82">
        <v>8350</v>
      </c>
      <c r="M309" s="35">
        <v>9.4E-2</v>
      </c>
    </row>
    <row r="310" spans="1:13" x14ac:dyDescent="0.25">
      <c r="A310" s="26">
        <v>25</v>
      </c>
      <c r="B310" s="26">
        <v>463713</v>
      </c>
      <c r="C310" s="27" t="s">
        <v>216</v>
      </c>
      <c r="D310" s="27" t="str">
        <f t="shared" si="17"/>
        <v>SIKAMASTIC INTERIOR CO          CAR 20KG</v>
      </c>
      <c r="E310" s="28" t="s">
        <v>213</v>
      </c>
      <c r="F310" s="29"/>
      <c r="G310" s="30" t="s">
        <v>22</v>
      </c>
      <c r="H310" s="31">
        <v>20</v>
      </c>
      <c r="I310" s="32" t="s">
        <v>50</v>
      </c>
      <c r="J310" s="33">
        <v>1</v>
      </c>
      <c r="K310" s="34" t="s">
        <v>8</v>
      </c>
      <c r="L310" s="82">
        <v>49650</v>
      </c>
      <c r="M310" s="35">
        <v>9.4E-2</v>
      </c>
    </row>
    <row r="311" spans="1:13" x14ac:dyDescent="0.25">
      <c r="A311" s="26">
        <v>4</v>
      </c>
      <c r="B311" s="26">
        <v>463714</v>
      </c>
      <c r="C311" s="27" t="s">
        <v>189</v>
      </c>
      <c r="D311" s="27" t="str">
        <f t="shared" si="17"/>
        <v>ESTUKA ACRILICO CO              CAR 20KG</v>
      </c>
      <c r="E311" s="28" t="s">
        <v>186</v>
      </c>
      <c r="F311" s="29"/>
      <c r="G311" s="30"/>
      <c r="H311" s="31">
        <v>20</v>
      </c>
      <c r="I311" s="32" t="s">
        <v>50</v>
      </c>
      <c r="J311" s="33">
        <v>1</v>
      </c>
      <c r="K311" s="34" t="s">
        <v>8</v>
      </c>
      <c r="L311" s="82">
        <v>65150</v>
      </c>
      <c r="M311" s="35">
        <v>8.4000000000000005E-2</v>
      </c>
    </row>
    <row r="312" spans="1:13" x14ac:dyDescent="0.25">
      <c r="A312" s="91">
        <v>640</v>
      </c>
      <c r="B312" s="91">
        <v>467170</v>
      </c>
      <c r="C312" s="92" t="s">
        <v>1042</v>
      </c>
      <c r="D312" s="121" t="str">
        <f>CONCATENATE(UPPER(C312),$D$3)</f>
        <v>SIKAFLOOR-510 (AB) CLEAR CO       2,97KG "E"</v>
      </c>
      <c r="E312" s="93" t="s">
        <v>961</v>
      </c>
      <c r="F312" s="94"/>
      <c r="G312" s="95" t="s">
        <v>25</v>
      </c>
      <c r="H312" s="96">
        <v>2.97</v>
      </c>
      <c r="I312" s="97" t="s">
        <v>50</v>
      </c>
      <c r="J312" s="98">
        <v>4</v>
      </c>
      <c r="K312" s="99" t="s">
        <v>8</v>
      </c>
      <c r="L312" s="82">
        <v>728800</v>
      </c>
      <c r="M312" s="100">
        <v>8.199999999999999E-2</v>
      </c>
    </row>
    <row r="313" spans="1:13" x14ac:dyDescent="0.25">
      <c r="A313" s="91">
        <v>648</v>
      </c>
      <c r="B313" s="91">
        <v>467171</v>
      </c>
      <c r="C313" s="92" t="s">
        <v>1046</v>
      </c>
      <c r="D313" s="121" t="str">
        <f>CONCATENATE(UPPER(C313),$D$3)</f>
        <v>SIKAFLOOR-510 (AB) WHITE CO       4,94KG "E"</v>
      </c>
      <c r="E313" s="93" t="s">
        <v>961</v>
      </c>
      <c r="F313" s="94"/>
      <c r="G313" s="95" t="s">
        <v>15</v>
      </c>
      <c r="H313" s="96">
        <v>4.87</v>
      </c>
      <c r="I313" s="97" t="s">
        <v>50</v>
      </c>
      <c r="J313" s="98">
        <v>1</v>
      </c>
      <c r="K313" s="99" t="s">
        <v>8</v>
      </c>
      <c r="L313" s="82">
        <v>951550</v>
      </c>
      <c r="M313" s="100">
        <v>8.199999999999999E-2</v>
      </c>
    </row>
    <row r="314" spans="1:13" x14ac:dyDescent="0.25">
      <c r="A314" s="91">
        <v>646</v>
      </c>
      <c r="B314" s="91">
        <v>467172</v>
      </c>
      <c r="C314" s="92" t="s">
        <v>1044</v>
      </c>
      <c r="D314" s="121" t="str">
        <f>CONCATENATE(UPPER(C314),$D$3)</f>
        <v>SIKAFLOOR-510 (AB) RAL7035 CO     4,87KG "E"</v>
      </c>
      <c r="E314" s="93" t="s">
        <v>961</v>
      </c>
      <c r="F314" s="94"/>
      <c r="G314" s="95" t="s">
        <v>63</v>
      </c>
      <c r="H314" s="96">
        <v>4.87</v>
      </c>
      <c r="I314" s="97" t="s">
        <v>50</v>
      </c>
      <c r="J314" s="98">
        <v>4</v>
      </c>
      <c r="K314" s="99" t="s">
        <v>8</v>
      </c>
      <c r="L314" s="82">
        <v>951550</v>
      </c>
      <c r="M314" s="100">
        <v>8.199999999999999E-2</v>
      </c>
    </row>
    <row r="315" spans="1:13" x14ac:dyDescent="0.25">
      <c r="A315" s="26">
        <v>793</v>
      </c>
      <c r="B315" s="26">
        <v>469477</v>
      </c>
      <c r="C315" s="27" t="s">
        <v>1221</v>
      </c>
      <c r="D315" s="27" t="str">
        <f t="shared" ref="D315:D320" si="18">UPPER(C315)</f>
        <v>SIKABOOM M LA                  /12X500ML</v>
      </c>
      <c r="E315" s="28" t="s">
        <v>1220</v>
      </c>
      <c r="F315" s="29"/>
      <c r="G315" s="30" t="s">
        <v>156</v>
      </c>
      <c r="H315" s="31">
        <v>500</v>
      </c>
      <c r="I315" s="32" t="s">
        <v>1445</v>
      </c>
      <c r="J315" s="33">
        <v>12</v>
      </c>
      <c r="K315" s="34" t="s">
        <v>8</v>
      </c>
      <c r="L315" s="82">
        <v>51050</v>
      </c>
      <c r="M315" s="35">
        <v>6.7000000000000004E-2</v>
      </c>
    </row>
    <row r="316" spans="1:13" x14ac:dyDescent="0.25">
      <c r="A316" s="26">
        <v>6</v>
      </c>
      <c r="B316" s="26">
        <v>470658</v>
      </c>
      <c r="C316" s="27" t="s">
        <v>192</v>
      </c>
      <c r="D316" s="27" t="str">
        <f t="shared" si="18"/>
        <v>ESTUKA PANETE CO                 BG 50KG</v>
      </c>
      <c r="E316" s="28" t="s">
        <v>191</v>
      </c>
      <c r="F316" s="29"/>
      <c r="G316" s="30"/>
      <c r="H316" s="31">
        <v>50</v>
      </c>
      <c r="I316" s="32" t="s">
        <v>50</v>
      </c>
      <c r="J316" s="33">
        <v>1</v>
      </c>
      <c r="K316" s="34" t="s">
        <v>8</v>
      </c>
      <c r="L316" s="82">
        <v>120300</v>
      </c>
      <c r="M316" s="35">
        <v>9.4E-2</v>
      </c>
    </row>
    <row r="317" spans="1:13" x14ac:dyDescent="0.25">
      <c r="A317" s="26">
        <v>350</v>
      </c>
      <c r="B317" s="26">
        <v>470990</v>
      </c>
      <c r="C317" s="27" t="s">
        <v>689</v>
      </c>
      <c r="D317" s="27" t="str">
        <f t="shared" si="18"/>
        <v>SIKAVISCOBOND CO                DR 200KG</v>
      </c>
      <c r="E317" s="28" t="s">
        <v>686</v>
      </c>
      <c r="F317" s="29"/>
      <c r="G317" s="30"/>
      <c r="H317" s="31">
        <v>200</v>
      </c>
      <c r="I317" s="32" t="s">
        <v>50</v>
      </c>
      <c r="J317" s="33">
        <v>1</v>
      </c>
      <c r="K317" s="34" t="s">
        <v>8</v>
      </c>
      <c r="L317" s="82">
        <v>10495400</v>
      </c>
      <c r="M317" s="35">
        <v>6.7000000000000004E-2</v>
      </c>
    </row>
    <row r="318" spans="1:13" x14ac:dyDescent="0.25">
      <c r="A318" s="26">
        <v>349</v>
      </c>
      <c r="B318" s="26">
        <v>470991</v>
      </c>
      <c r="C318" s="27" t="s">
        <v>688</v>
      </c>
      <c r="D318" s="27" t="str">
        <f t="shared" si="18"/>
        <v>SIKAVISCOBOND CO                 PL 19KG</v>
      </c>
      <c r="E318" s="28" t="s">
        <v>686</v>
      </c>
      <c r="F318" s="29"/>
      <c r="G318" s="30"/>
      <c r="H318" s="31">
        <v>19</v>
      </c>
      <c r="I318" s="32" t="s">
        <v>50</v>
      </c>
      <c r="J318" s="33">
        <v>1</v>
      </c>
      <c r="K318" s="34" t="s">
        <v>8</v>
      </c>
      <c r="L318" s="82">
        <v>1312200</v>
      </c>
      <c r="M318" s="35">
        <v>6.7000000000000004E-2</v>
      </c>
    </row>
    <row r="319" spans="1:13" x14ac:dyDescent="0.25">
      <c r="A319" s="26">
        <v>348</v>
      </c>
      <c r="B319" s="26">
        <v>470992</v>
      </c>
      <c r="C319" s="27" t="s">
        <v>687</v>
      </c>
      <c r="D319" s="27" t="str">
        <f t="shared" si="18"/>
        <v>SIKAVISCOBOND CO                /6X3,2KG</v>
      </c>
      <c r="E319" s="28" t="s">
        <v>686</v>
      </c>
      <c r="F319" s="29"/>
      <c r="G319" s="30"/>
      <c r="H319" s="31">
        <v>3.2</v>
      </c>
      <c r="I319" s="32" t="s">
        <v>50</v>
      </c>
      <c r="J319" s="33">
        <v>6</v>
      </c>
      <c r="K319" s="34" t="s">
        <v>8</v>
      </c>
      <c r="L319" s="82">
        <v>223100</v>
      </c>
      <c r="M319" s="35">
        <v>6.7000000000000004E-2</v>
      </c>
    </row>
    <row r="320" spans="1:13" x14ac:dyDescent="0.25">
      <c r="A320" s="26">
        <v>347</v>
      </c>
      <c r="B320" s="26">
        <v>470993</v>
      </c>
      <c r="C320" s="27" t="s">
        <v>685</v>
      </c>
      <c r="D320" s="27" t="str">
        <f t="shared" si="18"/>
        <v>SIKAVISCOBOND CO               /17X0,6KG</v>
      </c>
      <c r="E320" s="28" t="s">
        <v>686</v>
      </c>
      <c r="F320" s="29"/>
      <c r="G320" s="30"/>
      <c r="H320" s="31">
        <v>0.6</v>
      </c>
      <c r="I320" s="32" t="s">
        <v>50</v>
      </c>
      <c r="J320" s="33">
        <v>17</v>
      </c>
      <c r="K320" s="34" t="s">
        <v>8</v>
      </c>
      <c r="L320" s="82">
        <v>59200</v>
      </c>
      <c r="M320" s="35">
        <v>6.7000000000000004E-2</v>
      </c>
    </row>
    <row r="321" spans="1:13" x14ac:dyDescent="0.25">
      <c r="A321" s="91">
        <v>561</v>
      </c>
      <c r="B321" s="91">
        <v>471579</v>
      </c>
      <c r="C321" s="92" t="s">
        <v>968</v>
      </c>
      <c r="D321" s="121" t="str">
        <f>CONCATENATE(UPPER(C321),$D$3)</f>
        <v>SIKAFLOOR DECOFLAKES BROWN CO     BG 1KG "E"</v>
      </c>
      <c r="E321" s="93" t="s">
        <v>967</v>
      </c>
      <c r="F321" s="94"/>
      <c r="G321" s="95" t="s">
        <v>109</v>
      </c>
      <c r="H321" s="96">
        <v>1</v>
      </c>
      <c r="I321" s="97" t="s">
        <v>50</v>
      </c>
      <c r="J321" s="98">
        <v>1</v>
      </c>
      <c r="K321" s="99" t="s">
        <v>8</v>
      </c>
      <c r="L321" s="82">
        <v>103400</v>
      </c>
      <c r="M321" s="100">
        <v>8.199999999999999E-2</v>
      </c>
    </row>
    <row r="322" spans="1:13" x14ac:dyDescent="0.25">
      <c r="A322" s="91">
        <v>563</v>
      </c>
      <c r="B322" s="91">
        <v>471580</v>
      </c>
      <c r="C322" s="92" t="s">
        <v>970</v>
      </c>
      <c r="D322" s="121" t="str">
        <f>CONCATENATE(UPPER(C322),$D$3)</f>
        <v>SIKAFLOOR DECOFLAKES WHITE CO     BG 1KG "E"</v>
      </c>
      <c r="E322" s="93" t="s">
        <v>967</v>
      </c>
      <c r="F322" s="94"/>
      <c r="G322" s="95" t="s">
        <v>15</v>
      </c>
      <c r="H322" s="96">
        <v>1</v>
      </c>
      <c r="I322" s="97" t="s">
        <v>50</v>
      </c>
      <c r="J322" s="98">
        <v>1</v>
      </c>
      <c r="K322" s="99" t="s">
        <v>8</v>
      </c>
      <c r="L322" s="82">
        <v>103400</v>
      </c>
      <c r="M322" s="100">
        <v>8.199999999999999E-2</v>
      </c>
    </row>
    <row r="323" spans="1:13" x14ac:dyDescent="0.25">
      <c r="A323" s="91">
        <v>562</v>
      </c>
      <c r="B323" s="91">
        <v>471581</v>
      </c>
      <c r="C323" s="92" t="s">
        <v>969</v>
      </c>
      <c r="D323" s="121" t="str">
        <f>CONCATENATE(UPPER(C323),$D$3)</f>
        <v>SIKAFLOOR DECOFLAKES GREY NEU CO  BG 1KG "E"</v>
      </c>
      <c r="E323" s="93" t="s">
        <v>967</v>
      </c>
      <c r="F323" s="94"/>
      <c r="G323" s="95"/>
      <c r="H323" s="96">
        <v>1</v>
      </c>
      <c r="I323" s="97" t="s">
        <v>50</v>
      </c>
      <c r="J323" s="98">
        <v>1</v>
      </c>
      <c r="K323" s="99" t="s">
        <v>8</v>
      </c>
      <c r="L323" s="82">
        <v>103400</v>
      </c>
      <c r="M323" s="100">
        <v>8.199999999999999E-2</v>
      </c>
    </row>
    <row r="324" spans="1:13" x14ac:dyDescent="0.25">
      <c r="A324" s="91">
        <v>560</v>
      </c>
      <c r="B324" s="91">
        <v>471582</v>
      </c>
      <c r="C324" s="92" t="s">
        <v>966</v>
      </c>
      <c r="D324" s="121" t="str">
        <f>CONCATENATE(UPPER(C324),$D$3)</f>
        <v>SIKAFLOOR DECOFLAKES BLACK CO     BG 1KG "E"</v>
      </c>
      <c r="E324" s="93" t="s">
        <v>967</v>
      </c>
      <c r="F324" s="94"/>
      <c r="G324" s="95" t="s">
        <v>31</v>
      </c>
      <c r="H324" s="96">
        <v>1</v>
      </c>
      <c r="I324" s="97" t="s">
        <v>50</v>
      </c>
      <c r="J324" s="98">
        <v>1</v>
      </c>
      <c r="K324" s="99" t="s">
        <v>8</v>
      </c>
      <c r="L324" s="82">
        <v>103400</v>
      </c>
      <c r="M324" s="100">
        <v>8.199999999999999E-2</v>
      </c>
    </row>
    <row r="325" spans="1:13" x14ac:dyDescent="0.25">
      <c r="A325" s="26">
        <v>134</v>
      </c>
      <c r="B325" s="26">
        <v>471825</v>
      </c>
      <c r="C325" s="27" t="s">
        <v>361</v>
      </c>
      <c r="D325" s="27" t="str">
        <f>UPPER(C325)</f>
        <v>SIKA ANTISOL ROJO BASE AGUA  COL KA 20KG</v>
      </c>
      <c r="E325" s="28" t="s">
        <v>362</v>
      </c>
      <c r="F325" s="29"/>
      <c r="G325" s="30" t="s">
        <v>48</v>
      </c>
      <c r="H325" s="31">
        <v>20</v>
      </c>
      <c r="I325" s="32" t="s">
        <v>50</v>
      </c>
      <c r="J325" s="33">
        <v>1</v>
      </c>
      <c r="K325" s="34" t="s">
        <v>8</v>
      </c>
      <c r="L325" s="82">
        <v>509550</v>
      </c>
      <c r="M325" s="35">
        <v>6.9999999999999993E-2</v>
      </c>
    </row>
    <row r="326" spans="1:13" x14ac:dyDescent="0.25">
      <c r="A326" s="26">
        <v>135</v>
      </c>
      <c r="B326" s="26">
        <v>471826</v>
      </c>
      <c r="C326" s="27" t="s">
        <v>363</v>
      </c>
      <c r="D326" s="27" t="str">
        <f>UPPER(C326)</f>
        <v>SIKA ANTISOL ROJO BASE AGUA COL DR 210KG</v>
      </c>
      <c r="E326" s="28" t="s">
        <v>362</v>
      </c>
      <c r="F326" s="29"/>
      <c r="G326" s="30" t="s">
        <v>48</v>
      </c>
      <c r="H326" s="31">
        <v>210</v>
      </c>
      <c r="I326" s="32" t="s">
        <v>50</v>
      </c>
      <c r="J326" s="33">
        <v>1</v>
      </c>
      <c r="K326" s="34" t="s">
        <v>8</v>
      </c>
      <c r="L326" s="82">
        <v>4919300</v>
      </c>
      <c r="M326" s="35">
        <v>6.9999999999999993E-2</v>
      </c>
    </row>
    <row r="327" spans="1:13" x14ac:dyDescent="0.25">
      <c r="A327" s="91">
        <v>717</v>
      </c>
      <c r="B327" s="91">
        <v>472137</v>
      </c>
      <c r="C327" s="92" t="s">
        <v>1129</v>
      </c>
      <c r="D327" s="121" t="str">
        <f>CONCATENATE(UPPER(C327),$D$3)</f>
        <v>SIKAMANTO 3MM ALUMINIUM HOT (10MX1M) ROL "E"</v>
      </c>
      <c r="E327" s="93" t="s">
        <v>1130</v>
      </c>
      <c r="F327" s="94"/>
      <c r="G327" s="95" t="s">
        <v>138</v>
      </c>
      <c r="H327" s="96">
        <v>10</v>
      </c>
      <c r="I327" s="97" t="s">
        <v>135</v>
      </c>
      <c r="J327" s="98">
        <v>1</v>
      </c>
      <c r="K327" s="99" t="s">
        <v>8</v>
      </c>
      <c r="L327" s="82">
        <v>390900</v>
      </c>
      <c r="M327" s="100">
        <v>7.2499999999999995E-2</v>
      </c>
    </row>
    <row r="328" spans="1:13" x14ac:dyDescent="0.25">
      <c r="A328" s="91">
        <v>718</v>
      </c>
      <c r="B328" s="91">
        <v>472160</v>
      </c>
      <c r="C328" s="92" t="s">
        <v>1131</v>
      </c>
      <c r="D328" s="121" t="str">
        <f>CONCATENATE(UPPER(C328),$D$3)</f>
        <v>SIKAMANTO 3MM SMOOTH HOT (10MX1M)    ROL "E"</v>
      </c>
      <c r="E328" s="93" t="s">
        <v>1130</v>
      </c>
      <c r="F328" s="94"/>
      <c r="G328" s="95" t="s">
        <v>139</v>
      </c>
      <c r="H328" s="96">
        <v>10</v>
      </c>
      <c r="I328" s="97" t="s">
        <v>135</v>
      </c>
      <c r="J328" s="98">
        <v>1</v>
      </c>
      <c r="K328" s="99" t="s">
        <v>8</v>
      </c>
      <c r="L328" s="82">
        <v>375250</v>
      </c>
      <c r="M328" s="100">
        <v>7.2499999999999995E-2</v>
      </c>
    </row>
    <row r="329" spans="1:13" x14ac:dyDescent="0.25">
      <c r="A329" s="26">
        <v>946</v>
      </c>
      <c r="B329" s="26">
        <v>472763</v>
      </c>
      <c r="C329" s="27" t="s">
        <v>1439</v>
      </c>
      <c r="D329" s="27" t="str">
        <f>UPPER(C329)</f>
        <v>SIKATOP-121 MONOCOMPONENTE CO    BG 25KG</v>
      </c>
      <c r="E329" s="28" t="s">
        <v>1440</v>
      </c>
      <c r="F329" s="29"/>
      <c r="G329" s="30"/>
      <c r="H329" s="31">
        <v>25</v>
      </c>
      <c r="I329" s="32" t="s">
        <v>50</v>
      </c>
      <c r="J329" s="33">
        <v>1</v>
      </c>
      <c r="K329" s="34" t="s">
        <v>8</v>
      </c>
      <c r="L329" s="82">
        <v>355300</v>
      </c>
      <c r="M329" s="35">
        <v>0.10700000000000001</v>
      </c>
    </row>
    <row r="330" spans="1:13" x14ac:dyDescent="0.25">
      <c r="A330" s="26">
        <v>424</v>
      </c>
      <c r="B330" s="26">
        <v>472764</v>
      </c>
      <c r="C330" s="27" t="s">
        <v>791</v>
      </c>
      <c r="D330" s="27" t="str">
        <f>UPPER(C330)</f>
        <v>SIKATOP-122 PLUS MONOCOMPONEN.CO BG 25KG</v>
      </c>
      <c r="E330" s="28" t="s">
        <v>792</v>
      </c>
      <c r="F330" s="29"/>
      <c r="G330" s="30"/>
      <c r="H330" s="31">
        <v>25</v>
      </c>
      <c r="I330" s="32" t="s">
        <v>50</v>
      </c>
      <c r="J330" s="33">
        <v>1</v>
      </c>
      <c r="K330" s="34" t="s">
        <v>8</v>
      </c>
      <c r="L330" s="82">
        <v>338400</v>
      </c>
      <c r="M330" s="35">
        <v>8.6999999999999994E-2</v>
      </c>
    </row>
    <row r="331" spans="1:13" x14ac:dyDescent="0.25">
      <c r="A331" s="26">
        <v>318</v>
      </c>
      <c r="B331" s="26">
        <v>475805</v>
      </c>
      <c r="C331" s="27" t="s">
        <v>643</v>
      </c>
      <c r="D331" s="27" t="str">
        <f>UPPER(C331)</f>
        <v>SIKATARD-935 CO                 DR 230KG</v>
      </c>
      <c r="E331" s="28" t="s">
        <v>642</v>
      </c>
      <c r="F331" s="29"/>
      <c r="G331" s="30"/>
      <c r="H331" s="31">
        <v>230</v>
      </c>
      <c r="I331" s="32" t="s">
        <v>50</v>
      </c>
      <c r="J331" s="33">
        <v>1</v>
      </c>
      <c r="K331" s="34" t="s">
        <v>8</v>
      </c>
      <c r="L331" s="82">
        <v>3618450</v>
      </c>
      <c r="M331" s="35">
        <v>0.08</v>
      </c>
    </row>
    <row r="332" spans="1:13" x14ac:dyDescent="0.25">
      <c r="A332" s="26">
        <v>317</v>
      </c>
      <c r="B332" s="26">
        <v>475806</v>
      </c>
      <c r="C332" s="27" t="s">
        <v>641</v>
      </c>
      <c r="D332" s="27" t="str">
        <f>UPPER(C332)</f>
        <v>SIKATARD-935 CO                TANKER KG</v>
      </c>
      <c r="E332" s="28" t="s">
        <v>642</v>
      </c>
      <c r="F332" s="29"/>
      <c r="G332" s="30"/>
      <c r="H332" s="31">
        <v>1</v>
      </c>
      <c r="I332" s="32" t="s">
        <v>50</v>
      </c>
      <c r="J332" s="33">
        <v>1</v>
      </c>
      <c r="K332" s="34" t="s">
        <v>8</v>
      </c>
      <c r="L332" s="82">
        <v>12700</v>
      </c>
      <c r="M332" s="35">
        <v>0.08</v>
      </c>
    </row>
    <row r="333" spans="1:13" x14ac:dyDescent="0.25">
      <c r="A333" s="91">
        <v>788</v>
      </c>
      <c r="B333" s="91">
        <v>480777</v>
      </c>
      <c r="C333" s="92" t="s">
        <v>1217</v>
      </c>
      <c r="D333" s="121" t="str">
        <f>CONCATENATE(UPPER(C333),$D$3)</f>
        <v>SPL TM-12 WHITE RO 2,00/25            M2 "E"</v>
      </c>
      <c r="E333" s="93" t="s">
        <v>1218</v>
      </c>
      <c r="F333" s="94"/>
      <c r="G333" s="95"/>
      <c r="H333" s="96">
        <v>50</v>
      </c>
      <c r="I333" s="97" t="s">
        <v>135</v>
      </c>
      <c r="J333" s="98">
        <v>50</v>
      </c>
      <c r="K333" s="99" t="s">
        <v>135</v>
      </c>
      <c r="L333" s="82">
        <v>4366150</v>
      </c>
      <c r="M333" s="100">
        <v>7.2499999999999995E-2</v>
      </c>
    </row>
    <row r="334" spans="1:13" x14ac:dyDescent="0.25">
      <c r="A334" s="26">
        <v>590</v>
      </c>
      <c r="B334" s="26">
        <v>481622</v>
      </c>
      <c r="C334" s="27" t="s">
        <v>998</v>
      </c>
      <c r="D334" s="27" t="str">
        <f t="shared" ref="D334:D352" si="19">UPPER(C334)</f>
        <v>SIKAFLOOR-2020 WHITE CO          PL 5GAL</v>
      </c>
      <c r="E334" s="28" t="s">
        <v>987</v>
      </c>
      <c r="F334" s="29"/>
      <c r="G334" s="30" t="s">
        <v>15</v>
      </c>
      <c r="H334" s="31">
        <v>5</v>
      </c>
      <c r="I334" s="32" t="s">
        <v>1443</v>
      </c>
      <c r="J334" s="33">
        <v>1</v>
      </c>
      <c r="K334" s="34" t="s">
        <v>8</v>
      </c>
      <c r="L334" s="82">
        <v>1058800</v>
      </c>
      <c r="M334" s="35">
        <v>8.199999999999999E-2</v>
      </c>
    </row>
    <row r="335" spans="1:13" x14ac:dyDescent="0.25">
      <c r="A335" s="26">
        <v>586</v>
      </c>
      <c r="B335" s="26">
        <v>481628</v>
      </c>
      <c r="C335" s="27" t="s">
        <v>994</v>
      </c>
      <c r="D335" s="27" t="str">
        <f t="shared" si="19"/>
        <v>SIKAFLOOR-2020 GREEN CO          PL 5GAL</v>
      </c>
      <c r="E335" s="28" t="s">
        <v>987</v>
      </c>
      <c r="F335" s="29"/>
      <c r="G335" s="30" t="s">
        <v>110</v>
      </c>
      <c r="H335" s="31">
        <v>5</v>
      </c>
      <c r="I335" s="32" t="s">
        <v>1443</v>
      </c>
      <c r="J335" s="33">
        <v>1</v>
      </c>
      <c r="K335" s="34" t="s">
        <v>8</v>
      </c>
      <c r="L335" s="82">
        <v>1058800</v>
      </c>
      <c r="M335" s="35">
        <v>8.199999999999999E-2</v>
      </c>
    </row>
    <row r="336" spans="1:13" x14ac:dyDescent="0.25">
      <c r="A336" s="26">
        <v>589</v>
      </c>
      <c r="B336" s="26">
        <v>481643</v>
      </c>
      <c r="C336" s="27" t="s">
        <v>997</v>
      </c>
      <c r="D336" s="27" t="str">
        <f t="shared" si="19"/>
        <v>SIKAFLOOR-2020 RED CO            PL 5GAL</v>
      </c>
      <c r="E336" s="28" t="s">
        <v>987</v>
      </c>
      <c r="F336" s="29"/>
      <c r="G336" s="30" t="s">
        <v>48</v>
      </c>
      <c r="H336" s="31">
        <v>5</v>
      </c>
      <c r="I336" s="32" t="s">
        <v>1443</v>
      </c>
      <c r="J336" s="33">
        <v>1</v>
      </c>
      <c r="K336" s="34" t="s">
        <v>8</v>
      </c>
      <c r="L336" s="82">
        <v>1058800</v>
      </c>
      <c r="M336" s="35">
        <v>8.199999999999999E-2</v>
      </c>
    </row>
    <row r="337" spans="1:13" x14ac:dyDescent="0.25">
      <c r="A337" s="26">
        <v>591</v>
      </c>
      <c r="B337" s="26">
        <v>481644</v>
      </c>
      <c r="C337" s="27" t="s">
        <v>999</v>
      </c>
      <c r="D337" s="27" t="str">
        <f t="shared" si="19"/>
        <v>SIKAFLOOR-2020 YELLOW CO         PL 5GAL</v>
      </c>
      <c r="E337" s="28" t="s">
        <v>987</v>
      </c>
      <c r="F337" s="29"/>
      <c r="G337" s="30" t="s">
        <v>71</v>
      </c>
      <c r="H337" s="31">
        <v>5</v>
      </c>
      <c r="I337" s="32" t="s">
        <v>1443</v>
      </c>
      <c r="J337" s="33">
        <v>1</v>
      </c>
      <c r="K337" s="34" t="s">
        <v>8</v>
      </c>
      <c r="L337" s="82">
        <v>1062200</v>
      </c>
      <c r="M337" s="35">
        <v>8.199999999999999E-2</v>
      </c>
    </row>
    <row r="338" spans="1:13" x14ac:dyDescent="0.25">
      <c r="A338" s="26">
        <v>584</v>
      </c>
      <c r="B338" s="26">
        <v>481645</v>
      </c>
      <c r="C338" s="27" t="s">
        <v>992</v>
      </c>
      <c r="D338" s="27" t="str">
        <f t="shared" si="19"/>
        <v>SIKAFLOOR-2020 BLUE CO           PL 5GAL</v>
      </c>
      <c r="E338" s="28" t="s">
        <v>987</v>
      </c>
      <c r="F338" s="29"/>
      <c r="G338" s="30" t="s">
        <v>111</v>
      </c>
      <c r="H338" s="31">
        <v>5</v>
      </c>
      <c r="I338" s="32" t="s">
        <v>1443</v>
      </c>
      <c r="J338" s="33">
        <v>1</v>
      </c>
      <c r="K338" s="34" t="s">
        <v>8</v>
      </c>
      <c r="L338" s="82">
        <v>1058800</v>
      </c>
      <c r="M338" s="35">
        <v>8.199999999999999E-2</v>
      </c>
    </row>
    <row r="339" spans="1:13" x14ac:dyDescent="0.25">
      <c r="A339" s="26">
        <v>582</v>
      </c>
      <c r="B339" s="26">
        <v>481646</v>
      </c>
      <c r="C339" s="27" t="s">
        <v>990</v>
      </c>
      <c r="D339" s="27" t="str">
        <f t="shared" si="19"/>
        <v>SIKAFLOOR-2020 WHITE CO          PL 1GAL</v>
      </c>
      <c r="E339" s="28" t="s">
        <v>987</v>
      </c>
      <c r="F339" s="29"/>
      <c r="G339" s="30" t="s">
        <v>15</v>
      </c>
      <c r="H339" s="31">
        <v>1</v>
      </c>
      <c r="I339" s="32" t="s">
        <v>1443</v>
      </c>
      <c r="J339" s="33">
        <v>1</v>
      </c>
      <c r="K339" s="34" t="s">
        <v>8</v>
      </c>
      <c r="L339" s="82">
        <v>224300</v>
      </c>
      <c r="M339" s="35">
        <v>8.199999999999999E-2</v>
      </c>
    </row>
    <row r="340" spans="1:13" x14ac:dyDescent="0.25">
      <c r="A340" s="26">
        <v>580</v>
      </c>
      <c r="B340" s="26">
        <v>481647</v>
      </c>
      <c r="C340" s="27" t="s">
        <v>988</v>
      </c>
      <c r="D340" s="27" t="str">
        <f t="shared" si="19"/>
        <v>SIKAFLOOR-2020 GREEN CO          PL 1GAL</v>
      </c>
      <c r="E340" s="28" t="s">
        <v>987</v>
      </c>
      <c r="F340" s="29"/>
      <c r="G340" s="30" t="s">
        <v>110</v>
      </c>
      <c r="H340" s="31">
        <v>1</v>
      </c>
      <c r="I340" s="32" t="s">
        <v>1443</v>
      </c>
      <c r="J340" s="33">
        <v>1</v>
      </c>
      <c r="K340" s="34" t="s">
        <v>8</v>
      </c>
      <c r="L340" s="82">
        <v>234650</v>
      </c>
      <c r="M340" s="35">
        <v>8.199999999999999E-2</v>
      </c>
    </row>
    <row r="341" spans="1:13" x14ac:dyDescent="0.25">
      <c r="A341" s="26">
        <v>581</v>
      </c>
      <c r="B341" s="26">
        <v>481648</v>
      </c>
      <c r="C341" s="27" t="s">
        <v>989</v>
      </c>
      <c r="D341" s="27" t="str">
        <f t="shared" si="19"/>
        <v>SIKAFLOOR-2020 RED CO            PL 1GAL</v>
      </c>
      <c r="E341" s="28" t="s">
        <v>987</v>
      </c>
      <c r="F341" s="29"/>
      <c r="G341" s="30" t="s">
        <v>48</v>
      </c>
      <c r="H341" s="31">
        <v>1</v>
      </c>
      <c r="I341" s="32" t="s">
        <v>1443</v>
      </c>
      <c r="J341" s="33">
        <v>1</v>
      </c>
      <c r="K341" s="34" t="s">
        <v>8</v>
      </c>
      <c r="L341" s="82">
        <v>224300</v>
      </c>
      <c r="M341" s="35">
        <v>8.199999999999999E-2</v>
      </c>
    </row>
    <row r="342" spans="1:13" x14ac:dyDescent="0.25">
      <c r="A342" s="26">
        <v>583</v>
      </c>
      <c r="B342" s="26">
        <v>481649</v>
      </c>
      <c r="C342" s="27" t="s">
        <v>991</v>
      </c>
      <c r="D342" s="27" t="str">
        <f t="shared" si="19"/>
        <v>SIKAFLOOR-2020 YELLOW CO         PL 1GAL</v>
      </c>
      <c r="E342" s="28" t="s">
        <v>987</v>
      </c>
      <c r="F342" s="29"/>
      <c r="G342" s="30" t="s">
        <v>71</v>
      </c>
      <c r="H342" s="31">
        <v>1</v>
      </c>
      <c r="I342" s="32" t="s">
        <v>1443</v>
      </c>
      <c r="J342" s="33">
        <v>1</v>
      </c>
      <c r="K342" s="34" t="s">
        <v>8</v>
      </c>
      <c r="L342" s="82">
        <v>224300</v>
      </c>
      <c r="M342" s="35">
        <v>8.199999999999999E-2</v>
      </c>
    </row>
    <row r="343" spans="1:13" x14ac:dyDescent="0.25">
      <c r="A343" s="26">
        <v>579</v>
      </c>
      <c r="B343" s="26">
        <v>481650</v>
      </c>
      <c r="C343" s="27" t="s">
        <v>986</v>
      </c>
      <c r="D343" s="27" t="str">
        <f t="shared" si="19"/>
        <v>SIKAFLOOR-2020 BLUE CO           PL 1GAL</v>
      </c>
      <c r="E343" s="28" t="s">
        <v>987</v>
      </c>
      <c r="F343" s="29"/>
      <c r="G343" s="30" t="s">
        <v>107</v>
      </c>
      <c r="H343" s="31">
        <v>1</v>
      </c>
      <c r="I343" s="32" t="s">
        <v>1443</v>
      </c>
      <c r="J343" s="33">
        <v>1</v>
      </c>
      <c r="K343" s="34" t="s">
        <v>8</v>
      </c>
      <c r="L343" s="82">
        <v>234650</v>
      </c>
      <c r="M343" s="35">
        <v>8.199999999999999E-2</v>
      </c>
    </row>
    <row r="344" spans="1:13" x14ac:dyDescent="0.25">
      <c r="A344" s="26">
        <v>593</v>
      </c>
      <c r="B344" s="26">
        <v>481652</v>
      </c>
      <c r="C344" s="27" t="s">
        <v>1002</v>
      </c>
      <c r="D344" s="27" t="str">
        <f t="shared" si="19"/>
        <v>SIKAFLOOR-2030 GREEN CO          PL 5GAL</v>
      </c>
      <c r="E344" s="28" t="s">
        <v>1001</v>
      </c>
      <c r="F344" s="29"/>
      <c r="G344" s="30" t="s">
        <v>110</v>
      </c>
      <c r="H344" s="31">
        <v>5</v>
      </c>
      <c r="I344" s="32" t="s">
        <v>1443</v>
      </c>
      <c r="J344" s="33">
        <v>1</v>
      </c>
      <c r="K344" s="34" t="s">
        <v>8</v>
      </c>
      <c r="L344" s="82">
        <v>903500</v>
      </c>
      <c r="M344" s="35">
        <v>8.199999999999999E-2</v>
      </c>
    </row>
    <row r="345" spans="1:13" x14ac:dyDescent="0.25">
      <c r="A345" s="26">
        <v>595</v>
      </c>
      <c r="B345" s="26">
        <v>481654</v>
      </c>
      <c r="C345" s="27" t="s">
        <v>1004</v>
      </c>
      <c r="D345" s="27" t="str">
        <f t="shared" si="19"/>
        <v>SIKAFLOOR-2030 RED CO            PL 5GAL</v>
      </c>
      <c r="E345" s="28" t="s">
        <v>1001</v>
      </c>
      <c r="F345" s="29"/>
      <c r="G345" s="30" t="s">
        <v>48</v>
      </c>
      <c r="H345" s="31">
        <v>5</v>
      </c>
      <c r="I345" s="32" t="s">
        <v>1443</v>
      </c>
      <c r="J345" s="33">
        <v>1</v>
      </c>
      <c r="K345" s="34" t="s">
        <v>8</v>
      </c>
      <c r="L345" s="82">
        <v>903500</v>
      </c>
      <c r="M345" s="35">
        <v>8.199999999999999E-2</v>
      </c>
    </row>
    <row r="346" spans="1:13" x14ac:dyDescent="0.25">
      <c r="A346" s="26">
        <v>592</v>
      </c>
      <c r="B346" s="26">
        <v>481656</v>
      </c>
      <c r="C346" s="27" t="s">
        <v>1000</v>
      </c>
      <c r="D346" s="27" t="str">
        <f t="shared" si="19"/>
        <v>SIKAFLOOR-2030 BLUE CO           PL 5GAL</v>
      </c>
      <c r="E346" s="28" t="s">
        <v>1001</v>
      </c>
      <c r="F346" s="29"/>
      <c r="G346" s="30" t="s">
        <v>107</v>
      </c>
      <c r="H346" s="31">
        <v>5</v>
      </c>
      <c r="I346" s="32" t="s">
        <v>1443</v>
      </c>
      <c r="J346" s="33">
        <v>1</v>
      </c>
      <c r="K346" s="34" t="s">
        <v>8</v>
      </c>
      <c r="L346" s="82">
        <v>903500</v>
      </c>
      <c r="M346" s="35">
        <v>8.199999999999999E-2</v>
      </c>
    </row>
    <row r="347" spans="1:13" x14ac:dyDescent="0.25">
      <c r="A347" s="26">
        <v>557</v>
      </c>
      <c r="B347" s="26">
        <v>481662</v>
      </c>
      <c r="C347" s="27" t="s">
        <v>962</v>
      </c>
      <c r="D347" s="27" t="str">
        <f t="shared" si="19"/>
        <v>SIKAFLOOR-154W (AB) GREY CO      24,73KG</v>
      </c>
      <c r="E347" s="28" t="s">
        <v>963</v>
      </c>
      <c r="F347" s="29"/>
      <c r="G347" s="30" t="s">
        <v>14</v>
      </c>
      <c r="H347" s="31">
        <v>5</v>
      </c>
      <c r="I347" s="32" t="s">
        <v>50</v>
      </c>
      <c r="J347" s="33">
        <v>1</v>
      </c>
      <c r="K347" s="34" t="s">
        <v>8</v>
      </c>
      <c r="L347" s="82">
        <v>1286850</v>
      </c>
      <c r="M347" s="35">
        <v>8.199999999999999E-2</v>
      </c>
    </row>
    <row r="348" spans="1:13" x14ac:dyDescent="0.25">
      <c r="A348" s="26">
        <v>309</v>
      </c>
      <c r="B348" s="26">
        <v>491656</v>
      </c>
      <c r="C348" s="27" t="s">
        <v>629</v>
      </c>
      <c r="D348" s="27" t="str">
        <f t="shared" si="19"/>
        <v>SIKASET NC               COL   TANKER KG</v>
      </c>
      <c r="E348" s="28" t="s">
        <v>630</v>
      </c>
      <c r="F348" s="29"/>
      <c r="G348" s="30"/>
      <c r="H348" s="31">
        <v>1</v>
      </c>
      <c r="I348" s="32" t="s">
        <v>50</v>
      </c>
      <c r="J348" s="33">
        <v>1</v>
      </c>
      <c r="K348" s="34" t="s">
        <v>8</v>
      </c>
      <c r="L348" s="82">
        <v>18550</v>
      </c>
      <c r="M348" s="35">
        <v>6.9999999999999993E-2</v>
      </c>
    </row>
    <row r="349" spans="1:13" x14ac:dyDescent="0.25">
      <c r="A349" s="26">
        <v>238</v>
      </c>
      <c r="B349" s="26">
        <v>491657</v>
      </c>
      <c r="C349" s="27" t="s">
        <v>515</v>
      </c>
      <c r="D349" s="27" t="str">
        <f t="shared" si="19"/>
        <v>SIKA WT-100 CO                 TANKER KG</v>
      </c>
      <c r="E349" s="28" t="s">
        <v>516</v>
      </c>
      <c r="F349" s="29"/>
      <c r="G349" s="30"/>
      <c r="H349" s="31">
        <v>1</v>
      </c>
      <c r="I349" s="32" t="s">
        <v>50</v>
      </c>
      <c r="J349" s="33">
        <v>1</v>
      </c>
      <c r="K349" s="34" t="s">
        <v>8</v>
      </c>
      <c r="L349" s="82">
        <v>11000</v>
      </c>
      <c r="M349" s="35">
        <v>0.08</v>
      </c>
    </row>
    <row r="350" spans="1:13" x14ac:dyDescent="0.25">
      <c r="A350" s="26">
        <v>239</v>
      </c>
      <c r="B350" s="26">
        <v>491658</v>
      </c>
      <c r="C350" s="27" t="s">
        <v>517</v>
      </c>
      <c r="D350" s="27" t="str">
        <f t="shared" si="19"/>
        <v>SIKA WT-100 CO                  DR 220KG</v>
      </c>
      <c r="E350" s="28" t="s">
        <v>516</v>
      </c>
      <c r="F350" s="29"/>
      <c r="G350" s="30"/>
      <c r="H350" s="31">
        <v>220</v>
      </c>
      <c r="I350" s="32" t="s">
        <v>50</v>
      </c>
      <c r="J350" s="33">
        <v>1</v>
      </c>
      <c r="K350" s="34" t="s">
        <v>8</v>
      </c>
      <c r="L350" s="82">
        <v>2831950</v>
      </c>
      <c r="M350" s="35">
        <v>0.08</v>
      </c>
    </row>
    <row r="351" spans="1:13" x14ac:dyDescent="0.25">
      <c r="A351" s="26">
        <v>186</v>
      </c>
      <c r="B351" s="26">
        <v>491659</v>
      </c>
      <c r="C351" s="27" t="s">
        <v>439</v>
      </c>
      <c r="D351" s="27" t="str">
        <f t="shared" si="19"/>
        <v>SIKASEPAROL N             COL   TB 200KG</v>
      </c>
      <c r="E351" s="28" t="s">
        <v>438</v>
      </c>
      <c r="F351" s="29"/>
      <c r="G351" s="30"/>
      <c r="H351" s="31">
        <v>200</v>
      </c>
      <c r="I351" s="32" t="s">
        <v>50</v>
      </c>
      <c r="J351" s="33">
        <v>1</v>
      </c>
      <c r="K351" s="34" t="s">
        <v>8</v>
      </c>
      <c r="L351" s="82">
        <v>3269600</v>
      </c>
      <c r="M351" s="35">
        <v>9.9999999999999992E-2</v>
      </c>
    </row>
    <row r="352" spans="1:13" x14ac:dyDescent="0.25">
      <c r="A352" s="26">
        <v>19</v>
      </c>
      <c r="B352" s="26">
        <v>491672</v>
      </c>
      <c r="C352" s="27" t="s">
        <v>208</v>
      </c>
      <c r="D352" s="27" t="str">
        <f t="shared" si="19"/>
        <v>SIKA IMPERMUR CO                DR 200KG</v>
      </c>
      <c r="E352" s="28" t="s">
        <v>205</v>
      </c>
      <c r="F352" s="29"/>
      <c r="G352" s="30"/>
      <c r="H352" s="31">
        <v>200</v>
      </c>
      <c r="I352" s="32" t="s">
        <v>50</v>
      </c>
      <c r="J352" s="33">
        <v>1</v>
      </c>
      <c r="K352" s="34" t="s">
        <v>8</v>
      </c>
      <c r="L352" s="82">
        <v>6948900</v>
      </c>
      <c r="M352" s="35">
        <v>8.4000000000000005E-2</v>
      </c>
    </row>
    <row r="353" spans="1:13" x14ac:dyDescent="0.25">
      <c r="A353" s="91">
        <v>443</v>
      </c>
      <c r="B353" s="91">
        <v>492294</v>
      </c>
      <c r="C353" s="92" t="s">
        <v>813</v>
      </c>
      <c r="D353" s="121" t="str">
        <f>CONCATENATE(UPPER(C353),$D$3)</f>
        <v>CATALIZADOR SERIE 500-HT (B) CO  /4X1GAL "E"</v>
      </c>
      <c r="E353" s="93" t="s">
        <v>814</v>
      </c>
      <c r="F353" s="94"/>
      <c r="G353" s="95"/>
      <c r="H353" s="96">
        <v>1</v>
      </c>
      <c r="I353" s="97" t="s">
        <v>1443</v>
      </c>
      <c r="J353" s="98">
        <v>4</v>
      </c>
      <c r="K353" s="99" t="s">
        <v>8</v>
      </c>
      <c r="L353" s="82">
        <v>647650</v>
      </c>
      <c r="M353" s="100">
        <v>9.286585678852799E-2</v>
      </c>
    </row>
    <row r="354" spans="1:13" x14ac:dyDescent="0.25">
      <c r="A354" s="91">
        <v>537</v>
      </c>
      <c r="B354" s="91">
        <v>492299</v>
      </c>
      <c r="C354" s="92" t="s">
        <v>934</v>
      </c>
      <c r="D354" s="121" t="str">
        <f>CONCATENATE(UPPER(C354),$D$3)</f>
        <v>SIKAPERMACOR SERIE-82 HS (A)WHIT.PL 3GAL "E"</v>
      </c>
      <c r="E354" s="93" t="s">
        <v>932</v>
      </c>
      <c r="F354" s="94"/>
      <c r="G354" s="95" t="s">
        <v>15</v>
      </c>
      <c r="H354" s="96">
        <v>3</v>
      </c>
      <c r="I354" s="97" t="s">
        <v>1443</v>
      </c>
      <c r="J354" s="98">
        <v>1</v>
      </c>
      <c r="K354" s="99" t="s">
        <v>8</v>
      </c>
      <c r="L354" s="82">
        <v>703900</v>
      </c>
      <c r="M354" s="100">
        <v>3.4999999999999996E-2</v>
      </c>
    </row>
    <row r="355" spans="1:13" x14ac:dyDescent="0.25">
      <c r="A355" s="91">
        <v>444</v>
      </c>
      <c r="B355" s="91">
        <v>492320</v>
      </c>
      <c r="C355" s="92" t="s">
        <v>815</v>
      </c>
      <c r="D355" s="121" t="str">
        <f>CONCATENATE(UPPER(C355),$D$3)</f>
        <v>CATALIZADOR SERIE 82-HS (B) CO   /4X1GAL "E"</v>
      </c>
      <c r="E355" s="93" t="s">
        <v>816</v>
      </c>
      <c r="F355" s="94"/>
      <c r="G355" s="95"/>
      <c r="H355" s="96">
        <v>1</v>
      </c>
      <c r="I355" s="97" t="s">
        <v>1443</v>
      </c>
      <c r="J355" s="98">
        <v>4</v>
      </c>
      <c r="K355" s="99" t="s">
        <v>8</v>
      </c>
      <c r="L355" s="82">
        <v>511600</v>
      </c>
      <c r="M355" s="100">
        <v>9.286585678852799E-2</v>
      </c>
    </row>
    <row r="356" spans="1:13" x14ac:dyDescent="0.25">
      <c r="A356" s="91">
        <v>533</v>
      </c>
      <c r="B356" s="91">
        <v>492328</v>
      </c>
      <c r="C356" s="92" t="s">
        <v>927</v>
      </c>
      <c r="D356" s="121" t="str">
        <f>CONCATENATE(UPPER(C356),$D$3)</f>
        <v>SIKAPERMACOR HI-BUILD-120CO(A)CO PL 3GAL "E"</v>
      </c>
      <c r="E356" s="93" t="s">
        <v>928</v>
      </c>
      <c r="F356" s="94"/>
      <c r="G356" s="95"/>
      <c r="H356" s="96">
        <v>3</v>
      </c>
      <c r="I356" s="97" t="s">
        <v>1443</v>
      </c>
      <c r="J356" s="98">
        <v>1</v>
      </c>
      <c r="K356" s="99" t="s">
        <v>8</v>
      </c>
      <c r="L356" s="82">
        <v>1038900</v>
      </c>
      <c r="M356" s="100">
        <v>0.1</v>
      </c>
    </row>
    <row r="357" spans="1:13" x14ac:dyDescent="0.25">
      <c r="A357" s="91">
        <v>442</v>
      </c>
      <c r="B357" s="91">
        <v>492329</v>
      </c>
      <c r="C357" s="92" t="s">
        <v>811</v>
      </c>
      <c r="D357" s="121" t="str">
        <f>CONCATENATE(UPPER(C357),$D$3)</f>
        <v>CATALIZADOR HB-120CO(B) CO       /4X1GAL "E"</v>
      </c>
      <c r="E357" s="93" t="s">
        <v>812</v>
      </c>
      <c r="F357" s="94"/>
      <c r="G357" s="95"/>
      <c r="H357" s="96">
        <v>1</v>
      </c>
      <c r="I357" s="97" t="s">
        <v>1443</v>
      </c>
      <c r="J357" s="98">
        <v>4</v>
      </c>
      <c r="K357" s="99" t="s">
        <v>8</v>
      </c>
      <c r="L357" s="82">
        <v>483950</v>
      </c>
      <c r="M357" s="100">
        <v>0.1</v>
      </c>
    </row>
    <row r="358" spans="1:13" x14ac:dyDescent="0.25">
      <c r="A358" s="26">
        <v>67</v>
      </c>
      <c r="B358" s="26">
        <v>492980</v>
      </c>
      <c r="C358" s="27" t="s">
        <v>273</v>
      </c>
      <c r="D358" s="27" t="str">
        <f>UPPER(C358)</f>
        <v>SIKACERAM-230 BA BIG FORM. WHITE BG 25KG</v>
      </c>
      <c r="E358" s="28" t="s">
        <v>272</v>
      </c>
      <c r="F358" s="29"/>
      <c r="G358" s="30" t="s">
        <v>15</v>
      </c>
      <c r="H358" s="31">
        <v>25</v>
      </c>
      <c r="I358" s="32" t="s">
        <v>50</v>
      </c>
      <c r="J358" s="33">
        <v>1</v>
      </c>
      <c r="K358" s="34" t="s">
        <v>8</v>
      </c>
      <c r="L358" s="82">
        <v>122200</v>
      </c>
      <c r="M358" s="35">
        <v>9.4E-2</v>
      </c>
    </row>
    <row r="359" spans="1:13" x14ac:dyDescent="0.25">
      <c r="A359" s="26">
        <v>68</v>
      </c>
      <c r="B359" s="26">
        <v>492981</v>
      </c>
      <c r="C359" s="27" t="s">
        <v>274</v>
      </c>
      <c r="D359" s="27" t="str">
        <f>UPPER(C359)</f>
        <v>SIKACERAM-230 BA BIG FORM. GREY  BG 50KG</v>
      </c>
      <c r="E359" s="28" t="s">
        <v>272</v>
      </c>
      <c r="F359" s="29"/>
      <c r="G359" s="30" t="s">
        <v>14</v>
      </c>
      <c r="H359" s="31">
        <v>50</v>
      </c>
      <c r="I359" s="32" t="s">
        <v>50</v>
      </c>
      <c r="J359" s="33">
        <v>1</v>
      </c>
      <c r="K359" s="34" t="s">
        <v>8</v>
      </c>
      <c r="L359" s="82">
        <v>171350</v>
      </c>
      <c r="M359" s="35">
        <v>9.4E-2</v>
      </c>
    </row>
    <row r="360" spans="1:13" x14ac:dyDescent="0.25">
      <c r="A360" s="26">
        <v>69</v>
      </c>
      <c r="B360" s="26">
        <v>492982</v>
      </c>
      <c r="C360" s="27" t="s">
        <v>275</v>
      </c>
      <c r="D360" s="27" t="str">
        <f>UPPER(C360)</f>
        <v>SIKACERAM-230 BA BIG FORM. WHITE BG 50KG</v>
      </c>
      <c r="E360" s="28" t="s">
        <v>272</v>
      </c>
      <c r="F360" s="29"/>
      <c r="G360" s="30" t="s">
        <v>15</v>
      </c>
      <c r="H360" s="31">
        <v>50</v>
      </c>
      <c r="I360" s="32" t="s">
        <v>50</v>
      </c>
      <c r="J360" s="33">
        <v>1</v>
      </c>
      <c r="K360" s="34" t="s">
        <v>8</v>
      </c>
      <c r="L360" s="82">
        <v>226800</v>
      </c>
      <c r="M360" s="35">
        <v>9.4E-2</v>
      </c>
    </row>
    <row r="361" spans="1:13" x14ac:dyDescent="0.25">
      <c r="A361" s="26">
        <v>5</v>
      </c>
      <c r="B361" s="26">
        <v>493925</v>
      </c>
      <c r="C361" s="27" t="s">
        <v>190</v>
      </c>
      <c r="D361" s="27" t="str">
        <f>UPPER(C361)</f>
        <v>ESTUKA PANETE CO                 BG 25KG</v>
      </c>
      <c r="E361" s="28" t="s">
        <v>191</v>
      </c>
      <c r="F361" s="29"/>
      <c r="G361" s="30"/>
      <c r="H361" s="31">
        <v>25</v>
      </c>
      <c r="I361" s="32" t="s">
        <v>50</v>
      </c>
      <c r="J361" s="33">
        <v>1</v>
      </c>
      <c r="K361" s="34" t="s">
        <v>8</v>
      </c>
      <c r="L361" s="82">
        <v>62000</v>
      </c>
      <c r="M361" s="35">
        <v>9.4E-2</v>
      </c>
    </row>
    <row r="362" spans="1:13" x14ac:dyDescent="0.25">
      <c r="A362" s="91">
        <v>436</v>
      </c>
      <c r="B362" s="91">
        <v>494026</v>
      </c>
      <c r="C362" s="92" t="s">
        <v>804</v>
      </c>
      <c r="D362" s="121" t="str">
        <f>CONCATENATE(UPPER(C362),$D$3)</f>
        <v>BARNIZ QDS GREY CO               PL 5GAL "E"</v>
      </c>
      <c r="E362" s="93" t="s">
        <v>803</v>
      </c>
      <c r="F362" s="94"/>
      <c r="G362" s="95" t="s">
        <v>14</v>
      </c>
      <c r="H362" s="96">
        <v>5</v>
      </c>
      <c r="I362" s="97" t="s">
        <v>1443</v>
      </c>
      <c r="J362" s="98">
        <v>1</v>
      </c>
      <c r="K362" s="99" t="s">
        <v>8</v>
      </c>
      <c r="L362" s="82">
        <v>762450</v>
      </c>
      <c r="M362" s="100">
        <v>9.286585678852799E-2</v>
      </c>
    </row>
    <row r="363" spans="1:13" x14ac:dyDescent="0.25">
      <c r="A363" s="91">
        <v>437</v>
      </c>
      <c r="B363" s="91">
        <v>494028</v>
      </c>
      <c r="C363" s="92" t="s">
        <v>805</v>
      </c>
      <c r="D363" s="121" t="str">
        <f>CONCATENATE(UPPER(C363),$D$3)</f>
        <v>BARNIZ QDS WHITE CO              PL 5GAL "E"</v>
      </c>
      <c r="E363" s="93" t="s">
        <v>803</v>
      </c>
      <c r="F363" s="94"/>
      <c r="G363" s="95" t="s">
        <v>15</v>
      </c>
      <c r="H363" s="96">
        <v>5</v>
      </c>
      <c r="I363" s="97" t="s">
        <v>1443</v>
      </c>
      <c r="J363" s="98">
        <v>1</v>
      </c>
      <c r="K363" s="99" t="s">
        <v>8</v>
      </c>
      <c r="L363" s="82">
        <v>888050</v>
      </c>
      <c r="M363" s="100">
        <v>9.286585678852799E-2</v>
      </c>
    </row>
    <row r="364" spans="1:13" x14ac:dyDescent="0.25">
      <c r="A364" s="91">
        <v>435</v>
      </c>
      <c r="B364" s="91">
        <v>494036</v>
      </c>
      <c r="C364" s="92" t="s">
        <v>802</v>
      </c>
      <c r="D364" s="121" t="str">
        <f>CONCATENATE(UPPER(C364),$D$3)</f>
        <v>BARNIZ QDS BLACK CO              PL 5GAL "E"</v>
      </c>
      <c r="E364" s="93" t="s">
        <v>803</v>
      </c>
      <c r="F364" s="94"/>
      <c r="G364" s="95" t="s">
        <v>31</v>
      </c>
      <c r="H364" s="96">
        <v>5</v>
      </c>
      <c r="I364" s="97" t="s">
        <v>1443</v>
      </c>
      <c r="J364" s="98">
        <v>1</v>
      </c>
      <c r="K364" s="99" t="s">
        <v>8</v>
      </c>
      <c r="L364" s="82">
        <v>786050</v>
      </c>
      <c r="M364" s="100">
        <v>9.286585678852799E-2</v>
      </c>
    </row>
    <row r="365" spans="1:13" x14ac:dyDescent="0.25">
      <c r="A365" s="91">
        <v>329</v>
      </c>
      <c r="B365" s="91">
        <v>494055</v>
      </c>
      <c r="C365" s="92" t="s">
        <v>658</v>
      </c>
      <c r="D365" s="121" t="str">
        <f>CONCATENATE(UPPER(C365),$D$3)</f>
        <v>EPOXIFENOLICO NOV.S.400NF(A)GR.KA 2,7GAL "E"</v>
      </c>
      <c r="E365" s="93" t="s">
        <v>659</v>
      </c>
      <c r="F365" s="94"/>
      <c r="G365" s="95" t="s">
        <v>14</v>
      </c>
      <c r="H365" s="96">
        <v>2.7</v>
      </c>
      <c r="I365" s="97" t="s">
        <v>1443</v>
      </c>
      <c r="J365" s="98">
        <v>1</v>
      </c>
      <c r="K365" s="99" t="s">
        <v>8</v>
      </c>
      <c r="L365" s="82">
        <v>1244300</v>
      </c>
      <c r="M365" s="100">
        <v>9.286585678852799E-2</v>
      </c>
    </row>
    <row r="366" spans="1:13" x14ac:dyDescent="0.25">
      <c r="A366" s="26">
        <v>655</v>
      </c>
      <c r="B366" s="26">
        <v>494516</v>
      </c>
      <c r="C366" s="27" t="s">
        <v>1057</v>
      </c>
      <c r="D366" s="27" t="str">
        <f t="shared" ref="D366:D371" si="20">UPPER(C366)</f>
        <v>SIKAGARD-206W CO WHITE           PL 5GAL</v>
      </c>
      <c r="E366" s="28" t="s">
        <v>1056</v>
      </c>
      <c r="F366" s="29"/>
      <c r="G366" s="30" t="s">
        <v>123</v>
      </c>
      <c r="H366" s="31">
        <v>5</v>
      </c>
      <c r="I366" s="32" t="s">
        <v>1443</v>
      </c>
      <c r="J366" s="33">
        <v>1</v>
      </c>
      <c r="K366" s="34" t="s">
        <v>8</v>
      </c>
      <c r="L366" s="82">
        <v>858850</v>
      </c>
      <c r="M366" s="35">
        <v>6.7000000000000004E-2</v>
      </c>
    </row>
    <row r="367" spans="1:13" x14ac:dyDescent="0.25">
      <c r="A367" s="26">
        <v>654</v>
      </c>
      <c r="B367" s="26">
        <v>494521</v>
      </c>
      <c r="C367" s="27" t="s">
        <v>1055</v>
      </c>
      <c r="D367" s="27" t="str">
        <f t="shared" si="20"/>
        <v>SIKAGARD-206W CO WHITE           /4X1GAL</v>
      </c>
      <c r="E367" s="28" t="s">
        <v>1056</v>
      </c>
      <c r="F367" s="29"/>
      <c r="G367" s="30" t="s">
        <v>123</v>
      </c>
      <c r="H367" s="31">
        <v>1</v>
      </c>
      <c r="I367" s="32" t="s">
        <v>1443</v>
      </c>
      <c r="J367" s="33">
        <v>4</v>
      </c>
      <c r="K367" s="34" t="s">
        <v>8</v>
      </c>
      <c r="L367" s="82">
        <v>204450</v>
      </c>
      <c r="M367" s="35">
        <v>8.199999999999999E-2</v>
      </c>
    </row>
    <row r="368" spans="1:13" x14ac:dyDescent="0.25">
      <c r="A368" s="26">
        <v>657</v>
      </c>
      <c r="B368" s="26">
        <v>494535</v>
      </c>
      <c r="C368" s="27" t="s">
        <v>1060</v>
      </c>
      <c r="D368" s="27" t="str">
        <f t="shared" si="20"/>
        <v>SIKAGARD-317W CO WHITE           PL 5GAL</v>
      </c>
      <c r="E368" s="28" t="s">
        <v>1059</v>
      </c>
      <c r="F368" s="29"/>
      <c r="G368" s="30" t="s">
        <v>125</v>
      </c>
      <c r="H368" s="31">
        <v>5</v>
      </c>
      <c r="I368" s="32" t="s">
        <v>1443</v>
      </c>
      <c r="J368" s="33">
        <v>1</v>
      </c>
      <c r="K368" s="34" t="s">
        <v>8</v>
      </c>
      <c r="L368" s="82">
        <v>1246900</v>
      </c>
      <c r="M368" s="35">
        <v>6.7000000000000004E-2</v>
      </c>
    </row>
    <row r="369" spans="1:13" x14ac:dyDescent="0.25">
      <c r="A369" s="26">
        <v>656</v>
      </c>
      <c r="B369" s="26">
        <v>494536</v>
      </c>
      <c r="C369" s="27" t="s">
        <v>1058</v>
      </c>
      <c r="D369" s="27" t="str">
        <f t="shared" si="20"/>
        <v>SIKAGARD-317W CO WHITE           PL 1GAL</v>
      </c>
      <c r="E369" s="28" t="s">
        <v>1059</v>
      </c>
      <c r="F369" s="29"/>
      <c r="G369" s="30" t="s">
        <v>124</v>
      </c>
      <c r="H369" s="31">
        <v>1</v>
      </c>
      <c r="I369" s="32" t="s">
        <v>1443</v>
      </c>
      <c r="J369" s="33">
        <v>4</v>
      </c>
      <c r="K369" s="34" t="s">
        <v>8</v>
      </c>
      <c r="L369" s="82">
        <v>267300</v>
      </c>
      <c r="M369" s="35">
        <v>6.7000000000000004E-2</v>
      </c>
    </row>
    <row r="370" spans="1:13" x14ac:dyDescent="0.25">
      <c r="A370" s="26">
        <v>141</v>
      </c>
      <c r="B370" s="26">
        <v>494660</v>
      </c>
      <c r="C370" s="27" t="s">
        <v>372</v>
      </c>
      <c r="D370" s="27" t="str">
        <f t="shared" si="20"/>
        <v>SIKA ANTISOL WHITE PIGMENTED     PL 20KG</v>
      </c>
      <c r="E370" s="28" t="s">
        <v>373</v>
      </c>
      <c r="F370" s="29"/>
      <c r="G370" s="30" t="s">
        <v>49</v>
      </c>
      <c r="H370" s="31">
        <v>20</v>
      </c>
      <c r="I370" s="32" t="s">
        <v>50</v>
      </c>
      <c r="J370" s="33">
        <v>1</v>
      </c>
      <c r="K370" s="34" t="s">
        <v>8</v>
      </c>
      <c r="L370" s="82">
        <v>399800</v>
      </c>
      <c r="M370" s="35">
        <v>6.9999999999999993E-2</v>
      </c>
    </row>
    <row r="371" spans="1:13" x14ac:dyDescent="0.25">
      <c r="A371" s="26">
        <v>142</v>
      </c>
      <c r="B371" s="26">
        <v>494661</v>
      </c>
      <c r="C371" s="27" t="s">
        <v>374</v>
      </c>
      <c r="D371" s="27" t="str">
        <f t="shared" si="20"/>
        <v>SIKA ANTISOL WHITE PIGMENTED    DR 200KG</v>
      </c>
      <c r="E371" s="28" t="s">
        <v>373</v>
      </c>
      <c r="F371" s="29"/>
      <c r="G371" s="30" t="s">
        <v>49</v>
      </c>
      <c r="H371" s="31">
        <v>200</v>
      </c>
      <c r="I371" s="32" t="s">
        <v>50</v>
      </c>
      <c r="J371" s="33">
        <v>1</v>
      </c>
      <c r="K371" s="34" t="s">
        <v>8</v>
      </c>
      <c r="L371" s="82">
        <v>3332800</v>
      </c>
      <c r="M371" s="35">
        <v>6.9999999999999993E-2</v>
      </c>
    </row>
    <row r="372" spans="1:13" x14ac:dyDescent="0.25">
      <c r="A372" s="91">
        <v>487</v>
      </c>
      <c r="B372" s="91">
        <v>494682</v>
      </c>
      <c r="C372" s="92" t="s">
        <v>868</v>
      </c>
      <c r="D372" s="121" t="str">
        <f t="shared" ref="D372:D386" si="21">CONCATENATE(UPPER(C372),$D$3)</f>
        <v>ESMALTE URETANO (A) RAL7001 CO   PL 4GAL "E"</v>
      </c>
      <c r="E372" s="93" t="s">
        <v>848</v>
      </c>
      <c r="F372" s="94"/>
      <c r="G372" s="95" t="s">
        <v>14</v>
      </c>
      <c r="H372" s="96">
        <v>4</v>
      </c>
      <c r="I372" s="97" t="s">
        <v>1443</v>
      </c>
      <c r="J372" s="98">
        <v>1</v>
      </c>
      <c r="K372" s="99" t="s">
        <v>8</v>
      </c>
      <c r="L372" s="82">
        <v>1428900</v>
      </c>
      <c r="M372" s="100">
        <v>6.6000000000000003E-2</v>
      </c>
    </row>
    <row r="373" spans="1:13" x14ac:dyDescent="0.25">
      <c r="A373" s="91">
        <v>498</v>
      </c>
      <c r="B373" s="91">
        <v>494687</v>
      </c>
      <c r="C373" s="92" t="s">
        <v>879</v>
      </c>
      <c r="D373" s="121" t="str">
        <f t="shared" si="21"/>
        <v>ESMALTE URETANO (A) RAL9003 CO   PL 4GAL "E"</v>
      </c>
      <c r="E373" s="93" t="s">
        <v>848</v>
      </c>
      <c r="F373" s="94"/>
      <c r="G373" s="95" t="s">
        <v>99</v>
      </c>
      <c r="H373" s="96">
        <v>4</v>
      </c>
      <c r="I373" s="97" t="s">
        <v>1443</v>
      </c>
      <c r="J373" s="98">
        <v>1</v>
      </c>
      <c r="K373" s="99" t="s">
        <v>8</v>
      </c>
      <c r="L373" s="82">
        <v>1307100</v>
      </c>
      <c r="M373" s="100">
        <v>6.6000000000000003E-2</v>
      </c>
    </row>
    <row r="374" spans="1:13" x14ac:dyDescent="0.25">
      <c r="A374" s="91">
        <v>478</v>
      </c>
      <c r="B374" s="91">
        <v>494688</v>
      </c>
      <c r="C374" s="92" t="s">
        <v>859</v>
      </c>
      <c r="D374" s="121" t="str">
        <f t="shared" si="21"/>
        <v>ESMALTE URETANO (A) RAL5010 CO   PL 4GAL "E"</v>
      </c>
      <c r="E374" s="93" t="s">
        <v>848</v>
      </c>
      <c r="F374" s="94"/>
      <c r="G374" s="95" t="s">
        <v>82</v>
      </c>
      <c r="H374" s="96">
        <v>4</v>
      </c>
      <c r="I374" s="97" t="s">
        <v>1443</v>
      </c>
      <c r="J374" s="98">
        <v>1</v>
      </c>
      <c r="K374" s="99" t="s">
        <v>8</v>
      </c>
      <c r="L374" s="82">
        <v>1515100</v>
      </c>
      <c r="M374" s="100">
        <v>6.6000000000000003E-2</v>
      </c>
    </row>
    <row r="375" spans="1:13" x14ac:dyDescent="0.25">
      <c r="A375" s="91">
        <v>499</v>
      </c>
      <c r="B375" s="91">
        <v>494691</v>
      </c>
      <c r="C375" s="92" t="s">
        <v>880</v>
      </c>
      <c r="D375" s="121" t="str">
        <f t="shared" si="21"/>
        <v>ESMALTE URETANO (A) RAL9004 CO   PL 4GAL "E"</v>
      </c>
      <c r="E375" s="93" t="s">
        <v>848</v>
      </c>
      <c r="F375" s="94"/>
      <c r="G375" s="95" t="s">
        <v>100</v>
      </c>
      <c r="H375" s="96">
        <v>4</v>
      </c>
      <c r="I375" s="97" t="s">
        <v>1443</v>
      </c>
      <c r="J375" s="98">
        <v>1</v>
      </c>
      <c r="K375" s="99" t="s">
        <v>8</v>
      </c>
      <c r="L375" s="82">
        <v>1395700</v>
      </c>
      <c r="M375" s="100">
        <v>6.6000000000000003E-2</v>
      </c>
    </row>
    <row r="376" spans="1:13" x14ac:dyDescent="0.25">
      <c r="A376" s="91">
        <v>501</v>
      </c>
      <c r="B376" s="91">
        <v>494716</v>
      </c>
      <c r="C376" s="92" t="s">
        <v>882</v>
      </c>
      <c r="D376" s="121" t="str">
        <f t="shared" si="21"/>
        <v>ESMALTE URETANO (A) RAL9010 CO   PL 4GAL "E"</v>
      </c>
      <c r="E376" s="93" t="s">
        <v>848</v>
      </c>
      <c r="F376" s="94"/>
      <c r="G376" s="95" t="s">
        <v>101</v>
      </c>
      <c r="H376" s="96">
        <v>4</v>
      </c>
      <c r="I376" s="97" t="s">
        <v>1443</v>
      </c>
      <c r="J376" s="98">
        <v>1</v>
      </c>
      <c r="K376" s="99" t="s">
        <v>8</v>
      </c>
      <c r="L376" s="82">
        <v>1448600</v>
      </c>
      <c r="M376" s="100">
        <v>6.6000000000000003E-2</v>
      </c>
    </row>
    <row r="377" spans="1:13" x14ac:dyDescent="0.25">
      <c r="A377" s="91">
        <v>493</v>
      </c>
      <c r="B377" s="91">
        <v>494735</v>
      </c>
      <c r="C377" s="92" t="s">
        <v>874</v>
      </c>
      <c r="D377" s="121" t="str">
        <f t="shared" si="21"/>
        <v>ESMALTE URETANO (A) RAL7040 CO   PL 4GAL "E"</v>
      </c>
      <c r="E377" s="93" t="s">
        <v>848</v>
      </c>
      <c r="F377" s="94"/>
      <c r="G377" s="95" t="s">
        <v>94</v>
      </c>
      <c r="H377" s="96">
        <v>4</v>
      </c>
      <c r="I377" s="97" t="s">
        <v>1443</v>
      </c>
      <c r="J377" s="98">
        <v>1</v>
      </c>
      <c r="K377" s="99" t="s">
        <v>8</v>
      </c>
      <c r="L377" s="82">
        <v>1446150</v>
      </c>
      <c r="M377" s="100">
        <v>6.6000000000000003E-2</v>
      </c>
    </row>
    <row r="378" spans="1:13" x14ac:dyDescent="0.25">
      <c r="A378" s="91">
        <v>475</v>
      </c>
      <c r="B378" s="91">
        <v>494738</v>
      </c>
      <c r="C378" s="92" t="s">
        <v>856</v>
      </c>
      <c r="D378" s="121" t="str">
        <f t="shared" si="21"/>
        <v>ESMALTE URETANO (A) RAL2010 CO   PL 4GAL "E"</v>
      </c>
      <c r="E378" s="93" t="s">
        <v>848</v>
      </c>
      <c r="F378" s="94"/>
      <c r="G378" s="95" t="s">
        <v>79</v>
      </c>
      <c r="H378" s="96">
        <v>4</v>
      </c>
      <c r="I378" s="97" t="s">
        <v>1443</v>
      </c>
      <c r="J378" s="98">
        <v>1</v>
      </c>
      <c r="K378" s="99" t="s">
        <v>8</v>
      </c>
      <c r="L378" s="82">
        <v>1590100</v>
      </c>
      <c r="M378" s="100">
        <v>6.6000000000000003E-2</v>
      </c>
    </row>
    <row r="379" spans="1:13" x14ac:dyDescent="0.25">
      <c r="A379" s="91">
        <v>473</v>
      </c>
      <c r="B379" s="91">
        <v>494783</v>
      </c>
      <c r="C379" s="92" t="s">
        <v>854</v>
      </c>
      <c r="D379" s="121" t="str">
        <f t="shared" si="21"/>
        <v>ESMALTE URETANO (A) RAL1015 CO   PL 4GAL "E"</v>
      </c>
      <c r="E379" s="93" t="s">
        <v>848</v>
      </c>
      <c r="F379" s="94"/>
      <c r="G379" s="95" t="s">
        <v>78</v>
      </c>
      <c r="H379" s="96">
        <v>4</v>
      </c>
      <c r="I379" s="97" t="s">
        <v>1443</v>
      </c>
      <c r="J379" s="98">
        <v>1</v>
      </c>
      <c r="K379" s="99" t="s">
        <v>8</v>
      </c>
      <c r="L379" s="82">
        <v>1385800</v>
      </c>
      <c r="M379" s="100">
        <v>6.6000000000000003E-2</v>
      </c>
    </row>
    <row r="380" spans="1:13" x14ac:dyDescent="0.25">
      <c r="A380" s="91">
        <v>485</v>
      </c>
      <c r="B380" s="91">
        <v>494793</v>
      </c>
      <c r="C380" s="92" t="s">
        <v>866</v>
      </c>
      <c r="D380" s="121" t="str">
        <f t="shared" si="21"/>
        <v>ESMALTE URETANO (A) RAL6019 CO   PL 4GAL "E"</v>
      </c>
      <c r="E380" s="93" t="s">
        <v>848</v>
      </c>
      <c r="F380" s="94"/>
      <c r="G380" s="95" t="s">
        <v>88</v>
      </c>
      <c r="H380" s="96">
        <v>4</v>
      </c>
      <c r="I380" s="97" t="s">
        <v>1443</v>
      </c>
      <c r="J380" s="98">
        <v>1</v>
      </c>
      <c r="K380" s="99" t="s">
        <v>8</v>
      </c>
      <c r="L380" s="82">
        <v>1456000</v>
      </c>
      <c r="M380" s="100">
        <v>6.6000000000000003E-2</v>
      </c>
    </row>
    <row r="381" spans="1:13" x14ac:dyDescent="0.25">
      <c r="A381" s="91">
        <v>490</v>
      </c>
      <c r="B381" s="91">
        <v>494795</v>
      </c>
      <c r="C381" s="92" t="s">
        <v>871</v>
      </c>
      <c r="D381" s="121" t="str">
        <f t="shared" si="21"/>
        <v>ESMALTE URETANO (A) RAL7032 CO   PL 4GAL "E"</v>
      </c>
      <c r="E381" s="93" t="s">
        <v>848</v>
      </c>
      <c r="F381" s="94"/>
      <c r="G381" s="95" t="s">
        <v>91</v>
      </c>
      <c r="H381" s="96">
        <v>4</v>
      </c>
      <c r="I381" s="97" t="s">
        <v>1443</v>
      </c>
      <c r="J381" s="98">
        <v>1</v>
      </c>
      <c r="K381" s="99" t="s">
        <v>8</v>
      </c>
      <c r="L381" s="82">
        <v>1392000</v>
      </c>
      <c r="M381" s="100">
        <v>6.6000000000000003E-2</v>
      </c>
    </row>
    <row r="382" spans="1:13" x14ac:dyDescent="0.25">
      <c r="A382" s="91">
        <v>497</v>
      </c>
      <c r="B382" s="91">
        <v>494798</v>
      </c>
      <c r="C382" s="92" t="s">
        <v>878</v>
      </c>
      <c r="D382" s="121" t="str">
        <f t="shared" si="21"/>
        <v>ESMALTE URETANO (A) RAL9002 CO   PL 4GAL "E"</v>
      </c>
      <c r="E382" s="93" t="s">
        <v>848</v>
      </c>
      <c r="F382" s="94"/>
      <c r="G382" s="95" t="s">
        <v>98</v>
      </c>
      <c r="H382" s="96">
        <v>4</v>
      </c>
      <c r="I382" s="97" t="s">
        <v>1443</v>
      </c>
      <c r="J382" s="98">
        <v>1</v>
      </c>
      <c r="K382" s="99" t="s">
        <v>8</v>
      </c>
      <c r="L382" s="82">
        <v>1426450</v>
      </c>
      <c r="M382" s="100">
        <v>6.6000000000000003E-2</v>
      </c>
    </row>
    <row r="383" spans="1:13" x14ac:dyDescent="0.25">
      <c r="A383" s="91">
        <v>477</v>
      </c>
      <c r="B383" s="91">
        <v>494799</v>
      </c>
      <c r="C383" s="92" t="s">
        <v>858</v>
      </c>
      <c r="D383" s="121" t="str">
        <f t="shared" si="21"/>
        <v>ESMALTE URETANO (A) RAL3015 CO   PL 4GAL "E"</v>
      </c>
      <c r="E383" s="93" t="s">
        <v>848</v>
      </c>
      <c r="F383" s="94"/>
      <c r="G383" s="95" t="s">
        <v>81</v>
      </c>
      <c r="H383" s="96">
        <v>4</v>
      </c>
      <c r="I383" s="97" t="s">
        <v>1443</v>
      </c>
      <c r="J383" s="98">
        <v>1</v>
      </c>
      <c r="K383" s="99" t="s">
        <v>8</v>
      </c>
      <c r="L383" s="82">
        <v>1532300</v>
      </c>
      <c r="M383" s="100">
        <v>6.6000000000000003E-2</v>
      </c>
    </row>
    <row r="384" spans="1:13" x14ac:dyDescent="0.25">
      <c r="A384" s="91">
        <v>496</v>
      </c>
      <c r="B384" s="91">
        <v>494801</v>
      </c>
      <c r="C384" s="92" t="s">
        <v>877</v>
      </c>
      <c r="D384" s="121" t="str">
        <f t="shared" si="21"/>
        <v>ESMALTE URETANO (A) RAL8016 CO   PL 4GAL "E"</v>
      </c>
      <c r="E384" s="93" t="s">
        <v>848</v>
      </c>
      <c r="F384" s="94"/>
      <c r="G384" s="95" t="s">
        <v>97</v>
      </c>
      <c r="H384" s="96">
        <v>4</v>
      </c>
      <c r="I384" s="97" t="s">
        <v>1443</v>
      </c>
      <c r="J384" s="98">
        <v>1</v>
      </c>
      <c r="K384" s="99" t="s">
        <v>8</v>
      </c>
      <c r="L384" s="82">
        <v>1593850</v>
      </c>
      <c r="M384" s="100">
        <v>6.6000000000000003E-2</v>
      </c>
    </row>
    <row r="385" spans="1:13" x14ac:dyDescent="0.25">
      <c r="A385" s="91">
        <v>455</v>
      </c>
      <c r="B385" s="91">
        <v>494873</v>
      </c>
      <c r="C385" s="92" t="s">
        <v>834</v>
      </c>
      <c r="D385" s="121" t="str">
        <f t="shared" si="21"/>
        <v>ESMALTE ALQUIDICO BLUE BANACO.CO /4X1GAL "E"</v>
      </c>
      <c r="E385" s="93" t="s">
        <v>833</v>
      </c>
      <c r="F385" s="94"/>
      <c r="G385" s="95" t="s">
        <v>69</v>
      </c>
      <c r="H385" s="96">
        <v>1</v>
      </c>
      <c r="I385" s="97" t="s">
        <v>1443</v>
      </c>
      <c r="J385" s="98">
        <v>4</v>
      </c>
      <c r="K385" s="99" t="s">
        <v>8</v>
      </c>
      <c r="L385" s="82">
        <v>184600</v>
      </c>
      <c r="M385" s="100">
        <v>9.286585678852799E-2</v>
      </c>
    </row>
    <row r="386" spans="1:13" x14ac:dyDescent="0.25">
      <c r="A386" s="91">
        <v>441</v>
      </c>
      <c r="B386" s="91">
        <v>494921</v>
      </c>
      <c r="C386" s="92" t="s">
        <v>810</v>
      </c>
      <c r="D386" s="121" t="str">
        <f t="shared" si="21"/>
        <v>BARRERA EPOXICA (B) CO           PL 5GAL "E"</v>
      </c>
      <c r="E386" s="93" t="s">
        <v>807</v>
      </c>
      <c r="F386" s="94"/>
      <c r="G386" s="95"/>
      <c r="H386" s="96">
        <v>5</v>
      </c>
      <c r="I386" s="97" t="s">
        <v>1443</v>
      </c>
      <c r="J386" s="98">
        <v>1</v>
      </c>
      <c r="K386" s="99" t="s">
        <v>8</v>
      </c>
      <c r="L386" s="82">
        <v>932350</v>
      </c>
      <c r="M386" s="100">
        <v>9.286585678852799E-2</v>
      </c>
    </row>
    <row r="387" spans="1:13" x14ac:dyDescent="0.25">
      <c r="A387" s="26">
        <v>729</v>
      </c>
      <c r="B387" s="26">
        <v>494923</v>
      </c>
      <c r="C387" s="27" t="s">
        <v>1146</v>
      </c>
      <c r="D387" s="27" t="str">
        <f>UPPER(C387)</f>
        <v>SIKAFELT FPP-30 (1MX50M) CO          ROL</v>
      </c>
      <c r="E387" s="28" t="s">
        <v>1144</v>
      </c>
      <c r="F387" s="29"/>
      <c r="G387" s="30" t="s">
        <v>144</v>
      </c>
      <c r="H387" s="31">
        <v>50</v>
      </c>
      <c r="I387" s="32" t="s">
        <v>106</v>
      </c>
      <c r="J387" s="33">
        <v>1</v>
      </c>
      <c r="K387" s="34" t="s">
        <v>8</v>
      </c>
      <c r="L387" s="82">
        <v>166350</v>
      </c>
      <c r="M387" s="35">
        <v>9.2499999999999999E-2</v>
      </c>
    </row>
    <row r="388" spans="1:13" x14ac:dyDescent="0.25">
      <c r="A388" s="91">
        <v>468</v>
      </c>
      <c r="B388" s="91">
        <v>494940</v>
      </c>
      <c r="C388" s="92" t="s">
        <v>849</v>
      </c>
      <c r="D388" s="121" t="str">
        <f>CONCATENATE(UPPER(C388),$D$3)</f>
        <v>ESMALTE URETANO (A) ALUMIN.HS CO PL 4GAL "E"</v>
      </c>
      <c r="E388" s="93" t="s">
        <v>848</v>
      </c>
      <c r="F388" s="94"/>
      <c r="G388" s="95" t="s">
        <v>76</v>
      </c>
      <c r="H388" s="96">
        <v>4</v>
      </c>
      <c r="I388" s="97" t="s">
        <v>1443</v>
      </c>
      <c r="J388" s="98">
        <v>1</v>
      </c>
      <c r="K388" s="99" t="s">
        <v>8</v>
      </c>
      <c r="L388" s="82">
        <v>1307100</v>
      </c>
      <c r="M388" s="100">
        <v>6.6000000000000003E-2</v>
      </c>
    </row>
    <row r="389" spans="1:13" x14ac:dyDescent="0.25">
      <c r="A389" s="91">
        <v>202</v>
      </c>
      <c r="B389" s="91">
        <v>495008</v>
      </c>
      <c r="C389" s="92" t="s">
        <v>461</v>
      </c>
      <c r="D389" s="121" t="str">
        <f>CONCATENATE(UPPER(C389),$D$3)</f>
        <v>SIKASIGUNIT L-53 AF PLUS        DR 230KG "E"</v>
      </c>
      <c r="E389" s="93" t="s">
        <v>460</v>
      </c>
      <c r="F389" s="94"/>
      <c r="G389" s="95"/>
      <c r="H389" s="96">
        <v>230</v>
      </c>
      <c r="I389" s="97" t="s">
        <v>50</v>
      </c>
      <c r="J389" s="98">
        <v>1</v>
      </c>
      <c r="K389" s="99" t="s">
        <v>8</v>
      </c>
      <c r="L389" s="82">
        <v>2169750</v>
      </c>
      <c r="M389" s="100">
        <v>9.9999999999999992E-2</v>
      </c>
    </row>
    <row r="390" spans="1:13" x14ac:dyDescent="0.25">
      <c r="A390" s="91">
        <v>205</v>
      </c>
      <c r="B390" s="91">
        <v>495010</v>
      </c>
      <c r="C390" s="92" t="s">
        <v>465</v>
      </c>
      <c r="D390" s="121" t="str">
        <f>CONCATENATE(UPPER(C390),$D$3)</f>
        <v>SIKASIGUNIT L-54 AF MO          DR 230KG "E"</v>
      </c>
      <c r="E390" s="93" t="s">
        <v>464</v>
      </c>
      <c r="F390" s="94"/>
      <c r="G390" s="95"/>
      <c r="H390" s="96">
        <v>230</v>
      </c>
      <c r="I390" s="97" t="s">
        <v>50</v>
      </c>
      <c r="J390" s="98">
        <v>1</v>
      </c>
      <c r="K390" s="99" t="s">
        <v>8</v>
      </c>
      <c r="L390" s="82">
        <v>2203000</v>
      </c>
      <c r="M390" s="100">
        <v>6.9999999999999993E-2</v>
      </c>
    </row>
    <row r="391" spans="1:13" x14ac:dyDescent="0.25">
      <c r="A391" s="91">
        <v>440</v>
      </c>
      <c r="B391" s="91">
        <v>495014</v>
      </c>
      <c r="C391" s="92" t="s">
        <v>809</v>
      </c>
      <c r="D391" s="121" t="str">
        <f>CONCATENATE(UPPER(C391),$D$3)</f>
        <v>BARRERA EPOXICA (A) RAL7035 CO   PL 5GAL "E"</v>
      </c>
      <c r="E391" s="93" t="s">
        <v>807</v>
      </c>
      <c r="F391" s="94"/>
      <c r="G391" s="95" t="s">
        <v>63</v>
      </c>
      <c r="H391" s="96">
        <v>5</v>
      </c>
      <c r="I391" s="97" t="s">
        <v>1443</v>
      </c>
      <c r="J391" s="98">
        <v>1</v>
      </c>
      <c r="K391" s="99" t="s">
        <v>8</v>
      </c>
      <c r="L391" s="82">
        <v>1179000</v>
      </c>
      <c r="M391" s="100">
        <v>9.286585678852799E-2</v>
      </c>
    </row>
    <row r="392" spans="1:13" x14ac:dyDescent="0.25">
      <c r="A392" s="26">
        <v>201</v>
      </c>
      <c r="B392" s="26">
        <v>495065</v>
      </c>
      <c r="C392" s="27" t="s">
        <v>459</v>
      </c>
      <c r="D392" s="27" t="str">
        <f t="shared" ref="D392:D414" si="22">UPPER(C392)</f>
        <v>SIKASIGUNIT L-53 AF PLUS       TANKER KG</v>
      </c>
      <c r="E392" s="28" t="s">
        <v>460</v>
      </c>
      <c r="F392" s="29"/>
      <c r="G392" s="30"/>
      <c r="H392" s="31">
        <v>0</v>
      </c>
      <c r="I392" s="32" t="s">
        <v>50</v>
      </c>
      <c r="J392" s="33">
        <v>1</v>
      </c>
      <c r="K392" s="34" t="s">
        <v>8</v>
      </c>
      <c r="L392" s="82">
        <v>6000</v>
      </c>
      <c r="M392" s="35">
        <v>0.08</v>
      </c>
    </row>
    <row r="393" spans="1:13" x14ac:dyDescent="0.25">
      <c r="A393" s="26">
        <v>204</v>
      </c>
      <c r="B393" s="26">
        <v>495066</v>
      </c>
      <c r="C393" s="27" t="s">
        <v>463</v>
      </c>
      <c r="D393" s="27" t="str">
        <f t="shared" si="22"/>
        <v>SIKASIGUNIT L-54 AF MO         TANKER KG</v>
      </c>
      <c r="E393" s="28" t="s">
        <v>464</v>
      </c>
      <c r="F393" s="29"/>
      <c r="G393" s="30"/>
      <c r="H393" s="31">
        <v>0</v>
      </c>
      <c r="I393" s="32" t="s">
        <v>50</v>
      </c>
      <c r="J393" s="33">
        <v>1</v>
      </c>
      <c r="K393" s="34" t="s">
        <v>8</v>
      </c>
      <c r="L393" s="82">
        <v>5850</v>
      </c>
      <c r="M393" s="35">
        <v>0.08</v>
      </c>
    </row>
    <row r="394" spans="1:13" x14ac:dyDescent="0.25">
      <c r="A394" s="26">
        <v>102</v>
      </c>
      <c r="B394" s="26">
        <v>495277</v>
      </c>
      <c r="C394" s="27" t="s">
        <v>312</v>
      </c>
      <c r="D394" s="27" t="str">
        <f t="shared" si="22"/>
        <v>SIKACOLOR C WHITE CO            DR 55GAL</v>
      </c>
      <c r="E394" s="28" t="s">
        <v>306</v>
      </c>
      <c r="F394" s="29"/>
      <c r="G394" s="30" t="s">
        <v>15</v>
      </c>
      <c r="H394" s="31">
        <v>55</v>
      </c>
      <c r="I394" s="32" t="s">
        <v>1443</v>
      </c>
      <c r="J394" s="33">
        <v>1</v>
      </c>
      <c r="K394" s="34" t="s">
        <v>8</v>
      </c>
      <c r="L394" s="82">
        <v>6736050</v>
      </c>
      <c r="M394" s="35">
        <v>5.4000000000000006E-2</v>
      </c>
    </row>
    <row r="395" spans="1:13" x14ac:dyDescent="0.25">
      <c r="A395" s="26">
        <v>281</v>
      </c>
      <c r="B395" s="26">
        <v>495929</v>
      </c>
      <c r="C395" s="27" t="s">
        <v>589</v>
      </c>
      <c r="D395" s="27" t="str">
        <f t="shared" si="22"/>
        <v>SIKAPLAST MO CO                TANKER KG</v>
      </c>
      <c r="E395" s="28" t="s">
        <v>590</v>
      </c>
      <c r="F395" s="29"/>
      <c r="G395" s="30"/>
      <c r="H395" s="31">
        <v>1</v>
      </c>
      <c r="I395" s="32" t="s">
        <v>50</v>
      </c>
      <c r="J395" s="33">
        <v>1000</v>
      </c>
      <c r="K395" s="34" t="s">
        <v>50</v>
      </c>
      <c r="L395" s="82">
        <v>10200</v>
      </c>
      <c r="M395" s="35">
        <v>6.9999999999999993E-2</v>
      </c>
    </row>
    <row r="396" spans="1:13" x14ac:dyDescent="0.25">
      <c r="A396" s="26">
        <v>285</v>
      </c>
      <c r="B396" s="26">
        <v>495930</v>
      </c>
      <c r="C396" s="27" t="s">
        <v>594</v>
      </c>
      <c r="D396" s="27" t="str">
        <f t="shared" si="22"/>
        <v>SIKAPLAST MO CO                 DR 230KG</v>
      </c>
      <c r="E396" s="28" t="s">
        <v>590</v>
      </c>
      <c r="F396" s="29"/>
      <c r="G396" s="30"/>
      <c r="H396" s="31">
        <v>230</v>
      </c>
      <c r="I396" s="32" t="s">
        <v>50</v>
      </c>
      <c r="J396" s="33">
        <v>1</v>
      </c>
      <c r="K396" s="34" t="s">
        <v>8</v>
      </c>
      <c r="L396" s="82">
        <v>2842650</v>
      </c>
      <c r="M396" s="35">
        <v>6.9999999999999993E-2</v>
      </c>
    </row>
    <row r="397" spans="1:13" x14ac:dyDescent="0.25">
      <c r="A397" s="26">
        <v>284</v>
      </c>
      <c r="B397" s="26">
        <v>495931</v>
      </c>
      <c r="C397" s="27" t="s">
        <v>593</v>
      </c>
      <c r="D397" s="27" t="str">
        <f t="shared" si="22"/>
        <v>SIKAPLAST MO CO                  PL 20KG</v>
      </c>
      <c r="E397" s="28" t="s">
        <v>590</v>
      </c>
      <c r="F397" s="29"/>
      <c r="G397" s="30"/>
      <c r="H397" s="31">
        <v>20</v>
      </c>
      <c r="I397" s="32" t="s">
        <v>50</v>
      </c>
      <c r="J397" s="33">
        <v>1</v>
      </c>
      <c r="K397" s="34" t="s">
        <v>8</v>
      </c>
      <c r="L397" s="82">
        <v>333800</v>
      </c>
      <c r="M397" s="35">
        <v>6.9999999999999993E-2</v>
      </c>
    </row>
    <row r="398" spans="1:13" x14ac:dyDescent="0.25">
      <c r="A398" s="26">
        <v>283</v>
      </c>
      <c r="B398" s="26">
        <v>495932</v>
      </c>
      <c r="C398" s="27" t="s">
        <v>592</v>
      </c>
      <c r="D398" s="27" t="str">
        <f t="shared" si="22"/>
        <v>SIKAPLAST MO CO                   /6X5KG</v>
      </c>
      <c r="E398" s="28" t="s">
        <v>590</v>
      </c>
      <c r="F398" s="29"/>
      <c r="G398" s="30"/>
      <c r="H398" s="31">
        <v>5</v>
      </c>
      <c r="I398" s="32" t="s">
        <v>50</v>
      </c>
      <c r="J398" s="33">
        <v>6</v>
      </c>
      <c r="K398" s="34" t="s">
        <v>8</v>
      </c>
      <c r="L398" s="82">
        <v>97150</v>
      </c>
      <c r="M398" s="35">
        <v>6.9999999999999993E-2</v>
      </c>
    </row>
    <row r="399" spans="1:13" x14ac:dyDescent="0.25">
      <c r="A399" s="26">
        <v>189</v>
      </c>
      <c r="B399" s="26">
        <v>495935</v>
      </c>
      <c r="C399" s="27" t="s">
        <v>443</v>
      </c>
      <c r="D399" s="27" t="str">
        <f t="shared" si="22"/>
        <v>SIKASEPAROL ECOLOGICO     COL   TB 200KG</v>
      </c>
      <c r="E399" s="28" t="s">
        <v>442</v>
      </c>
      <c r="F399" s="85"/>
      <c r="G399" s="85"/>
      <c r="H399" s="31">
        <v>200</v>
      </c>
      <c r="I399" s="32" t="s">
        <v>50</v>
      </c>
      <c r="J399" s="33">
        <v>1</v>
      </c>
      <c r="K399" s="34" t="s">
        <v>8</v>
      </c>
      <c r="L399" s="82">
        <v>2666300</v>
      </c>
      <c r="M399" s="35">
        <v>9.9999999999999992E-2</v>
      </c>
    </row>
    <row r="400" spans="1:13" x14ac:dyDescent="0.25">
      <c r="A400" s="26">
        <v>188</v>
      </c>
      <c r="B400" s="26">
        <v>495936</v>
      </c>
      <c r="C400" s="27" t="s">
        <v>441</v>
      </c>
      <c r="D400" s="27" t="str">
        <f t="shared" si="22"/>
        <v>SIKASEPAROL ECOLOGICO      COL   PL 20KG</v>
      </c>
      <c r="E400" s="28" t="s">
        <v>442</v>
      </c>
      <c r="F400" s="29"/>
      <c r="G400" s="30"/>
      <c r="H400" s="31">
        <v>20</v>
      </c>
      <c r="I400" s="32" t="s">
        <v>50</v>
      </c>
      <c r="J400" s="33">
        <v>1</v>
      </c>
      <c r="K400" s="34" t="s">
        <v>8</v>
      </c>
      <c r="L400" s="82">
        <v>314600</v>
      </c>
      <c r="M400" s="35">
        <v>9.9999999999999992E-2</v>
      </c>
    </row>
    <row r="401" spans="1:13" x14ac:dyDescent="0.25">
      <c r="A401" s="26">
        <v>52</v>
      </c>
      <c r="B401" s="26">
        <v>496251</v>
      </c>
      <c r="C401" s="27" t="s">
        <v>252</v>
      </c>
      <c r="D401" s="27" t="str">
        <f t="shared" si="22"/>
        <v>SIKACERAM PORCELANATO GREY CO    BG 25KG</v>
      </c>
      <c r="E401" s="28" t="s">
        <v>253</v>
      </c>
      <c r="F401" s="29"/>
      <c r="G401" s="30" t="s">
        <v>14</v>
      </c>
      <c r="H401" s="31">
        <v>25</v>
      </c>
      <c r="I401" s="32" t="s">
        <v>50</v>
      </c>
      <c r="J401" s="33">
        <v>1</v>
      </c>
      <c r="K401" s="34" t="s">
        <v>8</v>
      </c>
      <c r="L401" s="82">
        <v>64750</v>
      </c>
      <c r="M401" s="35">
        <v>9.4E-2</v>
      </c>
    </row>
    <row r="402" spans="1:13" x14ac:dyDescent="0.25">
      <c r="A402" s="26">
        <v>54</v>
      </c>
      <c r="B402" s="26">
        <v>496252</v>
      </c>
      <c r="C402" s="27" t="s">
        <v>255</v>
      </c>
      <c r="D402" s="27" t="str">
        <f t="shared" si="22"/>
        <v>SIKACERAM PORCELANATO GREY CO    BG 50KG</v>
      </c>
      <c r="E402" s="28" t="s">
        <v>253</v>
      </c>
      <c r="F402" s="29"/>
      <c r="G402" s="30" t="s">
        <v>14</v>
      </c>
      <c r="H402" s="31">
        <v>50</v>
      </c>
      <c r="I402" s="32" t="s">
        <v>50</v>
      </c>
      <c r="J402" s="33">
        <v>1</v>
      </c>
      <c r="K402" s="34" t="s">
        <v>8</v>
      </c>
      <c r="L402" s="82">
        <v>122850</v>
      </c>
      <c r="M402" s="35">
        <v>9.4E-2</v>
      </c>
    </row>
    <row r="403" spans="1:13" x14ac:dyDescent="0.25">
      <c r="A403" s="26">
        <v>53</v>
      </c>
      <c r="B403" s="26">
        <v>496253</v>
      </c>
      <c r="C403" s="27" t="s">
        <v>254</v>
      </c>
      <c r="D403" s="27" t="str">
        <f t="shared" si="22"/>
        <v>SIKACERAM PORCELANATO WHITE CO   BG 25KG</v>
      </c>
      <c r="E403" s="28" t="s">
        <v>253</v>
      </c>
      <c r="F403" s="29"/>
      <c r="G403" s="30" t="s">
        <v>15</v>
      </c>
      <c r="H403" s="31">
        <v>25</v>
      </c>
      <c r="I403" s="32" t="s">
        <v>50</v>
      </c>
      <c r="J403" s="33">
        <v>1</v>
      </c>
      <c r="K403" s="34" t="s">
        <v>8</v>
      </c>
      <c r="L403" s="82">
        <v>85750</v>
      </c>
      <c r="M403" s="35">
        <v>9.4E-2</v>
      </c>
    </row>
    <row r="404" spans="1:13" x14ac:dyDescent="0.25">
      <c r="A404" s="26">
        <v>55</v>
      </c>
      <c r="B404" s="26">
        <v>496254</v>
      </c>
      <c r="C404" s="27" t="s">
        <v>256</v>
      </c>
      <c r="D404" s="27" t="str">
        <f t="shared" si="22"/>
        <v>SIKACERAM PORCELANATO WHITE CO   BG 50KG</v>
      </c>
      <c r="E404" s="28" t="s">
        <v>253</v>
      </c>
      <c r="F404" s="29"/>
      <c r="G404" s="30" t="s">
        <v>15</v>
      </c>
      <c r="H404" s="31">
        <v>50</v>
      </c>
      <c r="I404" s="32" t="s">
        <v>50</v>
      </c>
      <c r="J404" s="33">
        <v>1</v>
      </c>
      <c r="K404" s="34" t="s">
        <v>8</v>
      </c>
      <c r="L404" s="82">
        <v>148850</v>
      </c>
      <c r="M404" s="35">
        <v>9.4E-2</v>
      </c>
    </row>
    <row r="405" spans="1:13" x14ac:dyDescent="0.25">
      <c r="A405" s="26">
        <v>65</v>
      </c>
      <c r="B405" s="26">
        <v>496344</v>
      </c>
      <c r="C405" s="27" t="s">
        <v>270</v>
      </c>
      <c r="D405" s="27" t="str">
        <f t="shared" si="22"/>
        <v>SIKACERAM-180 MARBLE             BG 50KG</v>
      </c>
      <c r="E405" s="28" t="s">
        <v>269</v>
      </c>
      <c r="F405" s="29"/>
      <c r="G405" s="30" t="s">
        <v>26</v>
      </c>
      <c r="H405" s="31">
        <v>50</v>
      </c>
      <c r="I405" s="32" t="s">
        <v>50</v>
      </c>
      <c r="J405" s="33">
        <v>1</v>
      </c>
      <c r="K405" s="34" t="s">
        <v>8</v>
      </c>
      <c r="L405" s="82">
        <v>134650</v>
      </c>
      <c r="M405" s="35">
        <v>6.4000000000000001E-2</v>
      </c>
    </row>
    <row r="406" spans="1:13" x14ac:dyDescent="0.25">
      <c r="A406" s="26">
        <v>64</v>
      </c>
      <c r="B406" s="26">
        <v>496345</v>
      </c>
      <c r="C406" s="27" t="s">
        <v>268</v>
      </c>
      <c r="D406" s="27" t="str">
        <f t="shared" si="22"/>
        <v>SIKACERAM-180 MARBLE             BG 25KG</v>
      </c>
      <c r="E406" s="28" t="s">
        <v>269</v>
      </c>
      <c r="F406" s="29"/>
      <c r="G406" s="30" t="s">
        <v>26</v>
      </c>
      <c r="H406" s="31">
        <v>25</v>
      </c>
      <c r="I406" s="32" t="s">
        <v>50</v>
      </c>
      <c r="J406" s="33">
        <v>1</v>
      </c>
      <c r="K406" s="34" t="s">
        <v>8</v>
      </c>
      <c r="L406" s="82">
        <v>73150</v>
      </c>
      <c r="M406" s="35">
        <v>6.4000000000000001E-2</v>
      </c>
    </row>
    <row r="407" spans="1:13" x14ac:dyDescent="0.25">
      <c r="A407" s="26">
        <v>47</v>
      </c>
      <c r="B407" s="26">
        <v>496398</v>
      </c>
      <c r="C407" s="27" t="s">
        <v>245</v>
      </c>
      <c r="D407" s="27" t="str">
        <f t="shared" si="22"/>
        <v>SIKAVINILO T-1 WHITE CO          PL 5GAL</v>
      </c>
      <c r="E407" s="28" t="s">
        <v>244</v>
      </c>
      <c r="F407" s="29"/>
      <c r="G407" s="30" t="s">
        <v>15</v>
      </c>
      <c r="H407" s="31">
        <v>5</v>
      </c>
      <c r="I407" s="32" t="s">
        <v>1443</v>
      </c>
      <c r="J407" s="33">
        <v>1</v>
      </c>
      <c r="K407" s="34" t="s">
        <v>8</v>
      </c>
      <c r="L407" s="82">
        <v>395250</v>
      </c>
      <c r="M407" s="35">
        <v>6.4000000000000001E-2</v>
      </c>
    </row>
    <row r="408" spans="1:13" x14ac:dyDescent="0.25">
      <c r="A408" s="26">
        <v>46</v>
      </c>
      <c r="B408" s="26">
        <v>496649</v>
      </c>
      <c r="C408" s="27" t="s">
        <v>243</v>
      </c>
      <c r="D408" s="27" t="str">
        <f t="shared" si="22"/>
        <v>SIKAVINILO T-1 WHITE CO          /4X1GAL</v>
      </c>
      <c r="E408" s="28" t="s">
        <v>244</v>
      </c>
      <c r="F408" s="29"/>
      <c r="G408" s="30" t="s">
        <v>15</v>
      </c>
      <c r="H408" s="31">
        <v>1</v>
      </c>
      <c r="I408" s="32" t="s">
        <v>1443</v>
      </c>
      <c r="J408" s="33">
        <v>4</v>
      </c>
      <c r="K408" s="34" t="s">
        <v>8</v>
      </c>
      <c r="L408" s="82">
        <v>94900</v>
      </c>
      <c r="M408" s="35">
        <v>6.4000000000000001E-2</v>
      </c>
    </row>
    <row r="409" spans="1:13" x14ac:dyDescent="0.25">
      <c r="A409" s="26">
        <v>48</v>
      </c>
      <c r="B409" s="26">
        <v>496654</v>
      </c>
      <c r="C409" s="27" t="s">
        <v>246</v>
      </c>
      <c r="D409" s="27" t="str">
        <f t="shared" si="22"/>
        <v>SIKAVINILO T-1 WHITE CO         DR 55GAL</v>
      </c>
      <c r="E409" s="28" t="s">
        <v>244</v>
      </c>
      <c r="F409" s="29"/>
      <c r="G409" s="30" t="s">
        <v>15</v>
      </c>
      <c r="H409" s="31">
        <v>55</v>
      </c>
      <c r="I409" s="32" t="s">
        <v>1443</v>
      </c>
      <c r="J409" s="33">
        <v>1</v>
      </c>
      <c r="K409" s="34" t="s">
        <v>8</v>
      </c>
      <c r="L409" s="82">
        <v>3660400</v>
      </c>
      <c r="M409" s="35">
        <v>5.4000000000000006E-2</v>
      </c>
    </row>
    <row r="410" spans="1:13" x14ac:dyDescent="0.25">
      <c r="A410" s="26">
        <v>49</v>
      </c>
      <c r="B410" s="26">
        <v>496655</v>
      </c>
      <c r="C410" s="27" t="s">
        <v>247</v>
      </c>
      <c r="D410" s="27" t="str">
        <f t="shared" si="22"/>
        <v>SIKAVINILO T-2 WHITE CO          /4X1GAL</v>
      </c>
      <c r="E410" s="28" t="s">
        <v>248</v>
      </c>
      <c r="F410" s="29"/>
      <c r="G410" s="30" t="s">
        <v>15</v>
      </c>
      <c r="H410" s="31">
        <v>1</v>
      </c>
      <c r="I410" s="32" t="s">
        <v>1443</v>
      </c>
      <c r="J410" s="33">
        <v>4</v>
      </c>
      <c r="K410" s="34" t="s">
        <v>8</v>
      </c>
      <c r="L410" s="82">
        <v>60850</v>
      </c>
      <c r="M410" s="35">
        <v>6.4000000000000001E-2</v>
      </c>
    </row>
    <row r="411" spans="1:13" x14ac:dyDescent="0.25">
      <c r="A411" s="26">
        <v>50</v>
      </c>
      <c r="B411" s="26">
        <v>496659</v>
      </c>
      <c r="C411" s="27" t="s">
        <v>249</v>
      </c>
      <c r="D411" s="27" t="str">
        <f t="shared" si="22"/>
        <v>SIKAVINILO T-2 WHITE CO          PL 5GAL</v>
      </c>
      <c r="E411" s="28" t="s">
        <v>248</v>
      </c>
      <c r="F411" s="29"/>
      <c r="G411" s="30" t="s">
        <v>15</v>
      </c>
      <c r="H411" s="31">
        <v>5</v>
      </c>
      <c r="I411" s="32" t="s">
        <v>1443</v>
      </c>
      <c r="J411" s="33">
        <v>1</v>
      </c>
      <c r="K411" s="34" t="s">
        <v>8</v>
      </c>
      <c r="L411" s="82">
        <v>253200</v>
      </c>
      <c r="M411" s="35">
        <v>6.4000000000000001E-2</v>
      </c>
    </row>
    <row r="412" spans="1:13" x14ac:dyDescent="0.25">
      <c r="A412" s="26">
        <v>103</v>
      </c>
      <c r="B412" s="26">
        <v>496856</v>
      </c>
      <c r="C412" s="27" t="s">
        <v>313</v>
      </c>
      <c r="D412" s="27" t="str">
        <f t="shared" si="22"/>
        <v>SIKACOLOR F BASALT GREY CO       /4X1GAL</v>
      </c>
      <c r="E412" s="28" t="s">
        <v>314</v>
      </c>
      <c r="F412" s="29"/>
      <c r="G412" s="30" t="s">
        <v>41</v>
      </c>
      <c r="H412" s="31">
        <v>1</v>
      </c>
      <c r="I412" s="32" t="s">
        <v>1443</v>
      </c>
      <c r="J412" s="33">
        <v>4</v>
      </c>
      <c r="K412" s="34" t="s">
        <v>8</v>
      </c>
      <c r="L412" s="82">
        <v>96500</v>
      </c>
      <c r="M412" s="35">
        <v>6.4000000000000001E-2</v>
      </c>
    </row>
    <row r="413" spans="1:13" x14ac:dyDescent="0.25">
      <c r="A413" s="26">
        <v>341</v>
      </c>
      <c r="B413" s="26">
        <v>498245</v>
      </c>
      <c r="C413" s="27" t="s">
        <v>675</v>
      </c>
      <c r="D413" s="27" t="str">
        <f t="shared" si="22"/>
        <v>SIKA ANCHORFIX-2 (AB) CO      /12 CTR300</v>
      </c>
      <c r="E413" s="28" t="s">
        <v>676</v>
      </c>
      <c r="F413" s="29"/>
      <c r="G413" s="30" t="s">
        <v>53</v>
      </c>
      <c r="H413" s="31">
        <v>1</v>
      </c>
      <c r="I413" s="32" t="s">
        <v>1445</v>
      </c>
      <c r="J413" s="33">
        <v>12</v>
      </c>
      <c r="K413" s="34" t="s">
        <v>8</v>
      </c>
      <c r="L413" s="82">
        <v>121850</v>
      </c>
      <c r="M413" s="35">
        <v>8.199999999999999E-2</v>
      </c>
    </row>
    <row r="414" spans="1:13" x14ac:dyDescent="0.25">
      <c r="A414" s="26">
        <v>345</v>
      </c>
      <c r="B414" s="26">
        <v>498373</v>
      </c>
      <c r="C414" s="27" t="s">
        <v>682</v>
      </c>
      <c r="D414" s="27" t="str">
        <f t="shared" si="22"/>
        <v>SIKA ANCHORFIX S (AB) CO      /12 CTR300</v>
      </c>
      <c r="E414" s="28" t="s">
        <v>683</v>
      </c>
      <c r="F414" s="29"/>
      <c r="G414" s="30" t="s">
        <v>53</v>
      </c>
      <c r="H414" s="31">
        <v>1</v>
      </c>
      <c r="I414" s="32" t="s">
        <v>1445</v>
      </c>
      <c r="J414" s="33">
        <v>12</v>
      </c>
      <c r="K414" s="34" t="s">
        <v>8</v>
      </c>
      <c r="L414" s="82">
        <v>56600</v>
      </c>
      <c r="M414" s="35">
        <v>6.7000000000000004E-2</v>
      </c>
    </row>
    <row r="415" spans="1:13" x14ac:dyDescent="0.25">
      <c r="A415" s="91">
        <v>454</v>
      </c>
      <c r="B415" s="91">
        <v>498413</v>
      </c>
      <c r="C415" s="92" t="s">
        <v>832</v>
      </c>
      <c r="D415" s="121" t="str">
        <f>CONCATENATE(UPPER(C415),$D$3)</f>
        <v>ESMALTE ALQUIDICO ALUMINIUM CO   /4X1GAL "E"</v>
      </c>
      <c r="E415" s="93" t="s">
        <v>833</v>
      </c>
      <c r="F415" s="94"/>
      <c r="G415" s="95" t="s">
        <v>68</v>
      </c>
      <c r="H415" s="96">
        <v>1</v>
      </c>
      <c r="I415" s="97" t="s">
        <v>1443</v>
      </c>
      <c r="J415" s="98">
        <v>4</v>
      </c>
      <c r="K415" s="99" t="s">
        <v>8</v>
      </c>
      <c r="L415" s="82">
        <v>168700</v>
      </c>
      <c r="M415" s="100">
        <v>9.286585678852799E-2</v>
      </c>
    </row>
    <row r="416" spans="1:13" x14ac:dyDescent="0.25">
      <c r="A416" s="26">
        <v>275</v>
      </c>
      <c r="B416" s="26">
        <v>498439</v>
      </c>
      <c r="C416" s="27" t="s">
        <v>579</v>
      </c>
      <c r="D416" s="27" t="str">
        <f>UPPER(C416)</f>
        <v>SIKAPLAST-5500           COL   TANKER KG</v>
      </c>
      <c r="E416" s="28" t="s">
        <v>580</v>
      </c>
      <c r="F416" s="29"/>
      <c r="G416" s="30"/>
      <c r="H416" s="31">
        <v>1</v>
      </c>
      <c r="I416" s="32" t="s">
        <v>50</v>
      </c>
      <c r="J416" s="33">
        <v>1000</v>
      </c>
      <c r="K416" s="34" t="s">
        <v>50</v>
      </c>
      <c r="L416" s="82">
        <v>18050</v>
      </c>
      <c r="M416" s="35">
        <v>0.08</v>
      </c>
    </row>
    <row r="417" spans="1:13" x14ac:dyDescent="0.25">
      <c r="A417" s="26">
        <v>157</v>
      </c>
      <c r="B417" s="26">
        <v>498998</v>
      </c>
      <c r="C417" s="27" t="s">
        <v>397</v>
      </c>
      <c r="D417" s="27" t="str">
        <f>UPPER(C417)</f>
        <v>SIKAPLASTIMENT RI              TANKER KG</v>
      </c>
      <c r="E417" s="28" t="s">
        <v>396</v>
      </c>
      <c r="F417" s="29"/>
      <c r="G417" s="30" t="s">
        <v>51</v>
      </c>
      <c r="H417" s="31">
        <v>1</v>
      </c>
      <c r="I417" s="32" t="s">
        <v>50</v>
      </c>
      <c r="J417" s="33">
        <v>1000</v>
      </c>
      <c r="K417" s="34" t="s">
        <v>50</v>
      </c>
      <c r="L417" s="82">
        <v>6600</v>
      </c>
      <c r="M417" s="35">
        <v>0.08</v>
      </c>
    </row>
    <row r="418" spans="1:13" x14ac:dyDescent="0.25">
      <c r="A418" s="91">
        <v>536</v>
      </c>
      <c r="B418" s="91">
        <v>499001</v>
      </c>
      <c r="C418" s="92" t="s">
        <v>933</v>
      </c>
      <c r="D418" s="121" t="str">
        <f>CONCATENATE(UPPER(C418),$D$3)</f>
        <v>SIKAPERMACOR SERIE-82 HS (A)GREY PL 3GAL "E"</v>
      </c>
      <c r="E418" s="93" t="s">
        <v>932</v>
      </c>
      <c r="F418" s="94"/>
      <c r="G418" s="95" t="s">
        <v>14</v>
      </c>
      <c r="H418" s="96">
        <v>3</v>
      </c>
      <c r="I418" s="97" t="s">
        <v>1443</v>
      </c>
      <c r="J418" s="98">
        <v>1</v>
      </c>
      <c r="K418" s="99" t="s">
        <v>8</v>
      </c>
      <c r="L418" s="82">
        <v>696900</v>
      </c>
      <c r="M418" s="100">
        <v>3.4999999999999996E-2</v>
      </c>
    </row>
    <row r="419" spans="1:13" x14ac:dyDescent="0.25">
      <c r="A419" s="26">
        <v>875</v>
      </c>
      <c r="B419" s="26">
        <v>499121</v>
      </c>
      <c r="C419" s="27" t="s">
        <v>1337</v>
      </c>
      <c r="D419" s="27" t="str">
        <f>UPPER(C419)</f>
        <v>IGOL DENSO PLUS CO              DR 180KG</v>
      </c>
      <c r="E419" s="28" t="s">
        <v>1335</v>
      </c>
      <c r="F419" s="29"/>
      <c r="G419" s="30"/>
      <c r="H419" s="31">
        <v>180</v>
      </c>
      <c r="I419" s="32" t="s">
        <v>50</v>
      </c>
      <c r="J419" s="33">
        <v>1</v>
      </c>
      <c r="K419" s="34" t="s">
        <v>8</v>
      </c>
      <c r="L419" s="82">
        <v>5121400</v>
      </c>
      <c r="M419" s="35">
        <v>6.7000000000000004E-2</v>
      </c>
    </row>
    <row r="420" spans="1:13" x14ac:dyDescent="0.25">
      <c r="A420" s="26">
        <v>874</v>
      </c>
      <c r="B420" s="26">
        <v>499125</v>
      </c>
      <c r="C420" s="27" t="s">
        <v>1336</v>
      </c>
      <c r="D420" s="27" t="str">
        <f>UPPER(C420)</f>
        <v>IGOL DENSO PLUS CO               PL 18KG</v>
      </c>
      <c r="E420" s="28" t="s">
        <v>1335</v>
      </c>
      <c r="F420" s="29"/>
      <c r="G420" s="30"/>
      <c r="H420" s="31">
        <v>18</v>
      </c>
      <c r="I420" s="32" t="s">
        <v>50</v>
      </c>
      <c r="J420" s="33">
        <v>1</v>
      </c>
      <c r="K420" s="34" t="s">
        <v>8</v>
      </c>
      <c r="L420" s="82">
        <v>647550</v>
      </c>
      <c r="M420" s="35">
        <v>6.7000000000000004E-2</v>
      </c>
    </row>
    <row r="421" spans="1:13" x14ac:dyDescent="0.25">
      <c r="A421" s="26">
        <v>873</v>
      </c>
      <c r="B421" s="26">
        <v>499126</v>
      </c>
      <c r="C421" s="27" t="s">
        <v>1334</v>
      </c>
      <c r="D421" s="27" t="str">
        <f>UPPER(C421)</f>
        <v>IGOL DENSO PLUS CO              KA 3,5KG</v>
      </c>
      <c r="E421" s="28" t="s">
        <v>1335</v>
      </c>
      <c r="F421" s="29"/>
      <c r="G421" s="30"/>
      <c r="H421" s="31">
        <v>3.5</v>
      </c>
      <c r="I421" s="32" t="s">
        <v>50</v>
      </c>
      <c r="J421" s="33">
        <v>4</v>
      </c>
      <c r="K421" s="34" t="s">
        <v>8</v>
      </c>
      <c r="L421" s="82">
        <v>164000</v>
      </c>
      <c r="M421" s="35">
        <v>6.7000000000000004E-2</v>
      </c>
    </row>
    <row r="422" spans="1:13" x14ac:dyDescent="0.25">
      <c r="A422" s="91">
        <v>719</v>
      </c>
      <c r="B422" s="91">
        <v>499139</v>
      </c>
      <c r="C422" s="92" t="s">
        <v>1132</v>
      </c>
      <c r="D422" s="121" t="str">
        <f>CONCATENATE(UPPER(C422),$D$3)</f>
        <v>SIKAMANTO 4MM ALUMINIUM (10MX1M)     ROL "E"</v>
      </c>
      <c r="E422" s="93" t="s">
        <v>1130</v>
      </c>
      <c r="F422" s="94"/>
      <c r="G422" s="95" t="s">
        <v>140</v>
      </c>
      <c r="H422" s="96">
        <v>10</v>
      </c>
      <c r="I422" s="97" t="s">
        <v>135</v>
      </c>
      <c r="J422" s="98">
        <v>1</v>
      </c>
      <c r="K422" s="99" t="s">
        <v>8</v>
      </c>
      <c r="L422" s="82">
        <v>531550</v>
      </c>
      <c r="M422" s="100">
        <v>7.2499999999999995E-2</v>
      </c>
    </row>
    <row r="423" spans="1:13" x14ac:dyDescent="0.25">
      <c r="A423" s="91">
        <v>564</v>
      </c>
      <c r="B423" s="91">
        <v>499152</v>
      </c>
      <c r="C423" s="92" t="s">
        <v>971</v>
      </c>
      <c r="D423" s="121" t="str">
        <f>CONCATENATE(UPPER(C423),$D$3)</f>
        <v>SIKAFLOOR LEVEL-25 (CO)          BG 25KG "E"</v>
      </c>
      <c r="E423" s="93" t="s">
        <v>972</v>
      </c>
      <c r="F423" s="94"/>
      <c r="G423" s="95"/>
      <c r="H423" s="96">
        <v>25</v>
      </c>
      <c r="I423" s="97" t="s">
        <v>50</v>
      </c>
      <c r="J423" s="98">
        <v>1</v>
      </c>
      <c r="K423" s="99" t="s">
        <v>8</v>
      </c>
      <c r="L423" s="82">
        <v>372350</v>
      </c>
      <c r="M423" s="100">
        <v>8.199999999999999E-2</v>
      </c>
    </row>
    <row r="424" spans="1:13" x14ac:dyDescent="0.25">
      <c r="A424" s="26">
        <v>870</v>
      </c>
      <c r="B424" s="26">
        <v>499563</v>
      </c>
      <c r="C424" s="27" t="s">
        <v>1330</v>
      </c>
      <c r="D424" s="27" t="str">
        <f>UPPER(C424)</f>
        <v>IGOL CIMENTACIONES CO           KA 3,5KG</v>
      </c>
      <c r="E424" s="28" t="s">
        <v>1331</v>
      </c>
      <c r="F424" s="29"/>
      <c r="G424" s="30"/>
      <c r="H424" s="31">
        <v>3.5</v>
      </c>
      <c r="I424" s="32" t="s">
        <v>50</v>
      </c>
      <c r="J424" s="33">
        <v>4</v>
      </c>
      <c r="K424" s="34" t="s">
        <v>8</v>
      </c>
      <c r="L424" s="82">
        <v>125250</v>
      </c>
      <c r="M424" s="35">
        <v>6.7000000000000004E-2</v>
      </c>
    </row>
    <row r="425" spans="1:13" x14ac:dyDescent="0.25">
      <c r="A425" s="26">
        <v>871</v>
      </c>
      <c r="B425" s="26">
        <v>499565</v>
      </c>
      <c r="C425" s="27" t="s">
        <v>1332</v>
      </c>
      <c r="D425" s="27" t="str">
        <f>UPPER(C425)</f>
        <v>IGOL CIMENTACIONES CO            PL 18KG</v>
      </c>
      <c r="E425" s="28" t="s">
        <v>1331</v>
      </c>
      <c r="F425" s="29"/>
      <c r="G425" s="30"/>
      <c r="H425" s="31">
        <v>18</v>
      </c>
      <c r="I425" s="32" t="s">
        <v>50</v>
      </c>
      <c r="J425" s="33">
        <v>1</v>
      </c>
      <c r="K425" s="34" t="s">
        <v>8</v>
      </c>
      <c r="L425" s="82">
        <v>506950</v>
      </c>
      <c r="M425" s="35">
        <v>6.7000000000000004E-2</v>
      </c>
    </row>
    <row r="426" spans="1:13" x14ac:dyDescent="0.25">
      <c r="A426" s="26">
        <v>872</v>
      </c>
      <c r="B426" s="26">
        <v>499566</v>
      </c>
      <c r="C426" s="27" t="s">
        <v>1333</v>
      </c>
      <c r="D426" s="27" t="str">
        <f>UPPER(C426)</f>
        <v>IGOL CIMENTACIONES CO           DR 180KG</v>
      </c>
      <c r="E426" s="28" t="s">
        <v>1331</v>
      </c>
      <c r="F426" s="29"/>
      <c r="G426" s="30"/>
      <c r="H426" s="31">
        <v>180</v>
      </c>
      <c r="I426" s="32" t="s">
        <v>50</v>
      </c>
      <c r="J426" s="33">
        <v>1</v>
      </c>
      <c r="K426" s="34" t="s">
        <v>8</v>
      </c>
      <c r="L426" s="82">
        <v>4305400</v>
      </c>
      <c r="M426" s="35">
        <v>6.7000000000000004E-2</v>
      </c>
    </row>
    <row r="427" spans="1:13" x14ac:dyDescent="0.25">
      <c r="A427" s="91">
        <v>535</v>
      </c>
      <c r="B427" s="91">
        <v>499821</v>
      </c>
      <c r="C427" s="92" t="s">
        <v>931</v>
      </c>
      <c r="D427" s="121" t="str">
        <f>CONCATENATE(UPPER(C427),$D$3)</f>
        <v>SIKAPERMACOR SERIE-82 HS (A)BLAC.PL 3GAL "E"</v>
      </c>
      <c r="E427" s="93" t="s">
        <v>932</v>
      </c>
      <c r="F427" s="94"/>
      <c r="G427" s="95" t="s">
        <v>31</v>
      </c>
      <c r="H427" s="96">
        <v>3</v>
      </c>
      <c r="I427" s="97" t="s">
        <v>1443</v>
      </c>
      <c r="J427" s="98">
        <v>1</v>
      </c>
      <c r="K427" s="99" t="s">
        <v>8</v>
      </c>
      <c r="L427" s="82">
        <v>645800</v>
      </c>
      <c r="M427" s="100">
        <v>3.4999999999999996E-2</v>
      </c>
    </row>
    <row r="428" spans="1:13" x14ac:dyDescent="0.25">
      <c r="A428" s="26">
        <v>846</v>
      </c>
      <c r="B428" s="26">
        <v>502591</v>
      </c>
      <c r="C428" s="27" t="s">
        <v>1297</v>
      </c>
      <c r="D428" s="27" t="str">
        <f>UPPER(C428)</f>
        <v>SIKAHYFLEX-300 EU TRANSP.C505 /25 CTR300</v>
      </c>
      <c r="E428" s="28" t="s">
        <v>1298</v>
      </c>
      <c r="F428" s="29"/>
      <c r="G428" s="30" t="s">
        <v>25</v>
      </c>
      <c r="H428" s="31">
        <v>300</v>
      </c>
      <c r="I428" s="32" t="s">
        <v>1445</v>
      </c>
      <c r="J428" s="33">
        <v>25</v>
      </c>
      <c r="K428" s="34" t="s">
        <v>8</v>
      </c>
      <c r="L428" s="82">
        <v>56200</v>
      </c>
      <c r="M428" s="35">
        <v>9.2889621789630561E-2</v>
      </c>
    </row>
    <row r="429" spans="1:13" x14ac:dyDescent="0.25">
      <c r="A429" s="91">
        <v>507</v>
      </c>
      <c r="B429" s="91">
        <v>505305</v>
      </c>
      <c r="C429" s="92" t="s">
        <v>889</v>
      </c>
      <c r="D429" s="121" t="str">
        <f>CONCATENATE(UPPER(C429),$D$3)</f>
        <v>ESMALTE URETANO AR (A)RAL7035    PL 5GAL "E"</v>
      </c>
      <c r="E429" s="93" t="s">
        <v>885</v>
      </c>
      <c r="F429" s="94"/>
      <c r="G429" s="95" t="s">
        <v>63</v>
      </c>
      <c r="H429" s="96">
        <v>5</v>
      </c>
      <c r="I429" s="97" t="s">
        <v>1443</v>
      </c>
      <c r="J429" s="98">
        <v>1</v>
      </c>
      <c r="K429" s="99" t="s">
        <v>8</v>
      </c>
      <c r="L429" s="82">
        <v>1704150</v>
      </c>
      <c r="M429" s="100">
        <v>6.6000000000000003E-2</v>
      </c>
    </row>
    <row r="430" spans="1:13" x14ac:dyDescent="0.25">
      <c r="A430" s="91">
        <v>509</v>
      </c>
      <c r="B430" s="91">
        <v>505306</v>
      </c>
      <c r="C430" s="92" t="s">
        <v>891</v>
      </c>
      <c r="D430" s="121" t="str">
        <f>CONCATENATE(UPPER(C430),$D$3)</f>
        <v>ESMALTE URETANO AR (A)RAL9016    PL 5GAL "E"</v>
      </c>
      <c r="E430" s="93" t="s">
        <v>885</v>
      </c>
      <c r="F430" s="94"/>
      <c r="G430" s="95" t="s">
        <v>67</v>
      </c>
      <c r="H430" s="96">
        <v>5</v>
      </c>
      <c r="I430" s="97" t="s">
        <v>1443</v>
      </c>
      <c r="J430" s="98">
        <v>1</v>
      </c>
      <c r="K430" s="99" t="s">
        <v>8</v>
      </c>
      <c r="L430" s="82">
        <v>1688300</v>
      </c>
      <c r="M430" s="100">
        <v>6.6000000000000003E-2</v>
      </c>
    </row>
    <row r="431" spans="1:13" x14ac:dyDescent="0.25">
      <c r="A431" s="91">
        <v>505</v>
      </c>
      <c r="B431" s="91">
        <v>505308</v>
      </c>
      <c r="C431" s="92" t="s">
        <v>887</v>
      </c>
      <c r="D431" s="121" t="str">
        <f>CONCATENATE(UPPER(C431),$D$3)</f>
        <v>ESMALTE URETANO AR (A)RAL3001    PL 5GAL "E"</v>
      </c>
      <c r="E431" s="93" t="s">
        <v>885</v>
      </c>
      <c r="F431" s="94"/>
      <c r="G431" s="95" t="s">
        <v>103</v>
      </c>
      <c r="H431" s="96">
        <v>5</v>
      </c>
      <c r="I431" s="97" t="s">
        <v>1443</v>
      </c>
      <c r="J431" s="98">
        <v>1</v>
      </c>
      <c r="K431" s="99" t="s">
        <v>8</v>
      </c>
      <c r="L431" s="82">
        <v>2188250</v>
      </c>
      <c r="M431" s="100">
        <v>6.6000000000000003E-2</v>
      </c>
    </row>
    <row r="432" spans="1:13" x14ac:dyDescent="0.25">
      <c r="A432" s="91">
        <v>504</v>
      </c>
      <c r="B432" s="91">
        <v>505311</v>
      </c>
      <c r="C432" s="92" t="s">
        <v>886</v>
      </c>
      <c r="D432" s="121" t="str">
        <f>CONCATENATE(UPPER(C432),$D$3)</f>
        <v>ESMALTE URETANO AR (A)RAL1003    PL 5GAL "E"</v>
      </c>
      <c r="E432" s="93" t="s">
        <v>885</v>
      </c>
      <c r="F432" s="94"/>
      <c r="G432" s="95" t="s">
        <v>72</v>
      </c>
      <c r="H432" s="96">
        <v>5</v>
      </c>
      <c r="I432" s="97" t="s">
        <v>1443</v>
      </c>
      <c r="J432" s="98">
        <v>1</v>
      </c>
      <c r="K432" s="99" t="s">
        <v>8</v>
      </c>
      <c r="L432" s="82">
        <v>2076850</v>
      </c>
      <c r="M432" s="100">
        <v>6.6000000000000003E-2</v>
      </c>
    </row>
    <row r="433" spans="1:13" x14ac:dyDescent="0.25">
      <c r="A433" s="91">
        <v>503</v>
      </c>
      <c r="B433" s="91">
        <v>505312</v>
      </c>
      <c r="C433" s="92" t="s">
        <v>884</v>
      </c>
      <c r="D433" s="121" t="str">
        <f>CONCATENATE(UPPER(C433),$D$3)</f>
        <v>ESMALTE URETANO AR (B)           /4X1GAL "E"</v>
      </c>
      <c r="E433" s="93" t="s">
        <v>885</v>
      </c>
      <c r="F433" s="94"/>
      <c r="G433" s="95"/>
      <c r="H433" s="96">
        <v>1</v>
      </c>
      <c r="I433" s="97" t="s">
        <v>1443</v>
      </c>
      <c r="J433" s="98">
        <v>4</v>
      </c>
      <c r="K433" s="99" t="s">
        <v>8</v>
      </c>
      <c r="L433" s="82">
        <v>804450</v>
      </c>
      <c r="M433" s="100">
        <v>6.6000000000000003E-2</v>
      </c>
    </row>
    <row r="434" spans="1:13" x14ac:dyDescent="0.25">
      <c r="A434" s="26">
        <v>818</v>
      </c>
      <c r="B434" s="26">
        <v>505527</v>
      </c>
      <c r="C434" s="27" t="s">
        <v>1254</v>
      </c>
      <c r="D434" s="27" t="str">
        <f>UPPER(C434)</f>
        <v>SIKASELLO PUERTAS Y VENTAN.CO /12 CTR280</v>
      </c>
      <c r="E434" s="28" t="s">
        <v>1255</v>
      </c>
      <c r="F434" s="29"/>
      <c r="G434" s="30" t="s">
        <v>15</v>
      </c>
      <c r="H434" s="31">
        <v>280</v>
      </c>
      <c r="I434" s="32" t="s">
        <v>1445</v>
      </c>
      <c r="J434" s="33">
        <v>12</v>
      </c>
      <c r="K434" s="34" t="s">
        <v>8</v>
      </c>
      <c r="L434" s="82">
        <v>19050</v>
      </c>
      <c r="M434" s="35">
        <v>6.7000000000000004E-2</v>
      </c>
    </row>
    <row r="435" spans="1:13" x14ac:dyDescent="0.25">
      <c r="A435" s="26">
        <v>812</v>
      </c>
      <c r="B435" s="26">
        <v>505528</v>
      </c>
      <c r="C435" s="27" t="s">
        <v>1245</v>
      </c>
      <c r="D435" s="27" t="str">
        <f>UPPER(C435)</f>
        <v>SIKASELLO BANOS Y COCINAS CO  /12 CTR280</v>
      </c>
      <c r="E435" s="28" t="s">
        <v>1246</v>
      </c>
      <c r="F435" s="29"/>
      <c r="G435" s="30" t="s">
        <v>15</v>
      </c>
      <c r="H435" s="31">
        <v>280</v>
      </c>
      <c r="I435" s="32" t="s">
        <v>1445</v>
      </c>
      <c r="J435" s="33">
        <v>12</v>
      </c>
      <c r="K435" s="34" t="s">
        <v>8</v>
      </c>
      <c r="L435" s="82">
        <v>19600</v>
      </c>
      <c r="M435" s="35">
        <v>9.7000000000000003E-2</v>
      </c>
    </row>
    <row r="436" spans="1:13" x14ac:dyDescent="0.25">
      <c r="A436" s="26">
        <v>816</v>
      </c>
      <c r="B436" s="26">
        <v>505529</v>
      </c>
      <c r="C436" s="27" t="s">
        <v>1251</v>
      </c>
      <c r="D436" s="27" t="str">
        <f>UPPER(C436)</f>
        <v>SIKASELLO MULTIUSOS WHITE     /12 CTR280</v>
      </c>
      <c r="E436" s="28" t="s">
        <v>1248</v>
      </c>
      <c r="F436" s="48"/>
      <c r="G436" s="30" t="s">
        <v>15</v>
      </c>
      <c r="H436" s="31">
        <v>280</v>
      </c>
      <c r="I436" s="32" t="s">
        <v>1445</v>
      </c>
      <c r="J436" s="33">
        <v>12</v>
      </c>
      <c r="K436" s="34" t="s">
        <v>8</v>
      </c>
      <c r="L436" s="82">
        <v>16850</v>
      </c>
      <c r="M436" s="35">
        <v>9.7000000000000003E-2</v>
      </c>
    </row>
    <row r="437" spans="1:13" x14ac:dyDescent="0.25">
      <c r="A437" s="26">
        <v>817</v>
      </c>
      <c r="B437" s="26">
        <v>505530</v>
      </c>
      <c r="C437" s="27" t="s">
        <v>1252</v>
      </c>
      <c r="D437" s="27" t="str">
        <f>UPPER(C437)</f>
        <v>SIKASELLO PINTORES CO         /12 CTR280</v>
      </c>
      <c r="E437" s="28" t="s">
        <v>1253</v>
      </c>
      <c r="F437" s="29"/>
      <c r="G437" s="30" t="s">
        <v>15</v>
      </c>
      <c r="H437" s="31">
        <v>280</v>
      </c>
      <c r="I437" s="32" t="s">
        <v>1445</v>
      </c>
      <c r="J437" s="33">
        <v>12</v>
      </c>
      <c r="K437" s="34" t="s">
        <v>8</v>
      </c>
      <c r="L437" s="82">
        <v>19050</v>
      </c>
      <c r="M437" s="35">
        <v>6.7000000000000004E-2</v>
      </c>
    </row>
    <row r="438" spans="1:13" x14ac:dyDescent="0.25">
      <c r="A438" s="26">
        <v>419</v>
      </c>
      <c r="B438" s="26">
        <v>508615</v>
      </c>
      <c r="C438" s="27" t="s">
        <v>783</v>
      </c>
      <c r="D438" s="27" t="str">
        <f>UPPER(C438)</f>
        <v>SIKATOP ARMATEC-110EC (ABC) CO      20KG</v>
      </c>
      <c r="E438" s="28" t="s">
        <v>784</v>
      </c>
      <c r="F438" s="29"/>
      <c r="G438" s="30"/>
      <c r="H438" s="31">
        <v>20</v>
      </c>
      <c r="I438" s="32" t="s">
        <v>50</v>
      </c>
      <c r="J438" s="33">
        <v>1</v>
      </c>
      <c r="K438" s="34" t="s">
        <v>8</v>
      </c>
      <c r="L438" s="82">
        <v>1118600</v>
      </c>
      <c r="M438" s="35">
        <v>0.09</v>
      </c>
    </row>
    <row r="439" spans="1:13" x14ac:dyDescent="0.25">
      <c r="A439" s="91">
        <v>336</v>
      </c>
      <c r="B439" s="91">
        <v>510236</v>
      </c>
      <c r="C439" s="92" t="s">
        <v>667</v>
      </c>
      <c r="D439" s="121" t="str">
        <f>CONCATENATE(UPPER(C439),$D$3)</f>
        <v>SIKA ANCHORFIX STEELBRUSH 12MM HANDL.BAG "E"</v>
      </c>
      <c r="E439" s="93" t="s">
        <v>661</v>
      </c>
      <c r="F439" s="94"/>
      <c r="G439" s="95"/>
      <c r="H439" s="96">
        <v>1</v>
      </c>
      <c r="I439" s="97" t="s">
        <v>130</v>
      </c>
      <c r="J439" s="98">
        <v>1</v>
      </c>
      <c r="K439" s="99" t="s">
        <v>8</v>
      </c>
      <c r="L439" s="82">
        <v>125050</v>
      </c>
      <c r="M439" s="100">
        <v>8.199999999999999E-2</v>
      </c>
    </row>
    <row r="440" spans="1:13" x14ac:dyDescent="0.25">
      <c r="A440" s="26">
        <v>51</v>
      </c>
      <c r="B440" s="26">
        <v>511790</v>
      </c>
      <c r="C440" s="27" t="s">
        <v>250</v>
      </c>
      <c r="D440" s="27" t="str">
        <f t="shared" ref="D440:D445" si="23">UPPER(C440)</f>
        <v>SIKACERAM FLEX GREY CO           BG 25KG</v>
      </c>
      <c r="E440" s="28" t="s">
        <v>251</v>
      </c>
      <c r="F440" s="29"/>
      <c r="G440" s="30" t="s">
        <v>14</v>
      </c>
      <c r="H440" s="31">
        <v>25</v>
      </c>
      <c r="I440" s="32" t="s">
        <v>50</v>
      </c>
      <c r="J440" s="33">
        <v>1</v>
      </c>
      <c r="K440" s="34" t="s">
        <v>8</v>
      </c>
      <c r="L440" s="82">
        <v>213200</v>
      </c>
      <c r="M440" s="35">
        <v>9.4E-2</v>
      </c>
    </row>
    <row r="441" spans="1:13" x14ac:dyDescent="0.25">
      <c r="A441" s="26">
        <v>896</v>
      </c>
      <c r="B441" s="26">
        <v>512367</v>
      </c>
      <c r="C441" s="27" t="s">
        <v>1371</v>
      </c>
      <c r="D441" s="27" t="str">
        <f t="shared" si="23"/>
        <v>SIKAWATERBAR/CINTA PVC O-22 YEL(15M/R) M</v>
      </c>
      <c r="E441" s="28" t="s">
        <v>1372</v>
      </c>
      <c r="F441" s="29"/>
      <c r="G441" s="30" t="s">
        <v>167</v>
      </c>
      <c r="H441" s="31">
        <v>15</v>
      </c>
      <c r="I441" s="32" t="s">
        <v>106</v>
      </c>
      <c r="J441" s="33">
        <v>15</v>
      </c>
      <c r="K441" s="34" t="s">
        <v>106</v>
      </c>
      <c r="L441" s="82">
        <v>1360900</v>
      </c>
      <c r="M441" s="35">
        <v>6.7000000000000004E-2</v>
      </c>
    </row>
    <row r="442" spans="1:13" x14ac:dyDescent="0.25">
      <c r="A442" s="26">
        <v>894</v>
      </c>
      <c r="B442" s="26">
        <v>512368</v>
      </c>
      <c r="C442" s="27" t="s">
        <v>1367</v>
      </c>
      <c r="D442" s="27" t="str">
        <f t="shared" si="23"/>
        <v>SIKAWATERBAR/CINTA PVC AR-18 YEL(15M/R)M</v>
      </c>
      <c r="E442" s="28" t="s">
        <v>1368</v>
      </c>
      <c r="F442" s="29"/>
      <c r="G442" s="30" t="s">
        <v>167</v>
      </c>
      <c r="H442" s="31">
        <v>15</v>
      </c>
      <c r="I442" s="32" t="s">
        <v>106</v>
      </c>
      <c r="J442" s="33">
        <v>15</v>
      </c>
      <c r="K442" s="34" t="s">
        <v>106</v>
      </c>
      <c r="L442" s="82">
        <v>1537300</v>
      </c>
      <c r="M442" s="35">
        <v>6.7000000000000004E-2</v>
      </c>
    </row>
    <row r="443" spans="1:13" x14ac:dyDescent="0.25">
      <c r="A443" s="26">
        <v>895</v>
      </c>
      <c r="B443" s="26">
        <v>512369</v>
      </c>
      <c r="C443" s="27" t="s">
        <v>1369</v>
      </c>
      <c r="D443" s="27" t="str">
        <f t="shared" si="23"/>
        <v>SIKAWATERBAR/CINTA PVC O-15 YEL(15M/R) M</v>
      </c>
      <c r="E443" s="28" t="s">
        <v>1370</v>
      </c>
      <c r="F443" s="29"/>
      <c r="G443" s="30" t="s">
        <v>167</v>
      </c>
      <c r="H443" s="31">
        <v>15</v>
      </c>
      <c r="I443" s="32" t="s">
        <v>106</v>
      </c>
      <c r="J443" s="33">
        <v>15</v>
      </c>
      <c r="K443" s="34" t="s">
        <v>106</v>
      </c>
      <c r="L443" s="82">
        <v>1212500</v>
      </c>
      <c r="M443" s="35">
        <v>6.7000000000000004E-2</v>
      </c>
    </row>
    <row r="444" spans="1:13" x14ac:dyDescent="0.25">
      <c r="A444" s="26">
        <v>898</v>
      </c>
      <c r="B444" s="26">
        <v>512370</v>
      </c>
      <c r="C444" s="27" t="s">
        <v>1375</v>
      </c>
      <c r="D444" s="27" t="str">
        <f t="shared" si="23"/>
        <v>SIKAWATERBAR/CINTA PVC V-15 YEL(30M/R) M</v>
      </c>
      <c r="E444" s="28" t="s">
        <v>1376</v>
      </c>
      <c r="F444" s="29"/>
      <c r="G444" s="30" t="s">
        <v>168</v>
      </c>
      <c r="H444" s="31">
        <v>30</v>
      </c>
      <c r="I444" s="32" t="s">
        <v>106</v>
      </c>
      <c r="J444" s="33">
        <v>30</v>
      </c>
      <c r="K444" s="34" t="s">
        <v>106</v>
      </c>
      <c r="L444" s="82">
        <v>1643650</v>
      </c>
      <c r="M444" s="35">
        <v>6.7000000000000004E-2</v>
      </c>
    </row>
    <row r="445" spans="1:13" x14ac:dyDescent="0.25">
      <c r="A445" s="26">
        <v>897</v>
      </c>
      <c r="B445" s="26">
        <v>512371</v>
      </c>
      <c r="C445" s="27" t="s">
        <v>1373</v>
      </c>
      <c r="D445" s="27" t="str">
        <f t="shared" si="23"/>
        <v>SIKAWATERBAR/CINTA PVC V-10 YEL(30M/R) M</v>
      </c>
      <c r="E445" s="28" t="s">
        <v>1374</v>
      </c>
      <c r="F445" s="29"/>
      <c r="G445" s="30" t="s">
        <v>168</v>
      </c>
      <c r="H445" s="31">
        <v>30</v>
      </c>
      <c r="I445" s="32" t="s">
        <v>106</v>
      </c>
      <c r="J445" s="33">
        <v>30</v>
      </c>
      <c r="K445" s="34" t="s">
        <v>106</v>
      </c>
      <c r="L445" s="82">
        <v>923850</v>
      </c>
      <c r="M445" s="35">
        <v>6.7000000000000004E-2</v>
      </c>
    </row>
    <row r="446" spans="1:13" x14ac:dyDescent="0.25">
      <c r="A446" s="91">
        <v>508</v>
      </c>
      <c r="B446" s="91">
        <v>512375</v>
      </c>
      <c r="C446" s="92" t="s">
        <v>890</v>
      </c>
      <c r="D446" s="121" t="str">
        <f>CONCATENATE(UPPER(C446),$D$3)</f>
        <v>ESMALTE URETANO AR (A)RAL9003    PL 5GAL "E"</v>
      </c>
      <c r="E446" s="93" t="s">
        <v>885</v>
      </c>
      <c r="F446" s="94"/>
      <c r="G446" s="95" t="s">
        <v>99</v>
      </c>
      <c r="H446" s="96">
        <v>5</v>
      </c>
      <c r="I446" s="97" t="s">
        <v>1443</v>
      </c>
      <c r="J446" s="98">
        <v>1</v>
      </c>
      <c r="K446" s="99" t="s">
        <v>8</v>
      </c>
      <c r="L446" s="82">
        <v>1785400</v>
      </c>
      <c r="M446" s="100">
        <v>6.6000000000000003E-2</v>
      </c>
    </row>
    <row r="447" spans="1:13" x14ac:dyDescent="0.25">
      <c r="A447" s="26">
        <v>847</v>
      </c>
      <c r="B447" s="26">
        <v>513542</v>
      </c>
      <c r="C447" s="27" t="s">
        <v>1299</v>
      </c>
      <c r="D447" s="27" t="str">
        <f t="shared" ref="D447:D457" si="24">UPPER(C447)</f>
        <v>SIKAHYFLEX-305EU GREYS1 C505  /25 CTR300</v>
      </c>
      <c r="E447" s="28" t="s">
        <v>1300</v>
      </c>
      <c r="F447" s="29"/>
      <c r="G447" s="30"/>
      <c r="H447" s="31">
        <v>300</v>
      </c>
      <c r="I447" s="32" t="s">
        <v>1445</v>
      </c>
      <c r="J447" s="33">
        <v>25</v>
      </c>
      <c r="K447" s="34" t="s">
        <v>8</v>
      </c>
      <c r="L447" s="82">
        <v>56200</v>
      </c>
      <c r="M447" s="35">
        <v>9.2889621789630561E-2</v>
      </c>
    </row>
    <row r="448" spans="1:13" x14ac:dyDescent="0.25">
      <c r="A448" s="26">
        <v>738</v>
      </c>
      <c r="B448" s="26">
        <v>516649</v>
      </c>
      <c r="C448" s="27" t="s">
        <v>1158</v>
      </c>
      <c r="D448" s="27" t="str">
        <f t="shared" si="24"/>
        <v>SIKAFILL-12 POWER WHITE         /4X4,4KG</v>
      </c>
      <c r="E448" s="28" t="s">
        <v>1155</v>
      </c>
      <c r="F448" s="29"/>
      <c r="G448" s="30" t="s">
        <v>15</v>
      </c>
      <c r="H448" s="31">
        <v>4.4000000000000004</v>
      </c>
      <c r="I448" s="32" t="s">
        <v>50</v>
      </c>
      <c r="J448" s="33">
        <v>4</v>
      </c>
      <c r="K448" s="34" t="s">
        <v>8</v>
      </c>
      <c r="L448" s="82">
        <v>115600</v>
      </c>
      <c r="M448" s="35">
        <v>9.2499999999999999E-2</v>
      </c>
    </row>
    <row r="449" spans="1:13" x14ac:dyDescent="0.25">
      <c r="A449" s="26">
        <v>736</v>
      </c>
      <c r="B449" s="26">
        <v>516683</v>
      </c>
      <c r="C449" s="27" t="s">
        <v>1156</v>
      </c>
      <c r="D449" s="27" t="str">
        <f t="shared" si="24"/>
        <v>SIKAFILL-12 POWER GREY          /4X4,4KG</v>
      </c>
      <c r="E449" s="28" t="s">
        <v>1155</v>
      </c>
      <c r="F449" s="29"/>
      <c r="G449" s="30" t="s">
        <v>14</v>
      </c>
      <c r="H449" s="31">
        <v>4.4000000000000004</v>
      </c>
      <c r="I449" s="32" t="s">
        <v>50</v>
      </c>
      <c r="J449" s="33">
        <v>4</v>
      </c>
      <c r="K449" s="34" t="s">
        <v>8</v>
      </c>
      <c r="L449" s="82">
        <v>117750</v>
      </c>
      <c r="M449" s="35">
        <v>9.2499999999999999E-2</v>
      </c>
    </row>
    <row r="450" spans="1:13" x14ac:dyDescent="0.25">
      <c r="A450" s="26">
        <v>737</v>
      </c>
      <c r="B450" s="26">
        <v>516684</v>
      </c>
      <c r="C450" s="27" t="s">
        <v>1157</v>
      </c>
      <c r="D450" s="27" t="str">
        <f t="shared" si="24"/>
        <v>SIKAFILL-12 POWER RED           /4X4,4KG</v>
      </c>
      <c r="E450" s="28" t="s">
        <v>1155</v>
      </c>
      <c r="F450" s="29"/>
      <c r="G450" s="30" t="s">
        <v>48</v>
      </c>
      <c r="H450" s="31">
        <v>4.4000000000000004</v>
      </c>
      <c r="I450" s="32" t="s">
        <v>50</v>
      </c>
      <c r="J450" s="33">
        <v>4</v>
      </c>
      <c r="K450" s="34" t="s">
        <v>8</v>
      </c>
      <c r="L450" s="82">
        <v>115600</v>
      </c>
      <c r="M450" s="35">
        <v>9.2499999999999999E-2</v>
      </c>
    </row>
    <row r="451" spans="1:13" x14ac:dyDescent="0.25">
      <c r="A451" s="26">
        <v>735</v>
      </c>
      <c r="B451" s="26">
        <v>516686</v>
      </c>
      <c r="C451" s="27" t="s">
        <v>1154</v>
      </c>
      <c r="D451" s="27" t="str">
        <f t="shared" si="24"/>
        <v>SIKAFILL-12 POWER GREEN         /4X4,4KG</v>
      </c>
      <c r="E451" s="28" t="s">
        <v>1155</v>
      </c>
      <c r="F451" s="29"/>
      <c r="G451" s="30" t="s">
        <v>110</v>
      </c>
      <c r="H451" s="31">
        <v>4.4000000000000004</v>
      </c>
      <c r="I451" s="32" t="s">
        <v>50</v>
      </c>
      <c r="J451" s="33">
        <v>4</v>
      </c>
      <c r="K451" s="34" t="s">
        <v>8</v>
      </c>
      <c r="L451" s="82">
        <v>117750</v>
      </c>
      <c r="M451" s="35">
        <v>9.2499999999999999E-2</v>
      </c>
    </row>
    <row r="452" spans="1:13" x14ac:dyDescent="0.25">
      <c r="A452" s="26">
        <v>746</v>
      </c>
      <c r="B452" s="26">
        <v>516687</v>
      </c>
      <c r="C452" s="27" t="s">
        <v>1166</v>
      </c>
      <c r="D452" s="27" t="str">
        <f t="shared" si="24"/>
        <v>SIKAFILL-12 POWER WHITE         DR 230KG</v>
      </c>
      <c r="E452" s="28" t="s">
        <v>1155</v>
      </c>
      <c r="F452" s="29"/>
      <c r="G452" s="30" t="s">
        <v>15</v>
      </c>
      <c r="H452" s="31">
        <v>230</v>
      </c>
      <c r="I452" s="32" t="s">
        <v>50</v>
      </c>
      <c r="J452" s="33">
        <v>1</v>
      </c>
      <c r="K452" s="34" t="s">
        <v>8</v>
      </c>
      <c r="L452" s="82">
        <v>4602750</v>
      </c>
      <c r="M452" s="35">
        <v>0.1125</v>
      </c>
    </row>
    <row r="453" spans="1:13" x14ac:dyDescent="0.25">
      <c r="A453" s="26">
        <v>744</v>
      </c>
      <c r="B453" s="26">
        <v>516689</v>
      </c>
      <c r="C453" s="27" t="s">
        <v>1164</v>
      </c>
      <c r="D453" s="27" t="str">
        <f t="shared" si="24"/>
        <v>SIKAFILL-12 POWER GREY          DR 230KG</v>
      </c>
      <c r="E453" s="28" t="s">
        <v>1155</v>
      </c>
      <c r="F453" s="29"/>
      <c r="G453" s="30" t="s">
        <v>14</v>
      </c>
      <c r="H453" s="31">
        <v>230</v>
      </c>
      <c r="I453" s="32" t="s">
        <v>50</v>
      </c>
      <c r="J453" s="33">
        <v>1</v>
      </c>
      <c r="K453" s="34" t="s">
        <v>8</v>
      </c>
      <c r="L453" s="82">
        <v>4602750</v>
      </c>
      <c r="M453" s="35">
        <v>0.1125</v>
      </c>
    </row>
    <row r="454" spans="1:13" x14ac:dyDescent="0.25">
      <c r="A454" s="26">
        <v>745</v>
      </c>
      <c r="B454" s="26">
        <v>516711</v>
      </c>
      <c r="C454" s="27" t="s">
        <v>1165</v>
      </c>
      <c r="D454" s="27" t="str">
        <f t="shared" si="24"/>
        <v>SIKAFILL-12 POWER RED           DR 230KG</v>
      </c>
      <c r="E454" s="28" t="s">
        <v>1155</v>
      </c>
      <c r="F454" s="29"/>
      <c r="G454" s="30" t="s">
        <v>48</v>
      </c>
      <c r="H454" s="31">
        <v>230</v>
      </c>
      <c r="I454" s="32" t="s">
        <v>50</v>
      </c>
      <c r="J454" s="33">
        <v>1</v>
      </c>
      <c r="K454" s="34" t="s">
        <v>8</v>
      </c>
      <c r="L454" s="82">
        <v>4602750</v>
      </c>
      <c r="M454" s="35">
        <v>0.1125</v>
      </c>
    </row>
    <row r="455" spans="1:13" x14ac:dyDescent="0.25">
      <c r="A455" s="26">
        <v>743</v>
      </c>
      <c r="B455" s="26">
        <v>516712</v>
      </c>
      <c r="C455" s="27" t="s">
        <v>1163</v>
      </c>
      <c r="D455" s="27" t="str">
        <f t="shared" si="24"/>
        <v>SIKAFILL-12 POWER GREEN         DR 230KG</v>
      </c>
      <c r="E455" s="28" t="s">
        <v>1155</v>
      </c>
      <c r="F455" s="29"/>
      <c r="G455" s="30" t="s">
        <v>110</v>
      </c>
      <c r="H455" s="31">
        <v>230</v>
      </c>
      <c r="I455" s="32" t="s">
        <v>50</v>
      </c>
      <c r="J455" s="33">
        <v>1</v>
      </c>
      <c r="K455" s="34" t="s">
        <v>8</v>
      </c>
      <c r="L455" s="82">
        <v>4602750</v>
      </c>
      <c r="M455" s="35">
        <v>0.1125</v>
      </c>
    </row>
    <row r="456" spans="1:13" x14ac:dyDescent="0.25">
      <c r="A456" s="26">
        <v>9</v>
      </c>
      <c r="B456" s="26">
        <v>518036</v>
      </c>
      <c r="C456" s="27" t="s">
        <v>196</v>
      </c>
      <c r="D456" s="27" t="str">
        <f t="shared" si="24"/>
        <v>PEGA ENCHAPE SIKA WHITE          BG 25KG</v>
      </c>
      <c r="E456" s="28" t="s">
        <v>194</v>
      </c>
      <c r="F456" s="29"/>
      <c r="G456" s="30" t="s">
        <v>15</v>
      </c>
      <c r="H456" s="31">
        <v>25</v>
      </c>
      <c r="I456" s="32" t="s">
        <v>50</v>
      </c>
      <c r="J456" s="33">
        <v>1</v>
      </c>
      <c r="K456" s="34" t="s">
        <v>8</v>
      </c>
      <c r="L456" s="82">
        <v>37500</v>
      </c>
      <c r="M456" s="35">
        <v>9.4E-2</v>
      </c>
    </row>
    <row r="457" spans="1:13" x14ac:dyDescent="0.25">
      <c r="A457" s="26">
        <v>11</v>
      </c>
      <c r="B457" s="26">
        <v>518037</v>
      </c>
      <c r="C457" s="27" t="s">
        <v>198</v>
      </c>
      <c r="D457" s="27" t="str">
        <f t="shared" si="24"/>
        <v>PEGA ENCHAPE SIKA WHITE          BG 50KG</v>
      </c>
      <c r="E457" s="28" t="s">
        <v>194</v>
      </c>
      <c r="F457" s="29"/>
      <c r="G457" s="30" t="s">
        <v>15</v>
      </c>
      <c r="H457" s="31">
        <v>50</v>
      </c>
      <c r="I457" s="32" t="s">
        <v>50</v>
      </c>
      <c r="J457" s="33">
        <v>1</v>
      </c>
      <c r="K457" s="34" t="s">
        <v>8</v>
      </c>
      <c r="L457" s="82">
        <v>71650</v>
      </c>
      <c r="M457" s="35">
        <v>9.4E-2</v>
      </c>
    </row>
    <row r="458" spans="1:13" x14ac:dyDescent="0.25">
      <c r="A458" s="91">
        <v>510</v>
      </c>
      <c r="B458" s="91">
        <v>518038</v>
      </c>
      <c r="C458" s="92" t="s">
        <v>892</v>
      </c>
      <c r="D458" s="121" t="str">
        <f>CONCATENATE(UPPER(C458),$D$3)</f>
        <v>ESMALTE URETANO AR (A)VERD.ARGOS PL 5GAL "E"</v>
      </c>
      <c r="E458" s="93" t="s">
        <v>885</v>
      </c>
      <c r="F458" s="94"/>
      <c r="G458" s="95" t="s">
        <v>104</v>
      </c>
      <c r="H458" s="96">
        <v>5</v>
      </c>
      <c r="I458" s="97" t="s">
        <v>1443</v>
      </c>
      <c r="J458" s="98">
        <v>1</v>
      </c>
      <c r="K458" s="99" t="s">
        <v>8</v>
      </c>
      <c r="L458" s="82">
        <v>1789000</v>
      </c>
      <c r="M458" s="100">
        <v>6.6000000000000003E-2</v>
      </c>
    </row>
    <row r="459" spans="1:13" x14ac:dyDescent="0.25">
      <c r="A459" s="91">
        <v>337</v>
      </c>
      <c r="B459" s="91">
        <v>518328</v>
      </c>
      <c r="C459" s="92" t="s">
        <v>668</v>
      </c>
      <c r="D459" s="121" t="str">
        <f>CONCATENATE(UPPER(C459),$D$3)</f>
        <v>SIKA ANCHORFIX EX.TU.(14X300MM)(10PC)BAG "E"</v>
      </c>
      <c r="E459" s="93" t="s">
        <v>669</v>
      </c>
      <c r="F459" s="94"/>
      <c r="G459" s="95"/>
      <c r="H459" s="96">
        <v>10</v>
      </c>
      <c r="I459" s="97" t="s">
        <v>130</v>
      </c>
      <c r="J459" s="98">
        <v>1</v>
      </c>
      <c r="K459" s="99" t="s">
        <v>8</v>
      </c>
      <c r="L459" s="82">
        <v>191700</v>
      </c>
      <c r="M459" s="100">
        <v>8.199999999999999E-2</v>
      </c>
    </row>
    <row r="460" spans="1:13" x14ac:dyDescent="0.25">
      <c r="A460" s="26">
        <v>922</v>
      </c>
      <c r="B460" s="26">
        <v>519722</v>
      </c>
      <c r="C460" s="27" t="s">
        <v>1405</v>
      </c>
      <c r="D460" s="27" t="str">
        <f t="shared" ref="D460:D471" si="25">UPPER(C460)</f>
        <v>SIKA-101 MORTERO PLUS WHITE      BG 25KG</v>
      </c>
      <c r="E460" s="28" t="s">
        <v>1400</v>
      </c>
      <c r="F460" s="29"/>
      <c r="G460" s="30" t="s">
        <v>15</v>
      </c>
      <c r="H460" s="31">
        <v>25</v>
      </c>
      <c r="I460" s="32" t="s">
        <v>50</v>
      </c>
      <c r="J460" s="33">
        <v>1</v>
      </c>
      <c r="K460" s="34" t="s">
        <v>8</v>
      </c>
      <c r="L460" s="82">
        <v>201550</v>
      </c>
      <c r="M460" s="35">
        <v>9.7000000000000003E-2</v>
      </c>
    </row>
    <row r="461" spans="1:13" x14ac:dyDescent="0.25">
      <c r="A461" s="26">
        <v>921</v>
      </c>
      <c r="B461" s="26">
        <v>519723</v>
      </c>
      <c r="C461" s="27" t="s">
        <v>1404</v>
      </c>
      <c r="D461" s="27" t="str">
        <f t="shared" si="25"/>
        <v>SIKA-101 MORTERO PLUS GREY       BG 25KG</v>
      </c>
      <c r="E461" s="28" t="s">
        <v>1400</v>
      </c>
      <c r="F461" s="29"/>
      <c r="G461" s="30" t="s">
        <v>14</v>
      </c>
      <c r="H461" s="31">
        <v>25</v>
      </c>
      <c r="I461" s="32" t="s">
        <v>50</v>
      </c>
      <c r="J461" s="33">
        <v>1</v>
      </c>
      <c r="K461" s="34" t="s">
        <v>8</v>
      </c>
      <c r="L461" s="82">
        <v>153600</v>
      </c>
      <c r="M461" s="35">
        <v>9.7000000000000003E-2</v>
      </c>
    </row>
    <row r="462" spans="1:13" x14ac:dyDescent="0.25">
      <c r="A462" s="26">
        <v>924</v>
      </c>
      <c r="B462" s="26">
        <v>519724</v>
      </c>
      <c r="C462" s="27" t="s">
        <v>1407</v>
      </c>
      <c r="D462" s="27" t="str">
        <f t="shared" si="25"/>
        <v>SIKA-101 MORTERO PLUS WHITE      BG 50KG</v>
      </c>
      <c r="E462" s="28" t="s">
        <v>1400</v>
      </c>
      <c r="F462" s="29"/>
      <c r="G462" s="30" t="s">
        <v>15</v>
      </c>
      <c r="H462" s="31">
        <v>50</v>
      </c>
      <c r="I462" s="32" t="s">
        <v>50</v>
      </c>
      <c r="J462" s="33">
        <v>1</v>
      </c>
      <c r="K462" s="34" t="s">
        <v>8</v>
      </c>
      <c r="L462" s="82">
        <v>269800</v>
      </c>
      <c r="M462" s="35">
        <v>9.7000000000000003E-2</v>
      </c>
    </row>
    <row r="463" spans="1:13" x14ac:dyDescent="0.25">
      <c r="A463" s="26">
        <v>923</v>
      </c>
      <c r="B463" s="26">
        <v>519725</v>
      </c>
      <c r="C463" s="27" t="s">
        <v>1406</v>
      </c>
      <c r="D463" s="27" t="str">
        <f t="shared" si="25"/>
        <v>SIKA-101 MORTERO PLUS GREY       BG 50KG</v>
      </c>
      <c r="E463" s="28" t="s">
        <v>1400</v>
      </c>
      <c r="F463" s="29"/>
      <c r="G463" s="30" t="s">
        <v>14</v>
      </c>
      <c r="H463" s="31">
        <v>50</v>
      </c>
      <c r="I463" s="32" t="s">
        <v>50</v>
      </c>
      <c r="J463" s="33">
        <v>1</v>
      </c>
      <c r="K463" s="34" t="s">
        <v>8</v>
      </c>
      <c r="L463" s="82">
        <v>217250</v>
      </c>
      <c r="M463" s="35">
        <v>9.7000000000000003E-2</v>
      </c>
    </row>
    <row r="464" spans="1:13" x14ac:dyDescent="0.25">
      <c r="A464" s="26">
        <v>918</v>
      </c>
      <c r="B464" s="26">
        <v>519726</v>
      </c>
      <c r="C464" s="27" t="s">
        <v>1401</v>
      </c>
      <c r="D464" s="27" t="str">
        <f t="shared" si="25"/>
        <v>SIKA-101 MORTERO PLUS WHITE      /20X2KG</v>
      </c>
      <c r="E464" s="28" t="s">
        <v>1400</v>
      </c>
      <c r="F464" s="29"/>
      <c r="G464" s="30" t="s">
        <v>15</v>
      </c>
      <c r="H464" s="31">
        <v>2</v>
      </c>
      <c r="I464" s="32" t="s">
        <v>50</v>
      </c>
      <c r="J464" s="33">
        <v>20</v>
      </c>
      <c r="K464" s="34" t="s">
        <v>8</v>
      </c>
      <c r="L464" s="82">
        <v>23850</v>
      </c>
      <c r="M464" s="35">
        <v>9.7000000000000003E-2</v>
      </c>
    </row>
    <row r="465" spans="1:13" x14ac:dyDescent="0.25">
      <c r="A465" s="26">
        <v>917</v>
      </c>
      <c r="B465" s="26">
        <v>519727</v>
      </c>
      <c r="C465" s="27" t="s">
        <v>1399</v>
      </c>
      <c r="D465" s="27" t="str">
        <f t="shared" si="25"/>
        <v>SIKA-101 MORTERO PLUS GREY       /20X2KG</v>
      </c>
      <c r="E465" s="28" t="s">
        <v>1400</v>
      </c>
      <c r="F465" s="29"/>
      <c r="G465" s="30" t="s">
        <v>14</v>
      </c>
      <c r="H465" s="31">
        <v>2</v>
      </c>
      <c r="I465" s="32" t="s">
        <v>50</v>
      </c>
      <c r="J465" s="33">
        <v>20</v>
      </c>
      <c r="K465" s="34" t="s">
        <v>8</v>
      </c>
      <c r="L465" s="82">
        <v>19700</v>
      </c>
      <c r="M465" s="35">
        <v>9.7000000000000003E-2</v>
      </c>
    </row>
    <row r="466" spans="1:13" x14ac:dyDescent="0.25">
      <c r="A466" s="26">
        <v>919</v>
      </c>
      <c r="B466" s="26">
        <v>519728</v>
      </c>
      <c r="C466" s="27" t="s">
        <v>1402</v>
      </c>
      <c r="D466" s="27" t="str">
        <f t="shared" si="25"/>
        <v>SIKA-101 MORTERO PLUS GREY       /3X10KG</v>
      </c>
      <c r="E466" s="28" t="s">
        <v>1400</v>
      </c>
      <c r="F466" s="29"/>
      <c r="G466" s="30" t="s">
        <v>14</v>
      </c>
      <c r="H466" s="31">
        <v>10</v>
      </c>
      <c r="I466" s="32" t="s">
        <v>50</v>
      </c>
      <c r="J466" s="33">
        <v>3</v>
      </c>
      <c r="K466" s="34" t="s">
        <v>8</v>
      </c>
      <c r="L466" s="82">
        <v>84450</v>
      </c>
      <c r="M466" s="35">
        <v>9.7000000000000003E-2</v>
      </c>
    </row>
    <row r="467" spans="1:13" x14ac:dyDescent="0.25">
      <c r="A467" s="26">
        <v>920</v>
      </c>
      <c r="B467" s="26">
        <v>519729</v>
      </c>
      <c r="C467" s="27" t="s">
        <v>1403</v>
      </c>
      <c r="D467" s="27" t="str">
        <f t="shared" si="25"/>
        <v>SIKA-101 MORTERO PLUS WHITE      /3X10KG</v>
      </c>
      <c r="E467" s="28" t="s">
        <v>1400</v>
      </c>
      <c r="F467" s="29"/>
      <c r="G467" s="30" t="s">
        <v>15</v>
      </c>
      <c r="H467" s="31">
        <v>10</v>
      </c>
      <c r="I467" s="32" t="s">
        <v>50</v>
      </c>
      <c r="J467" s="33">
        <v>3</v>
      </c>
      <c r="K467" s="34" t="s">
        <v>8</v>
      </c>
      <c r="L467" s="82">
        <v>98300</v>
      </c>
      <c r="M467" s="35">
        <v>9.7000000000000003E-2</v>
      </c>
    </row>
    <row r="468" spans="1:13" x14ac:dyDescent="0.25">
      <c r="A468" s="26">
        <v>248</v>
      </c>
      <c r="B468" s="26">
        <v>519746</v>
      </c>
      <c r="C468" s="27" t="s">
        <v>532</v>
      </c>
      <c r="D468" s="27" t="str">
        <f t="shared" si="25"/>
        <v>SIKACONTROL-50 CO              TANKER KG</v>
      </c>
      <c r="E468" s="28" t="s">
        <v>533</v>
      </c>
      <c r="F468" s="29"/>
      <c r="G468" s="30"/>
      <c r="H468" s="31">
        <v>1</v>
      </c>
      <c r="I468" s="32" t="s">
        <v>50</v>
      </c>
      <c r="J468" s="33">
        <v>1</v>
      </c>
      <c r="K468" s="34" t="s">
        <v>8</v>
      </c>
      <c r="L468" s="82">
        <v>57400</v>
      </c>
      <c r="M468" s="35">
        <v>9.9999999999999992E-2</v>
      </c>
    </row>
    <row r="469" spans="1:13" x14ac:dyDescent="0.25">
      <c r="A469" s="26">
        <v>836</v>
      </c>
      <c r="B469" s="26">
        <v>519956</v>
      </c>
      <c r="C469" s="27" t="s">
        <v>1282</v>
      </c>
      <c r="D469" s="27" t="str">
        <f t="shared" si="25"/>
        <v>SIKAFLEX-401 PAVEMENT SL         PL 5GAL</v>
      </c>
      <c r="E469" s="28" t="s">
        <v>1280</v>
      </c>
      <c r="F469" s="29"/>
      <c r="G469" s="30"/>
      <c r="H469" s="31">
        <v>5</v>
      </c>
      <c r="I469" s="32" t="s">
        <v>1443</v>
      </c>
      <c r="J469" s="33">
        <v>1</v>
      </c>
      <c r="K469" s="34" t="s">
        <v>8</v>
      </c>
      <c r="L469" s="82">
        <v>1787500</v>
      </c>
      <c r="M469" s="35">
        <v>6.7000000000000004E-2</v>
      </c>
    </row>
    <row r="470" spans="1:13" x14ac:dyDescent="0.25">
      <c r="A470" s="26">
        <v>834</v>
      </c>
      <c r="B470" s="26">
        <v>519963</v>
      </c>
      <c r="C470" s="27" t="s">
        <v>1279</v>
      </c>
      <c r="D470" s="27" t="str">
        <f t="shared" si="25"/>
        <v>SIKAFLEX-401 PAVEMENT SL         PL 1GAL</v>
      </c>
      <c r="E470" s="28" t="s">
        <v>1280</v>
      </c>
      <c r="F470" s="29"/>
      <c r="G470" s="30" t="s">
        <v>14</v>
      </c>
      <c r="H470" s="31">
        <v>1</v>
      </c>
      <c r="I470" s="32" t="s">
        <v>1443</v>
      </c>
      <c r="J470" s="33">
        <v>4</v>
      </c>
      <c r="K470" s="34" t="s">
        <v>8</v>
      </c>
      <c r="L470" s="82">
        <v>460600</v>
      </c>
      <c r="M470" s="35">
        <v>6.7000000000000004E-2</v>
      </c>
    </row>
    <row r="471" spans="1:13" x14ac:dyDescent="0.25">
      <c r="A471" s="26">
        <v>115</v>
      </c>
      <c r="B471" s="26">
        <v>520642</v>
      </c>
      <c r="C471" s="27" t="s">
        <v>331</v>
      </c>
      <c r="D471" s="27" t="str">
        <f t="shared" si="25"/>
        <v>SIKAWALL PEGA PLACA              BG 25KG</v>
      </c>
      <c r="E471" s="28" t="s">
        <v>332</v>
      </c>
      <c r="F471" s="29"/>
      <c r="G471" s="30"/>
      <c r="H471" s="31">
        <v>25</v>
      </c>
      <c r="I471" s="32" t="s">
        <v>50</v>
      </c>
      <c r="J471" s="33">
        <v>1</v>
      </c>
      <c r="K471" s="34" t="s">
        <v>8</v>
      </c>
      <c r="L471" s="82">
        <v>122850</v>
      </c>
      <c r="M471" s="35">
        <v>6.4000000000000001E-2</v>
      </c>
    </row>
    <row r="472" spans="1:13" x14ac:dyDescent="0.25">
      <c r="A472" s="91">
        <v>338</v>
      </c>
      <c r="B472" s="91">
        <v>520923</v>
      </c>
      <c r="C472" s="92" t="s">
        <v>670</v>
      </c>
      <c r="D472" s="121" t="str">
        <f>CONCATENATE(UPPER(C472),$D$3)</f>
        <v>SIKA ANCHORFIX EX.TUBE(9X300MM)(10PC)BAG "E"</v>
      </c>
      <c r="E472" s="93" t="s">
        <v>669</v>
      </c>
      <c r="F472" s="94"/>
      <c r="G472" s="95"/>
      <c r="H472" s="96">
        <v>10</v>
      </c>
      <c r="I472" s="97" t="s">
        <v>130</v>
      </c>
      <c r="J472" s="98">
        <v>1</v>
      </c>
      <c r="K472" s="99" t="s">
        <v>8</v>
      </c>
      <c r="L472" s="82">
        <v>175550</v>
      </c>
      <c r="M472" s="100">
        <v>8.199999999999999E-2</v>
      </c>
    </row>
    <row r="473" spans="1:13" x14ac:dyDescent="0.25">
      <c r="A473" s="91">
        <v>707</v>
      </c>
      <c r="B473" s="91">
        <v>521039</v>
      </c>
      <c r="C473" s="92" t="s">
        <v>1121</v>
      </c>
      <c r="D473" s="121" t="str">
        <f>CONCATENATE(UPPER(C473),$D$3)</f>
        <v>SARNACOL-2130                    PL 25KG "E"</v>
      </c>
      <c r="E473" s="93" t="s">
        <v>1122</v>
      </c>
      <c r="F473" s="94"/>
      <c r="G473" s="95"/>
      <c r="H473" s="96">
        <v>25</v>
      </c>
      <c r="I473" s="97" t="s">
        <v>50</v>
      </c>
      <c r="J473" s="98">
        <v>1</v>
      </c>
      <c r="K473" s="99" t="s">
        <v>8</v>
      </c>
      <c r="L473" s="82">
        <v>834100</v>
      </c>
      <c r="M473" s="100">
        <v>7.2499999999999995E-2</v>
      </c>
    </row>
    <row r="474" spans="1:13" x14ac:dyDescent="0.25">
      <c r="A474" s="91">
        <v>708</v>
      </c>
      <c r="B474" s="91">
        <v>521060</v>
      </c>
      <c r="C474" s="92" t="s">
        <v>1123</v>
      </c>
      <c r="D474" s="121" t="str">
        <f>CONCATENATE(UPPER(C474),$D$3)</f>
        <v>SARNACOL-2130                   DR 240KG "E"</v>
      </c>
      <c r="E474" s="93" t="s">
        <v>1122</v>
      </c>
      <c r="F474" s="94"/>
      <c r="G474" s="95"/>
      <c r="H474" s="96">
        <v>240</v>
      </c>
      <c r="I474" s="97" t="s">
        <v>50</v>
      </c>
      <c r="J474" s="98">
        <v>1</v>
      </c>
      <c r="K474" s="99" t="s">
        <v>8</v>
      </c>
      <c r="L474" s="82">
        <v>6962450</v>
      </c>
      <c r="M474" s="100">
        <v>4.2499999999999996E-2</v>
      </c>
    </row>
    <row r="475" spans="1:13" x14ac:dyDescent="0.25">
      <c r="A475" s="91">
        <v>647</v>
      </c>
      <c r="B475" s="91">
        <v>521512</v>
      </c>
      <c r="C475" s="92" t="s">
        <v>1045</v>
      </c>
      <c r="D475" s="121" t="str">
        <f>CONCATENATE(UPPER(C475),$D$3)</f>
        <v>SIKAFLOOR-510 (AB) RAL7045 CO     4,87KG "E"</v>
      </c>
      <c r="E475" s="93" t="s">
        <v>961</v>
      </c>
      <c r="F475" s="94"/>
      <c r="G475" s="95" t="s">
        <v>121</v>
      </c>
      <c r="H475" s="96">
        <v>4.87</v>
      </c>
      <c r="I475" s="97" t="s">
        <v>50</v>
      </c>
      <c r="J475" s="98">
        <v>1</v>
      </c>
      <c r="K475" s="99" t="s">
        <v>8</v>
      </c>
      <c r="L475" s="82">
        <v>951550</v>
      </c>
      <c r="M475" s="100">
        <v>8.199999999999999E-2</v>
      </c>
    </row>
    <row r="476" spans="1:13" x14ac:dyDescent="0.25">
      <c r="A476" s="26">
        <v>803</v>
      </c>
      <c r="B476" s="26">
        <v>523836</v>
      </c>
      <c r="C476" s="27" t="s">
        <v>1233</v>
      </c>
      <c r="D476" s="27" t="str">
        <f>UPPER(C476)</f>
        <v>SIKAMULTISEAL S ALU.10M/100MM EXP/16 ROL</v>
      </c>
      <c r="E476" s="28" t="s">
        <v>1234</v>
      </c>
      <c r="F476" s="29" t="s">
        <v>129</v>
      </c>
      <c r="G476" s="36"/>
      <c r="H476" s="31">
        <v>10</v>
      </c>
      <c r="I476" s="32" t="s">
        <v>106</v>
      </c>
      <c r="J476" s="46">
        <v>16</v>
      </c>
      <c r="K476" s="37" t="s">
        <v>8</v>
      </c>
      <c r="L476" s="82">
        <v>43500</v>
      </c>
      <c r="M476" s="35">
        <v>8.6999999999999994E-2</v>
      </c>
    </row>
    <row r="477" spans="1:13" x14ac:dyDescent="0.25">
      <c r="A477" s="91">
        <v>364</v>
      </c>
      <c r="B477" s="91">
        <v>524033</v>
      </c>
      <c r="C477" s="92" t="s">
        <v>708</v>
      </c>
      <c r="D477" s="121" t="str">
        <f>CONCATENATE(UPPER(C477),$D$3)</f>
        <v>SIKACOLOR-555W BASALT GREY CO   DR 230KG "E"</v>
      </c>
      <c r="E477" s="93" t="s">
        <v>707</v>
      </c>
      <c r="F477" s="94"/>
      <c r="G477" s="95" t="s">
        <v>41</v>
      </c>
      <c r="H477" s="96">
        <v>230</v>
      </c>
      <c r="I477" s="97" t="s">
        <v>50</v>
      </c>
      <c r="J477" s="98">
        <v>1</v>
      </c>
      <c r="K477" s="99" t="s">
        <v>8</v>
      </c>
      <c r="L477" s="82">
        <v>15381950</v>
      </c>
      <c r="M477" s="100">
        <v>0.09</v>
      </c>
    </row>
    <row r="478" spans="1:13" x14ac:dyDescent="0.25">
      <c r="A478" s="91">
        <v>506</v>
      </c>
      <c r="B478" s="91">
        <v>524034</v>
      </c>
      <c r="C478" s="92" t="s">
        <v>888</v>
      </c>
      <c r="D478" s="121" t="str">
        <f>CONCATENATE(UPPER(C478),$D$3)</f>
        <v>ESMALTE URETANO AR (A)RAL6016    PL 5GAL "E"</v>
      </c>
      <c r="E478" s="93" t="s">
        <v>885</v>
      </c>
      <c r="F478" s="94"/>
      <c r="G478" s="95" t="s">
        <v>87</v>
      </c>
      <c r="H478" s="96">
        <v>5</v>
      </c>
      <c r="I478" s="97" t="s">
        <v>1443</v>
      </c>
      <c r="J478" s="98">
        <v>1</v>
      </c>
      <c r="K478" s="99" t="s">
        <v>8</v>
      </c>
      <c r="L478" s="82">
        <v>1785400</v>
      </c>
      <c r="M478" s="100">
        <v>6.6000000000000003E-2</v>
      </c>
    </row>
    <row r="479" spans="1:13" x14ac:dyDescent="0.25">
      <c r="A479" s="26">
        <v>417</v>
      </c>
      <c r="B479" s="26">
        <v>524317</v>
      </c>
      <c r="C479" s="27" t="s">
        <v>779</v>
      </c>
      <c r="D479" s="27" t="str">
        <f t="shared" ref="D479:D485" si="26">UPPER(C479)</f>
        <v>SIKAREPAIR-220                   BG 30KG</v>
      </c>
      <c r="E479" s="28" t="s">
        <v>780</v>
      </c>
      <c r="F479" s="29"/>
      <c r="G479" s="30"/>
      <c r="H479" s="31">
        <v>30</v>
      </c>
      <c r="I479" s="32" t="s">
        <v>50</v>
      </c>
      <c r="J479" s="33">
        <v>1</v>
      </c>
      <c r="K479" s="34" t="s">
        <v>8</v>
      </c>
      <c r="L479" s="82">
        <v>221700</v>
      </c>
      <c r="M479" s="35">
        <v>9.1999999999999998E-2</v>
      </c>
    </row>
    <row r="480" spans="1:13" x14ac:dyDescent="0.25">
      <c r="A480" s="26">
        <v>805</v>
      </c>
      <c r="B480" s="26">
        <v>524727</v>
      </c>
      <c r="C480" s="27" t="s">
        <v>1236</v>
      </c>
      <c r="D480" s="27" t="str">
        <f t="shared" si="26"/>
        <v>SIKAMULTISEAL S ALU.10M/200MM EXP /8 ROL</v>
      </c>
      <c r="E480" s="28" t="s">
        <v>1234</v>
      </c>
      <c r="F480" s="29" t="s">
        <v>129</v>
      </c>
      <c r="G480" s="36"/>
      <c r="H480" s="31">
        <v>10</v>
      </c>
      <c r="I480" s="32" t="s">
        <v>106</v>
      </c>
      <c r="J480" s="46">
        <v>8</v>
      </c>
      <c r="K480" s="37" t="s">
        <v>8</v>
      </c>
      <c r="L480" s="82">
        <v>87000</v>
      </c>
      <c r="M480" s="35">
        <v>8.6999999999999994E-2</v>
      </c>
    </row>
    <row r="481" spans="1:13" x14ac:dyDescent="0.25">
      <c r="A481" s="26">
        <v>158</v>
      </c>
      <c r="B481" s="26">
        <v>525490</v>
      </c>
      <c r="C481" s="27" t="s">
        <v>398</v>
      </c>
      <c r="D481" s="27" t="str">
        <f t="shared" si="26"/>
        <v>SIKAPLASTIMENT RI               DR 230KG</v>
      </c>
      <c r="E481" s="28" t="s">
        <v>396</v>
      </c>
      <c r="F481" s="29"/>
      <c r="G481" s="30"/>
      <c r="H481" s="31">
        <v>230</v>
      </c>
      <c r="I481" s="32" t="s">
        <v>50</v>
      </c>
      <c r="J481" s="33">
        <v>1</v>
      </c>
      <c r="K481" s="34" t="s">
        <v>8</v>
      </c>
      <c r="L481" s="82">
        <v>2005950</v>
      </c>
      <c r="M481" s="35">
        <v>0.11</v>
      </c>
    </row>
    <row r="482" spans="1:13" x14ac:dyDescent="0.25">
      <c r="A482" s="26">
        <v>276</v>
      </c>
      <c r="B482" s="26">
        <v>525491</v>
      </c>
      <c r="C482" s="27" t="s">
        <v>581</v>
      </c>
      <c r="D482" s="27" t="str">
        <f t="shared" si="26"/>
        <v>SIKAPLAST-5500           COL    DR 230KG</v>
      </c>
      <c r="E482" s="28" t="s">
        <v>580</v>
      </c>
      <c r="F482" s="29"/>
      <c r="G482" s="30"/>
      <c r="H482" s="31">
        <v>230</v>
      </c>
      <c r="I482" s="32" t="s">
        <v>50</v>
      </c>
      <c r="J482" s="33">
        <v>1</v>
      </c>
      <c r="K482" s="34" t="s">
        <v>8</v>
      </c>
      <c r="L482" s="82">
        <v>4981800</v>
      </c>
      <c r="M482" s="35">
        <v>6.9999999999999993E-2</v>
      </c>
    </row>
    <row r="483" spans="1:13" x14ac:dyDescent="0.25">
      <c r="A483" s="26">
        <v>819</v>
      </c>
      <c r="B483" s="26">
        <v>527039</v>
      </c>
      <c r="C483" s="27" t="s">
        <v>1256</v>
      </c>
      <c r="D483" s="27" t="str">
        <f t="shared" si="26"/>
        <v>SIKAFLEX AT CONNEC.BEIG.C5023 /12 CTR300</v>
      </c>
      <c r="E483" s="28" t="s">
        <v>1257</v>
      </c>
      <c r="F483" s="29"/>
      <c r="G483" s="30" t="s">
        <v>30</v>
      </c>
      <c r="H483" s="31">
        <v>300</v>
      </c>
      <c r="I483" s="32" t="s">
        <v>1445</v>
      </c>
      <c r="J483" s="33">
        <v>12</v>
      </c>
      <c r="K483" s="34" t="s">
        <v>8</v>
      </c>
      <c r="L483" s="82">
        <v>47550</v>
      </c>
      <c r="M483" s="35">
        <v>6.7000000000000004E-2</v>
      </c>
    </row>
    <row r="484" spans="1:13" x14ac:dyDescent="0.25">
      <c r="A484" s="26">
        <v>820</v>
      </c>
      <c r="B484" s="26">
        <v>527074</v>
      </c>
      <c r="C484" s="27" t="s">
        <v>1258</v>
      </c>
      <c r="D484" s="27" t="str">
        <f t="shared" si="26"/>
        <v>SIKAFLEX AT CONNEC.GREY C5023 /12 CTR300</v>
      </c>
      <c r="E484" s="28" t="s">
        <v>1257</v>
      </c>
      <c r="F484" s="29"/>
      <c r="G484" s="30" t="s">
        <v>14</v>
      </c>
      <c r="H484" s="31">
        <v>300</v>
      </c>
      <c r="I484" s="32" t="s">
        <v>1445</v>
      </c>
      <c r="J484" s="33">
        <v>12</v>
      </c>
      <c r="K484" s="34" t="s">
        <v>8</v>
      </c>
      <c r="L484" s="82">
        <v>47550</v>
      </c>
      <c r="M484" s="35">
        <v>6.7000000000000004E-2</v>
      </c>
    </row>
    <row r="485" spans="1:13" x14ac:dyDescent="0.25">
      <c r="A485" s="26">
        <v>821</v>
      </c>
      <c r="B485" s="26">
        <v>527080</v>
      </c>
      <c r="C485" s="27" t="s">
        <v>1259</v>
      </c>
      <c r="D485" s="27" t="str">
        <f t="shared" si="26"/>
        <v>SIKAFLEX AT CONNEC.WHIT.C5023 /12 CTR300</v>
      </c>
      <c r="E485" s="28" t="s">
        <v>1257</v>
      </c>
      <c r="F485" s="29"/>
      <c r="G485" s="30" t="s">
        <v>15</v>
      </c>
      <c r="H485" s="31">
        <v>300</v>
      </c>
      <c r="I485" s="32" t="s">
        <v>1445</v>
      </c>
      <c r="J485" s="33">
        <v>12</v>
      </c>
      <c r="K485" s="34" t="s">
        <v>8</v>
      </c>
      <c r="L485" s="82">
        <v>48900</v>
      </c>
      <c r="M485" s="35">
        <v>9.7000000000000003E-2</v>
      </c>
    </row>
    <row r="486" spans="1:13" x14ac:dyDescent="0.25">
      <c r="A486" s="91">
        <v>534</v>
      </c>
      <c r="B486" s="91">
        <v>528180</v>
      </c>
      <c r="C486" s="92" t="s">
        <v>929</v>
      </c>
      <c r="D486" s="121" t="str">
        <f>CONCATENATE(UPPER(C486),$D$3)</f>
        <v>SIKAPERMACOR SERIE-500 HT(A)GREY PL 3GAL "E"</v>
      </c>
      <c r="E486" s="93" t="s">
        <v>930</v>
      </c>
      <c r="F486" s="94"/>
      <c r="G486" s="95" t="s">
        <v>14</v>
      </c>
      <c r="H486" s="96">
        <v>3</v>
      </c>
      <c r="I486" s="97" t="s">
        <v>1443</v>
      </c>
      <c r="J486" s="98">
        <v>1</v>
      </c>
      <c r="K486" s="99" t="s">
        <v>8</v>
      </c>
      <c r="L486" s="82">
        <v>978650</v>
      </c>
      <c r="M486" s="100">
        <v>9.286585678852799E-2</v>
      </c>
    </row>
    <row r="487" spans="1:13" x14ac:dyDescent="0.25">
      <c r="A487" s="91">
        <v>476</v>
      </c>
      <c r="B487" s="91">
        <v>528182</v>
      </c>
      <c r="C487" s="92" t="s">
        <v>857</v>
      </c>
      <c r="D487" s="121" t="str">
        <f>CONCATENATE(UPPER(C487),$D$3)</f>
        <v>ESMALTE URETANO (A) RAL3001 CO   PL 4GAL "E"</v>
      </c>
      <c r="E487" s="93" t="s">
        <v>848</v>
      </c>
      <c r="F487" s="94"/>
      <c r="G487" s="95" t="s">
        <v>80</v>
      </c>
      <c r="H487" s="96">
        <v>4</v>
      </c>
      <c r="I487" s="97" t="s">
        <v>1443</v>
      </c>
      <c r="J487" s="98">
        <v>1</v>
      </c>
      <c r="K487" s="99" t="s">
        <v>8</v>
      </c>
      <c r="L487" s="82">
        <v>1732900</v>
      </c>
      <c r="M487" s="100">
        <v>6.6000000000000003E-2</v>
      </c>
    </row>
    <row r="488" spans="1:13" x14ac:dyDescent="0.25">
      <c r="A488" s="26">
        <v>587</v>
      </c>
      <c r="B488" s="26">
        <v>528269</v>
      </c>
      <c r="C488" s="27" t="s">
        <v>995</v>
      </c>
      <c r="D488" s="27" t="str">
        <f>UPPER(C488)</f>
        <v>SIKAFLOOR-2020 GREY              PL 5GAL</v>
      </c>
      <c r="E488" s="28" t="s">
        <v>987</v>
      </c>
      <c r="F488" s="29"/>
      <c r="G488" s="30" t="s">
        <v>14</v>
      </c>
      <c r="H488" s="31">
        <v>5</v>
      </c>
      <c r="I488" s="32" t="s">
        <v>1443</v>
      </c>
      <c r="J488" s="33">
        <v>1</v>
      </c>
      <c r="K488" s="34" t="s">
        <v>8</v>
      </c>
      <c r="L488" s="82">
        <v>1068650</v>
      </c>
      <c r="M488" s="35">
        <v>8.199999999999999E-2</v>
      </c>
    </row>
    <row r="489" spans="1:13" x14ac:dyDescent="0.25">
      <c r="A489" s="26">
        <v>792</v>
      </c>
      <c r="B489" s="26">
        <v>529788</v>
      </c>
      <c r="C489" s="27" t="s">
        <v>1219</v>
      </c>
      <c r="D489" s="27" t="str">
        <f>UPPER(C489)</f>
        <v>SIKABOOM M LA                  /12X300ML</v>
      </c>
      <c r="E489" s="28" t="s">
        <v>1220</v>
      </c>
      <c r="F489" s="29"/>
      <c r="G489" s="30" t="s">
        <v>53</v>
      </c>
      <c r="H489" s="31">
        <v>300</v>
      </c>
      <c r="I489" s="32" t="s">
        <v>1445</v>
      </c>
      <c r="J489" s="33">
        <v>12</v>
      </c>
      <c r="K489" s="34" t="s">
        <v>8</v>
      </c>
      <c r="L489" s="82">
        <v>36150</v>
      </c>
      <c r="M489" s="35">
        <v>6.7000000000000004E-2</v>
      </c>
    </row>
    <row r="490" spans="1:13" x14ac:dyDescent="0.25">
      <c r="A490" s="91">
        <v>494</v>
      </c>
      <c r="B490" s="91">
        <v>536005</v>
      </c>
      <c r="C490" s="92" t="s">
        <v>875</v>
      </c>
      <c r="D490" s="121" t="str">
        <f>CONCATENATE(UPPER(C490),$D$3)</f>
        <v>ESMALTE URETANO (A) RAL7042      PL 4GAL "E"</v>
      </c>
      <c r="E490" s="93" t="s">
        <v>848</v>
      </c>
      <c r="F490" s="94"/>
      <c r="G490" s="95" t="s">
        <v>95</v>
      </c>
      <c r="H490" s="96">
        <v>4</v>
      </c>
      <c r="I490" s="97" t="s">
        <v>1443</v>
      </c>
      <c r="J490" s="98">
        <v>1</v>
      </c>
      <c r="K490" s="99" t="s">
        <v>8</v>
      </c>
      <c r="L490" s="82">
        <v>1449850</v>
      </c>
      <c r="M490" s="100">
        <v>6.6000000000000003E-2</v>
      </c>
    </row>
    <row r="491" spans="1:13" x14ac:dyDescent="0.25">
      <c r="A491" s="91">
        <v>482</v>
      </c>
      <c r="B491" s="91">
        <v>536055</v>
      </c>
      <c r="C491" s="92" t="s">
        <v>863</v>
      </c>
      <c r="D491" s="121" t="str">
        <f>CONCATENATE(UPPER(C491),$D$3)</f>
        <v>ESMALTE URETANO (A) RAL6001      PL 4GAL "E"</v>
      </c>
      <c r="E491" s="93" t="s">
        <v>848</v>
      </c>
      <c r="F491" s="94"/>
      <c r="G491" s="95" t="s">
        <v>85</v>
      </c>
      <c r="H491" s="96">
        <v>4</v>
      </c>
      <c r="I491" s="97" t="s">
        <v>1443</v>
      </c>
      <c r="J491" s="98">
        <v>1</v>
      </c>
      <c r="K491" s="99" t="s">
        <v>8</v>
      </c>
      <c r="L491" s="82">
        <v>1513850</v>
      </c>
      <c r="M491" s="100">
        <v>6.6000000000000003E-2</v>
      </c>
    </row>
    <row r="492" spans="1:13" x14ac:dyDescent="0.25">
      <c r="A492" s="26">
        <v>594</v>
      </c>
      <c r="B492" s="26">
        <v>536421</v>
      </c>
      <c r="C492" s="27" t="s">
        <v>1003</v>
      </c>
      <c r="D492" s="27" t="str">
        <f>UPPER(C492)</f>
        <v>SIKAFLOOR-2030 GREY              PL 5GAL</v>
      </c>
      <c r="E492" s="28" t="s">
        <v>1001</v>
      </c>
      <c r="F492" s="29"/>
      <c r="G492" s="30" t="s">
        <v>14</v>
      </c>
      <c r="H492" s="31">
        <v>5</v>
      </c>
      <c r="I492" s="32" t="s">
        <v>1443</v>
      </c>
      <c r="J492" s="33">
        <v>1</v>
      </c>
      <c r="K492" s="34" t="s">
        <v>8</v>
      </c>
      <c r="L492" s="82">
        <v>903500</v>
      </c>
      <c r="M492" s="35">
        <v>8.199999999999999E-2</v>
      </c>
    </row>
    <row r="493" spans="1:13" x14ac:dyDescent="0.25">
      <c r="A493" s="91">
        <v>378</v>
      </c>
      <c r="B493" s="91">
        <v>538333</v>
      </c>
      <c r="C493" s="92" t="s">
        <v>724</v>
      </c>
      <c r="D493" s="121" t="str">
        <f>CONCATENATE(UPPER(C493),$D$3)</f>
        <v>SIKADUR-31 ADHESIVO (AB) CO       /4X6KG "E"</v>
      </c>
      <c r="E493" s="93" t="s">
        <v>722</v>
      </c>
      <c r="F493" s="94"/>
      <c r="G493" s="95"/>
      <c r="H493" s="96">
        <v>6</v>
      </c>
      <c r="I493" s="97" t="s">
        <v>50</v>
      </c>
      <c r="J493" s="98">
        <v>4</v>
      </c>
      <c r="K493" s="99" t="s">
        <v>8</v>
      </c>
      <c r="L493" s="82">
        <v>475000</v>
      </c>
      <c r="M493" s="100">
        <v>6.7000000000000004E-2</v>
      </c>
    </row>
    <row r="494" spans="1:13" x14ac:dyDescent="0.25">
      <c r="A494" s="91">
        <v>381</v>
      </c>
      <c r="B494" s="91">
        <v>538336</v>
      </c>
      <c r="C494" s="92" t="s">
        <v>728</v>
      </c>
      <c r="D494" s="121" t="str">
        <f>CONCATENATE(UPPER(C494),$D$3)</f>
        <v>SIKADUR-32 PRIMER (AB) CO         /4X6KG "E"</v>
      </c>
      <c r="E494" s="93" t="s">
        <v>726</v>
      </c>
      <c r="F494" s="94"/>
      <c r="G494" s="95"/>
      <c r="H494" s="96">
        <v>6</v>
      </c>
      <c r="I494" s="97" t="s">
        <v>50</v>
      </c>
      <c r="J494" s="98">
        <v>4</v>
      </c>
      <c r="K494" s="99" t="s">
        <v>8</v>
      </c>
      <c r="L494" s="82">
        <v>489150</v>
      </c>
      <c r="M494" s="100">
        <v>6.7000000000000004E-2</v>
      </c>
    </row>
    <row r="495" spans="1:13" x14ac:dyDescent="0.25">
      <c r="A495" s="26">
        <v>373</v>
      </c>
      <c r="B495" s="26">
        <v>538339</v>
      </c>
      <c r="C495" s="27" t="s">
        <v>720</v>
      </c>
      <c r="D495" s="27" t="str">
        <f>UPPER(C495)</f>
        <v>SIKADUR PANEL (AB) CO             /4X6KG</v>
      </c>
      <c r="E495" s="28" t="s">
        <v>718</v>
      </c>
      <c r="F495" s="29"/>
      <c r="G495" s="30"/>
      <c r="H495" s="31">
        <v>6</v>
      </c>
      <c r="I495" s="32" t="s">
        <v>50</v>
      </c>
      <c r="J495" s="33">
        <v>4</v>
      </c>
      <c r="K495" s="34" t="s">
        <v>8</v>
      </c>
      <c r="L495" s="82">
        <v>481450</v>
      </c>
      <c r="M495" s="35">
        <v>6.7000000000000004E-2</v>
      </c>
    </row>
    <row r="496" spans="1:13" x14ac:dyDescent="0.25">
      <c r="A496" s="91">
        <v>523</v>
      </c>
      <c r="B496" s="91">
        <v>540948</v>
      </c>
      <c r="C496" s="92" t="s">
        <v>911</v>
      </c>
      <c r="D496" s="121" t="str">
        <f>CONCATENATE(UPPER(C496),$D$3)</f>
        <v>SIKA AJUSTADOR EPOXICO           PL 5GAL "E"</v>
      </c>
      <c r="E496" s="93" t="s">
        <v>910</v>
      </c>
      <c r="F496" s="94"/>
      <c r="G496" s="95"/>
      <c r="H496" s="96">
        <v>5</v>
      </c>
      <c r="I496" s="97" t="s">
        <v>1443</v>
      </c>
      <c r="J496" s="98">
        <v>1</v>
      </c>
      <c r="K496" s="99" t="s">
        <v>8</v>
      </c>
      <c r="L496" s="82">
        <v>434400</v>
      </c>
      <c r="M496" s="100">
        <v>0.107</v>
      </c>
    </row>
    <row r="497" spans="1:13" x14ac:dyDescent="0.25">
      <c r="A497" s="91">
        <v>524</v>
      </c>
      <c r="B497" s="91">
        <v>540949</v>
      </c>
      <c r="C497" s="92" t="s">
        <v>912</v>
      </c>
      <c r="D497" s="121" t="str">
        <f>CONCATENATE(UPPER(C497),$D$3)</f>
        <v>SIKA AJUSTADOR EPOXICO          DR 55GAL "E"</v>
      </c>
      <c r="E497" s="93" t="s">
        <v>910</v>
      </c>
      <c r="F497" s="94"/>
      <c r="G497" s="95"/>
      <c r="H497" s="96">
        <v>55</v>
      </c>
      <c r="I497" s="97" t="s">
        <v>1443</v>
      </c>
      <c r="J497" s="98">
        <v>1</v>
      </c>
      <c r="K497" s="99" t="s">
        <v>8</v>
      </c>
      <c r="L497" s="82">
        <v>4251350</v>
      </c>
      <c r="M497" s="100">
        <v>0.107</v>
      </c>
    </row>
    <row r="498" spans="1:13" x14ac:dyDescent="0.25">
      <c r="A498" s="91">
        <v>522</v>
      </c>
      <c r="B498" s="91">
        <v>541966</v>
      </c>
      <c r="C498" s="92" t="s">
        <v>909</v>
      </c>
      <c r="D498" s="121" t="str">
        <f>CONCATENATE(UPPER(C498),$D$3)</f>
        <v>SIKA AJUSTADOR EPOXICO           KA 1GAL "E"</v>
      </c>
      <c r="E498" s="93" t="s">
        <v>910</v>
      </c>
      <c r="F498" s="94"/>
      <c r="G498" s="95"/>
      <c r="H498" s="96">
        <v>1</v>
      </c>
      <c r="I498" s="97" t="s">
        <v>1443</v>
      </c>
      <c r="J498" s="98">
        <v>1</v>
      </c>
      <c r="K498" s="99" t="s">
        <v>8</v>
      </c>
      <c r="L498" s="82">
        <v>98100</v>
      </c>
      <c r="M498" s="100">
        <v>0.107</v>
      </c>
    </row>
    <row r="499" spans="1:13" x14ac:dyDescent="0.25">
      <c r="A499" s="91">
        <v>525</v>
      </c>
      <c r="B499" s="91">
        <v>541971</v>
      </c>
      <c r="C499" s="92" t="s">
        <v>913</v>
      </c>
      <c r="D499" s="121" t="str">
        <f>CONCATENATE(UPPER(C499),$D$3)</f>
        <v>SIKA AJUSTADOR URETANO           PL 5GAL "E"</v>
      </c>
      <c r="E499" s="93" t="s">
        <v>914</v>
      </c>
      <c r="F499" s="94"/>
      <c r="G499" s="95"/>
      <c r="H499" s="96">
        <v>5</v>
      </c>
      <c r="I499" s="97" t="s">
        <v>1443</v>
      </c>
      <c r="J499" s="98">
        <v>1</v>
      </c>
      <c r="K499" s="99" t="s">
        <v>8</v>
      </c>
      <c r="L499" s="82">
        <v>426200</v>
      </c>
      <c r="M499" s="100">
        <v>0.107</v>
      </c>
    </row>
    <row r="500" spans="1:13" x14ac:dyDescent="0.25">
      <c r="A500" s="26">
        <v>850</v>
      </c>
      <c r="B500" s="26">
        <v>543236</v>
      </c>
      <c r="C500" s="27" t="s">
        <v>1304</v>
      </c>
      <c r="D500" s="27" t="str">
        <f t="shared" ref="D500:D506" si="27">UPPER(C500)</f>
        <v>SIKASEAL-119 SISMO               PL 26KG</v>
      </c>
      <c r="E500" s="28" t="s">
        <v>1303</v>
      </c>
      <c r="F500" s="29"/>
      <c r="G500" s="30" t="s">
        <v>14</v>
      </c>
      <c r="H500" s="31">
        <v>26</v>
      </c>
      <c r="I500" s="32" t="s">
        <v>50</v>
      </c>
      <c r="J500" s="33">
        <v>1</v>
      </c>
      <c r="K500" s="34" t="s">
        <v>8</v>
      </c>
      <c r="L500" s="82">
        <v>433950</v>
      </c>
      <c r="M500" s="35">
        <v>6.7000000000000004E-2</v>
      </c>
    </row>
    <row r="501" spans="1:13" x14ac:dyDescent="0.25">
      <c r="A501" s="26">
        <v>849</v>
      </c>
      <c r="B501" s="26">
        <v>543237</v>
      </c>
      <c r="C501" s="27" t="s">
        <v>1302</v>
      </c>
      <c r="D501" s="27" t="str">
        <f t="shared" si="27"/>
        <v>SIKASEAL-119 SISMO              PL 5,6KG</v>
      </c>
      <c r="E501" s="28" t="s">
        <v>1303</v>
      </c>
      <c r="F501" s="29"/>
      <c r="G501" s="30" t="s">
        <v>14</v>
      </c>
      <c r="H501" s="31">
        <v>5.6</v>
      </c>
      <c r="I501" s="32" t="s">
        <v>50</v>
      </c>
      <c r="J501" s="33">
        <v>4</v>
      </c>
      <c r="K501" s="34" t="s">
        <v>8</v>
      </c>
      <c r="L501" s="82">
        <v>97400</v>
      </c>
      <c r="M501" s="35">
        <v>9.2889621789630561E-2</v>
      </c>
    </row>
    <row r="502" spans="1:13" x14ac:dyDescent="0.25">
      <c r="A502" s="26">
        <v>835</v>
      </c>
      <c r="B502" s="26">
        <v>543547</v>
      </c>
      <c r="C502" s="27" t="s">
        <v>1281</v>
      </c>
      <c r="D502" s="27" t="str">
        <f t="shared" si="27"/>
        <v>SIKAFLEX-401 PAVEMENT SL      /12 CTR300</v>
      </c>
      <c r="E502" s="28" t="s">
        <v>1280</v>
      </c>
      <c r="F502" s="29"/>
      <c r="G502" s="30" t="s">
        <v>164</v>
      </c>
      <c r="H502" s="31">
        <v>300</v>
      </c>
      <c r="I502" s="32" t="s">
        <v>1445</v>
      </c>
      <c r="J502" s="33">
        <v>12</v>
      </c>
      <c r="K502" s="34" t="s">
        <v>8</v>
      </c>
      <c r="L502" s="82">
        <v>65150</v>
      </c>
      <c r="M502" s="35">
        <v>6.7000000000000004E-2</v>
      </c>
    </row>
    <row r="503" spans="1:13" x14ac:dyDescent="0.25">
      <c r="A503" s="26">
        <v>125</v>
      </c>
      <c r="B503" s="26">
        <v>545226</v>
      </c>
      <c r="C503" s="27" t="s">
        <v>348</v>
      </c>
      <c r="D503" s="27" t="str">
        <f t="shared" si="27"/>
        <v>SIKAWALL-330 ESTUKA ACRILICO CO  PL 30KG</v>
      </c>
      <c r="E503" s="28" t="s">
        <v>347</v>
      </c>
      <c r="F503" s="29"/>
      <c r="G503" s="30"/>
      <c r="H503" s="31">
        <v>30</v>
      </c>
      <c r="I503" s="32" t="s">
        <v>50</v>
      </c>
      <c r="J503" s="33">
        <v>1</v>
      </c>
      <c r="K503" s="34" t="s">
        <v>8</v>
      </c>
      <c r="L503" s="82">
        <v>113850</v>
      </c>
      <c r="M503" s="35">
        <v>9.4E-2</v>
      </c>
    </row>
    <row r="504" spans="1:13" x14ac:dyDescent="0.25">
      <c r="A504" s="26">
        <v>291</v>
      </c>
      <c r="B504" s="26">
        <v>545787</v>
      </c>
      <c r="C504" s="27" t="s">
        <v>602</v>
      </c>
      <c r="D504" s="27" t="str">
        <f t="shared" si="27"/>
        <v>SIKAPLAST-327                  TANKER KG</v>
      </c>
      <c r="E504" s="28" t="s">
        <v>603</v>
      </c>
      <c r="F504" s="29"/>
      <c r="G504" s="30"/>
      <c r="H504" s="31">
        <v>0</v>
      </c>
      <c r="I504" s="32" t="s">
        <v>50</v>
      </c>
      <c r="J504" s="33">
        <v>1</v>
      </c>
      <c r="K504" s="34" t="s">
        <v>8</v>
      </c>
      <c r="L504" s="82">
        <v>13750</v>
      </c>
      <c r="M504" s="35">
        <v>0.08</v>
      </c>
    </row>
    <row r="505" spans="1:13" x14ac:dyDescent="0.25">
      <c r="A505" s="26">
        <v>351</v>
      </c>
      <c r="B505" s="26">
        <v>545789</v>
      </c>
      <c r="C505" s="27" t="s">
        <v>690</v>
      </c>
      <c r="D505" s="27" t="str">
        <f t="shared" si="27"/>
        <v>SIKA ACRIL ESTIRENO              PL 20KG</v>
      </c>
      <c r="E505" s="28" t="s">
        <v>691</v>
      </c>
      <c r="F505" s="29"/>
      <c r="G505" s="30"/>
      <c r="H505" s="31">
        <v>20</v>
      </c>
      <c r="I505" s="32" t="s">
        <v>50</v>
      </c>
      <c r="J505" s="33">
        <v>1</v>
      </c>
      <c r="K505" s="34" t="s">
        <v>8</v>
      </c>
      <c r="L505" s="82">
        <v>565100</v>
      </c>
      <c r="M505" s="35">
        <v>6.7000000000000004E-2</v>
      </c>
    </row>
    <row r="506" spans="1:13" x14ac:dyDescent="0.25">
      <c r="A506" s="26">
        <v>352</v>
      </c>
      <c r="B506" s="26">
        <v>545793</v>
      </c>
      <c r="C506" s="27" t="s">
        <v>692</v>
      </c>
      <c r="D506" s="27" t="str">
        <f t="shared" si="27"/>
        <v>SIKA ACRIL ESTIRENO             DR 200KG</v>
      </c>
      <c r="E506" s="28" t="s">
        <v>691</v>
      </c>
      <c r="F506" s="29"/>
      <c r="G506" s="30"/>
      <c r="H506" s="31">
        <v>200</v>
      </c>
      <c r="I506" s="32" t="s">
        <v>50</v>
      </c>
      <c r="J506" s="33">
        <v>1</v>
      </c>
      <c r="K506" s="34" t="s">
        <v>8</v>
      </c>
      <c r="L506" s="82">
        <v>5313100</v>
      </c>
      <c r="M506" s="35">
        <v>6.7000000000000004E-2</v>
      </c>
    </row>
    <row r="507" spans="1:13" x14ac:dyDescent="0.25">
      <c r="A507" s="91">
        <v>404</v>
      </c>
      <c r="B507" s="91">
        <v>548230</v>
      </c>
      <c r="C507" s="92" t="s">
        <v>761</v>
      </c>
      <c r="D507" s="121" t="str">
        <f t="shared" ref="D507:D524" si="28">CONCATENATE(UPPER(C507),$D$3)</f>
        <v>SIKAGROUT-200                    BG 50KG "E"</v>
      </c>
      <c r="E507" s="93" t="s">
        <v>760</v>
      </c>
      <c r="F507" s="94"/>
      <c r="G507" s="95"/>
      <c r="H507" s="96">
        <v>50</v>
      </c>
      <c r="I507" s="97" t="s">
        <v>50</v>
      </c>
      <c r="J507" s="98">
        <v>1</v>
      </c>
      <c r="K507" s="99" t="s">
        <v>8</v>
      </c>
      <c r="L507" s="82">
        <v>349950</v>
      </c>
      <c r="M507" s="100">
        <v>8.199999999999999E-2</v>
      </c>
    </row>
    <row r="508" spans="1:13" x14ac:dyDescent="0.25">
      <c r="A508" s="91">
        <v>406</v>
      </c>
      <c r="B508" s="91">
        <v>548231</v>
      </c>
      <c r="C508" s="92" t="s">
        <v>764</v>
      </c>
      <c r="D508" s="121" t="str">
        <f t="shared" si="28"/>
        <v>SIKAGROUT-212                    BG 50KG "E"</v>
      </c>
      <c r="E508" s="93" t="s">
        <v>763</v>
      </c>
      <c r="F508" s="94"/>
      <c r="G508" s="95"/>
      <c r="H508" s="96">
        <v>50</v>
      </c>
      <c r="I508" s="97" t="s">
        <v>50</v>
      </c>
      <c r="J508" s="98">
        <v>1</v>
      </c>
      <c r="K508" s="99" t="s">
        <v>8</v>
      </c>
      <c r="L508" s="82">
        <v>280850</v>
      </c>
      <c r="M508" s="100">
        <v>6.7000000000000004E-2</v>
      </c>
    </row>
    <row r="509" spans="1:13" x14ac:dyDescent="0.25">
      <c r="A509" s="91">
        <v>425</v>
      </c>
      <c r="B509" s="91">
        <v>548358</v>
      </c>
      <c r="C509" s="92" t="s">
        <v>793</v>
      </c>
      <c r="D509" s="121" t="str">
        <f t="shared" si="28"/>
        <v>SIKATOP-122 PLUS MONOCOMPONENTE  BG 50KG "E"</v>
      </c>
      <c r="E509" s="93" t="s">
        <v>792</v>
      </c>
      <c r="F509" s="94"/>
      <c r="G509" s="95"/>
      <c r="H509" s="96">
        <v>50</v>
      </c>
      <c r="I509" s="97" t="s">
        <v>50</v>
      </c>
      <c r="J509" s="98">
        <v>1</v>
      </c>
      <c r="K509" s="99" t="s">
        <v>8</v>
      </c>
      <c r="L509" s="82">
        <v>269250</v>
      </c>
      <c r="M509" s="100">
        <v>8.199999999999999E-2</v>
      </c>
    </row>
    <row r="510" spans="1:13" x14ac:dyDescent="0.25">
      <c r="A510" s="91">
        <v>947</v>
      </c>
      <c r="B510" s="91">
        <v>548359</v>
      </c>
      <c r="C510" s="92" t="s">
        <v>1441</v>
      </c>
      <c r="D510" s="121" t="str">
        <f t="shared" si="28"/>
        <v>SIKATOP-121 MONOCOMPONENTE       BG 50KG "E"</v>
      </c>
      <c r="E510" s="93" t="s">
        <v>1440</v>
      </c>
      <c r="F510" s="94"/>
      <c r="G510" s="95"/>
      <c r="H510" s="96">
        <v>50</v>
      </c>
      <c r="I510" s="97" t="s">
        <v>50</v>
      </c>
      <c r="J510" s="98">
        <v>1</v>
      </c>
      <c r="K510" s="99" t="s">
        <v>8</v>
      </c>
      <c r="L510" s="82">
        <v>425400</v>
      </c>
      <c r="M510" s="100">
        <v>0.10700000000000001</v>
      </c>
    </row>
    <row r="511" spans="1:13" x14ac:dyDescent="0.25">
      <c r="A511" s="91">
        <v>577</v>
      </c>
      <c r="B511" s="91">
        <v>548570</v>
      </c>
      <c r="C511" s="92" t="s">
        <v>984</v>
      </c>
      <c r="D511" s="121" t="str">
        <f t="shared" si="28"/>
        <v>SIKAFLOOR-161 (AB)                  18KG "E"</v>
      </c>
      <c r="E511" s="93" t="s">
        <v>985</v>
      </c>
      <c r="F511" s="94"/>
      <c r="G511" s="95"/>
      <c r="H511" s="96">
        <v>18</v>
      </c>
      <c r="I511" s="97" t="s">
        <v>50</v>
      </c>
      <c r="J511" s="98">
        <v>1</v>
      </c>
      <c r="K511" s="99" t="s">
        <v>8</v>
      </c>
      <c r="L511" s="82">
        <v>1197850</v>
      </c>
      <c r="M511" s="100">
        <v>7.7000000000000013E-2</v>
      </c>
    </row>
    <row r="512" spans="1:13" x14ac:dyDescent="0.25">
      <c r="A512" s="91">
        <v>613</v>
      </c>
      <c r="B512" s="91">
        <v>548571</v>
      </c>
      <c r="C512" s="92" t="s">
        <v>1017</v>
      </c>
      <c r="D512" s="121" t="str">
        <f t="shared" si="28"/>
        <v>SIKAFLOOR-264 (AB) LIGHT GREY       18KG "E"</v>
      </c>
      <c r="E512" s="93" t="s">
        <v>1014</v>
      </c>
      <c r="F512" s="94"/>
      <c r="G512" s="95" t="s">
        <v>105</v>
      </c>
      <c r="H512" s="96">
        <v>18</v>
      </c>
      <c r="I512" s="97" t="s">
        <v>50</v>
      </c>
      <c r="J512" s="98">
        <v>1</v>
      </c>
      <c r="K512" s="99" t="s">
        <v>8</v>
      </c>
      <c r="L512" s="82">
        <v>2686200</v>
      </c>
      <c r="M512" s="100">
        <v>7.2000000000000008E-2</v>
      </c>
    </row>
    <row r="513" spans="1:13" x14ac:dyDescent="0.25">
      <c r="A513" s="91">
        <v>620</v>
      </c>
      <c r="B513" s="91">
        <v>548572</v>
      </c>
      <c r="C513" s="92" t="s">
        <v>1024</v>
      </c>
      <c r="D513" s="121" t="str">
        <f t="shared" si="28"/>
        <v>SIKAFLOOR-264 (AB) RAL7035          18KG "E"</v>
      </c>
      <c r="E513" s="93" t="s">
        <v>1014</v>
      </c>
      <c r="F513" s="94"/>
      <c r="G513" s="95" t="s">
        <v>63</v>
      </c>
      <c r="H513" s="96">
        <v>18</v>
      </c>
      <c r="I513" s="97" t="s">
        <v>50</v>
      </c>
      <c r="J513" s="98">
        <v>1</v>
      </c>
      <c r="K513" s="99" t="s">
        <v>8</v>
      </c>
      <c r="L513" s="82">
        <v>2686200</v>
      </c>
      <c r="M513" s="100">
        <v>7.2000000000000008E-2</v>
      </c>
    </row>
    <row r="514" spans="1:13" x14ac:dyDescent="0.25">
      <c r="A514" s="91">
        <v>618</v>
      </c>
      <c r="B514" s="91">
        <v>548573</v>
      </c>
      <c r="C514" s="92" t="s">
        <v>1022</v>
      </c>
      <c r="D514" s="121" t="str">
        <f t="shared" si="28"/>
        <v>SIKAFLOOR-264 (AB) RAL7030          18KG "E"</v>
      </c>
      <c r="E514" s="93" t="s">
        <v>1014</v>
      </c>
      <c r="F514" s="94"/>
      <c r="G514" s="95" t="s">
        <v>61</v>
      </c>
      <c r="H514" s="96">
        <v>18</v>
      </c>
      <c r="I514" s="97" t="s">
        <v>50</v>
      </c>
      <c r="J514" s="98">
        <v>1</v>
      </c>
      <c r="K514" s="99" t="s">
        <v>8</v>
      </c>
      <c r="L514" s="82">
        <v>2686200</v>
      </c>
      <c r="M514" s="100">
        <v>7.2000000000000008E-2</v>
      </c>
    </row>
    <row r="515" spans="1:13" x14ac:dyDescent="0.25">
      <c r="A515" s="91">
        <v>612</v>
      </c>
      <c r="B515" s="91">
        <v>548574</v>
      </c>
      <c r="C515" s="92" t="s">
        <v>1016</v>
      </c>
      <c r="D515" s="121" t="str">
        <f t="shared" si="28"/>
        <v>SIKAFLOOR-264 (AB) DARK GREY        18KG "E"</v>
      </c>
      <c r="E515" s="93" t="s">
        <v>1014</v>
      </c>
      <c r="F515" s="94"/>
      <c r="G515" s="95" t="s">
        <v>108</v>
      </c>
      <c r="H515" s="96">
        <v>18</v>
      </c>
      <c r="I515" s="97" t="s">
        <v>50</v>
      </c>
      <c r="J515" s="98">
        <v>1</v>
      </c>
      <c r="K515" s="99" t="s">
        <v>8</v>
      </c>
      <c r="L515" s="82">
        <v>2686200</v>
      </c>
      <c r="M515" s="100">
        <v>7.2000000000000008E-2</v>
      </c>
    </row>
    <row r="516" spans="1:13" x14ac:dyDescent="0.25">
      <c r="A516" s="91">
        <v>619</v>
      </c>
      <c r="B516" s="91">
        <v>548576</v>
      </c>
      <c r="C516" s="92" t="s">
        <v>1023</v>
      </c>
      <c r="D516" s="121" t="str">
        <f t="shared" si="28"/>
        <v>SIKAFLOOR-264 (AB) RAL7032          18KG "E"</v>
      </c>
      <c r="E516" s="93" t="s">
        <v>1014</v>
      </c>
      <c r="F516" s="94"/>
      <c r="G516" s="95" t="s">
        <v>91</v>
      </c>
      <c r="H516" s="96">
        <v>18</v>
      </c>
      <c r="I516" s="97" t="s">
        <v>50</v>
      </c>
      <c r="J516" s="98">
        <v>1</v>
      </c>
      <c r="K516" s="99" t="s">
        <v>8</v>
      </c>
      <c r="L516" s="82">
        <v>2686200</v>
      </c>
      <c r="M516" s="100">
        <v>7.2000000000000008E-2</v>
      </c>
    </row>
    <row r="517" spans="1:13" x14ac:dyDescent="0.25">
      <c r="A517" s="91">
        <v>614</v>
      </c>
      <c r="B517" s="91">
        <v>548578</v>
      </c>
      <c r="C517" s="92" t="s">
        <v>1018</v>
      </c>
      <c r="D517" s="121" t="str">
        <f t="shared" si="28"/>
        <v>SIKAFLOOR-264 (AB) RAL1015          18KG "E"</v>
      </c>
      <c r="E517" s="93" t="s">
        <v>1014</v>
      </c>
      <c r="F517" s="94"/>
      <c r="G517" s="95" t="s">
        <v>78</v>
      </c>
      <c r="H517" s="96">
        <v>18</v>
      </c>
      <c r="I517" s="97" t="s">
        <v>50</v>
      </c>
      <c r="J517" s="98">
        <v>1</v>
      </c>
      <c r="K517" s="99" t="s">
        <v>8</v>
      </c>
      <c r="L517" s="82">
        <v>2735750</v>
      </c>
      <c r="M517" s="100">
        <v>7.2000000000000008E-2</v>
      </c>
    </row>
    <row r="518" spans="1:13" x14ac:dyDescent="0.25">
      <c r="A518" s="91">
        <v>611</v>
      </c>
      <c r="B518" s="91">
        <v>548610</v>
      </c>
      <c r="C518" s="92" t="s">
        <v>1015</v>
      </c>
      <c r="D518" s="121" t="str">
        <f t="shared" si="28"/>
        <v>SIKAFLOOR-264 (AB) BLUE WATE.BREEZE 18KG "E"</v>
      </c>
      <c r="E518" s="93" t="s">
        <v>1014</v>
      </c>
      <c r="F518" s="94"/>
      <c r="G518" s="95" t="s">
        <v>114</v>
      </c>
      <c r="H518" s="96">
        <v>18</v>
      </c>
      <c r="I518" s="97" t="s">
        <v>50</v>
      </c>
      <c r="J518" s="98">
        <v>1</v>
      </c>
      <c r="K518" s="99" t="s">
        <v>8</v>
      </c>
      <c r="L518" s="82">
        <v>2686200</v>
      </c>
      <c r="M518" s="100">
        <v>7.2000000000000008E-2</v>
      </c>
    </row>
    <row r="519" spans="1:13" x14ac:dyDescent="0.25">
      <c r="A519" s="91">
        <v>623</v>
      </c>
      <c r="B519" s="91">
        <v>548612</v>
      </c>
      <c r="C519" s="92" t="s">
        <v>1027</v>
      </c>
      <c r="D519" s="121" t="str">
        <f t="shared" si="28"/>
        <v>SIKAFLOOR-264 (AB) SAHARA           18KG "E"</v>
      </c>
      <c r="E519" s="93" t="s">
        <v>1014</v>
      </c>
      <c r="F519" s="94"/>
      <c r="G519" s="95" t="s">
        <v>117</v>
      </c>
      <c r="H519" s="96">
        <v>18</v>
      </c>
      <c r="I519" s="97" t="s">
        <v>50</v>
      </c>
      <c r="J519" s="98">
        <v>1</v>
      </c>
      <c r="K519" s="99" t="s">
        <v>8</v>
      </c>
      <c r="L519" s="82">
        <v>2686200</v>
      </c>
      <c r="M519" s="100">
        <v>7.2000000000000008E-2</v>
      </c>
    </row>
    <row r="520" spans="1:13" x14ac:dyDescent="0.25">
      <c r="A520" s="91">
        <v>621</v>
      </c>
      <c r="B520" s="91">
        <v>548614</v>
      </c>
      <c r="C520" s="92" t="s">
        <v>1025</v>
      </c>
      <c r="D520" s="121" t="str">
        <f t="shared" si="28"/>
        <v>SIKAFLOOR-264 (AB) RAL9003          18KG "E"</v>
      </c>
      <c r="E520" s="93" t="s">
        <v>1014</v>
      </c>
      <c r="F520" s="94"/>
      <c r="G520" s="95" t="s">
        <v>99</v>
      </c>
      <c r="H520" s="96">
        <v>18</v>
      </c>
      <c r="I520" s="97" t="s">
        <v>50</v>
      </c>
      <c r="J520" s="98">
        <v>1</v>
      </c>
      <c r="K520" s="99" t="s">
        <v>8</v>
      </c>
      <c r="L520" s="82">
        <v>2735750</v>
      </c>
      <c r="M520" s="100">
        <v>7.2000000000000008E-2</v>
      </c>
    </row>
    <row r="521" spans="1:13" x14ac:dyDescent="0.25">
      <c r="A521" s="91">
        <v>616</v>
      </c>
      <c r="B521" s="91">
        <v>548616</v>
      </c>
      <c r="C521" s="92" t="s">
        <v>1020</v>
      </c>
      <c r="D521" s="121" t="str">
        <f t="shared" si="28"/>
        <v>SIKAFLOOR-264 (AB) RAL5007          18KG "E"</v>
      </c>
      <c r="E521" s="93" t="s">
        <v>1014</v>
      </c>
      <c r="F521" s="94"/>
      <c r="G521" s="95" t="s">
        <v>115</v>
      </c>
      <c r="H521" s="96">
        <v>18</v>
      </c>
      <c r="I521" s="97" t="s">
        <v>50</v>
      </c>
      <c r="J521" s="98">
        <v>1</v>
      </c>
      <c r="K521" s="99" t="s">
        <v>8</v>
      </c>
      <c r="L521" s="82">
        <v>2735750</v>
      </c>
      <c r="M521" s="100">
        <v>7.2000000000000008E-2</v>
      </c>
    </row>
    <row r="522" spans="1:13" x14ac:dyDescent="0.25">
      <c r="A522" s="91">
        <v>615</v>
      </c>
      <c r="B522" s="91">
        <v>548618</v>
      </c>
      <c r="C522" s="92" t="s">
        <v>1019</v>
      </c>
      <c r="D522" s="121" t="str">
        <f t="shared" si="28"/>
        <v>SIKAFLOOR-264 (AB) RAL3009          18KG "E"</v>
      </c>
      <c r="E522" s="93" t="s">
        <v>1014</v>
      </c>
      <c r="F522" s="94"/>
      <c r="G522" s="95"/>
      <c r="H522" s="96">
        <v>18</v>
      </c>
      <c r="I522" s="97" t="s">
        <v>50</v>
      </c>
      <c r="J522" s="98">
        <v>1</v>
      </c>
      <c r="K522" s="99" t="s">
        <v>8</v>
      </c>
      <c r="L522" s="82">
        <v>2686200</v>
      </c>
      <c r="M522" s="100">
        <v>7.2000000000000008E-2</v>
      </c>
    </row>
    <row r="523" spans="1:13" x14ac:dyDescent="0.25">
      <c r="A523" s="91">
        <v>617</v>
      </c>
      <c r="B523" s="91">
        <v>548620</v>
      </c>
      <c r="C523" s="92" t="s">
        <v>1021</v>
      </c>
      <c r="D523" s="121" t="str">
        <f t="shared" si="28"/>
        <v>SIKAFLOOR-264 (AB) RAL6011          18KG "E"</v>
      </c>
      <c r="E523" s="93" t="s">
        <v>1014</v>
      </c>
      <c r="F523" s="94"/>
      <c r="G523" s="95" t="s">
        <v>116</v>
      </c>
      <c r="H523" s="96">
        <v>18</v>
      </c>
      <c r="I523" s="97" t="s">
        <v>50</v>
      </c>
      <c r="J523" s="98">
        <v>1</v>
      </c>
      <c r="K523" s="99" t="s">
        <v>8</v>
      </c>
      <c r="L523" s="82">
        <v>2686200</v>
      </c>
      <c r="M523" s="100">
        <v>7.2000000000000008E-2</v>
      </c>
    </row>
    <row r="524" spans="1:13" x14ac:dyDescent="0.25">
      <c r="A524" s="91">
        <v>622</v>
      </c>
      <c r="B524" s="91">
        <v>548624</v>
      </c>
      <c r="C524" s="92" t="s">
        <v>1026</v>
      </c>
      <c r="D524" s="121" t="str">
        <f t="shared" si="28"/>
        <v>SIKAFLOOR-264 (AB) RAL9005          18KG "E"</v>
      </c>
      <c r="E524" s="93" t="s">
        <v>1014</v>
      </c>
      <c r="F524" s="94"/>
      <c r="G524" s="95"/>
      <c r="H524" s="96">
        <v>18</v>
      </c>
      <c r="I524" s="97" t="s">
        <v>50</v>
      </c>
      <c r="J524" s="98">
        <v>1</v>
      </c>
      <c r="K524" s="99" t="s">
        <v>8</v>
      </c>
      <c r="L524" s="82">
        <v>3013450</v>
      </c>
      <c r="M524" s="100">
        <v>7.2000000000000008E-2</v>
      </c>
    </row>
    <row r="525" spans="1:13" x14ac:dyDescent="0.25">
      <c r="A525" s="26">
        <v>344</v>
      </c>
      <c r="B525" s="26">
        <v>548860</v>
      </c>
      <c r="C525" s="27" t="s">
        <v>680</v>
      </c>
      <c r="D525" s="27" t="str">
        <f t="shared" ref="D525:D530" si="29">UPPER(C525)</f>
        <v>SIKA ANCHORFIX-3030 (AB) CO   /12 CTR585</v>
      </c>
      <c r="E525" s="28" t="s">
        <v>681</v>
      </c>
      <c r="F525" s="29"/>
      <c r="G525" s="30" t="s">
        <v>55</v>
      </c>
      <c r="H525" s="31">
        <v>1</v>
      </c>
      <c r="I525" s="32" t="s">
        <v>1445</v>
      </c>
      <c r="J525" s="33">
        <v>1</v>
      </c>
      <c r="K525" s="34" t="s">
        <v>8</v>
      </c>
      <c r="L525" s="82">
        <v>347600</v>
      </c>
      <c r="M525" s="35">
        <v>8.199999999999999E-2</v>
      </c>
    </row>
    <row r="526" spans="1:13" x14ac:dyDescent="0.25">
      <c r="A526" s="26">
        <v>905</v>
      </c>
      <c r="B526" s="26">
        <v>549640</v>
      </c>
      <c r="C526" s="27" t="s">
        <v>1385</v>
      </c>
      <c r="D526" s="27" t="str">
        <f t="shared" si="29"/>
        <v>SIKA-1 MO                       DR 220KG</v>
      </c>
      <c r="E526" s="28" t="s">
        <v>1384</v>
      </c>
      <c r="F526" s="29"/>
      <c r="G526" s="30"/>
      <c r="H526" s="31">
        <v>220</v>
      </c>
      <c r="I526" s="32" t="s">
        <v>50</v>
      </c>
      <c r="J526" s="33">
        <v>1</v>
      </c>
      <c r="K526" s="34" t="s">
        <v>8</v>
      </c>
      <c r="L526" s="82">
        <v>2297000</v>
      </c>
      <c r="M526" s="35">
        <v>8.6999999999999994E-2</v>
      </c>
    </row>
    <row r="527" spans="1:13" x14ac:dyDescent="0.25">
      <c r="A527" s="26">
        <v>904</v>
      </c>
      <c r="B527" s="26">
        <v>549642</v>
      </c>
      <c r="C527" s="27" t="s">
        <v>1383</v>
      </c>
      <c r="D527" s="27" t="str">
        <f t="shared" si="29"/>
        <v>SIKA-1 MO                        PL 20KG</v>
      </c>
      <c r="E527" s="28" t="s">
        <v>1384</v>
      </c>
      <c r="F527" s="29"/>
      <c r="G527" s="30"/>
      <c r="H527" s="31">
        <v>20</v>
      </c>
      <c r="I527" s="32" t="s">
        <v>50</v>
      </c>
      <c r="J527" s="33">
        <v>1</v>
      </c>
      <c r="K527" s="34" t="s">
        <v>8</v>
      </c>
      <c r="L527" s="82">
        <v>320550</v>
      </c>
      <c r="M527" s="35">
        <v>8.6999999999999994E-2</v>
      </c>
    </row>
    <row r="528" spans="1:13" x14ac:dyDescent="0.25">
      <c r="A528" s="26">
        <v>229</v>
      </c>
      <c r="B528" s="26">
        <v>550165</v>
      </c>
      <c r="C528" s="27" t="s">
        <v>503</v>
      </c>
      <c r="D528" s="27" t="str">
        <f t="shared" si="29"/>
        <v>SIKAVISCOCRETE-30HE CO          DR 230KG</v>
      </c>
      <c r="E528" s="28" t="s">
        <v>502</v>
      </c>
      <c r="F528" s="29"/>
      <c r="G528" s="30"/>
      <c r="H528" s="31">
        <v>230</v>
      </c>
      <c r="I528" s="32" t="s">
        <v>50</v>
      </c>
      <c r="J528" s="33">
        <v>1</v>
      </c>
      <c r="K528" s="34" t="s">
        <v>8</v>
      </c>
      <c r="L528" s="82">
        <v>7765900</v>
      </c>
      <c r="M528" s="35">
        <v>6.9999999999999993E-2</v>
      </c>
    </row>
    <row r="529" spans="1:13" x14ac:dyDescent="0.25">
      <c r="A529" s="26">
        <v>228</v>
      </c>
      <c r="B529" s="26">
        <v>550166</v>
      </c>
      <c r="C529" s="27" t="s">
        <v>501</v>
      </c>
      <c r="D529" s="27" t="str">
        <f t="shared" si="29"/>
        <v>SIKAVISCOCRETE-30HE CO         TANKER KG</v>
      </c>
      <c r="E529" s="28" t="s">
        <v>502</v>
      </c>
      <c r="F529" s="29"/>
      <c r="G529" s="30"/>
      <c r="H529" s="31">
        <v>1</v>
      </c>
      <c r="I529" s="32" t="s">
        <v>50</v>
      </c>
      <c r="J529" s="33">
        <v>500</v>
      </c>
      <c r="K529" s="34" t="s">
        <v>8</v>
      </c>
      <c r="L529" s="82">
        <v>27650</v>
      </c>
      <c r="M529" s="35">
        <v>0.04</v>
      </c>
    </row>
    <row r="530" spans="1:13" x14ac:dyDescent="0.25">
      <c r="A530" s="26">
        <v>319</v>
      </c>
      <c r="B530" s="26">
        <v>550903</v>
      </c>
      <c r="C530" s="27" t="s">
        <v>644</v>
      </c>
      <c r="D530" s="27" t="str">
        <f t="shared" si="29"/>
        <v>SIKATARD-935 CO                CO 1100KG</v>
      </c>
      <c r="E530" s="28" t="s">
        <v>642</v>
      </c>
      <c r="F530" s="29"/>
      <c r="G530" s="30"/>
      <c r="H530" s="31">
        <v>1100</v>
      </c>
      <c r="I530" s="32" t="s">
        <v>50</v>
      </c>
      <c r="J530" s="33">
        <v>1</v>
      </c>
      <c r="K530" s="34" t="s">
        <v>8</v>
      </c>
      <c r="L530" s="82">
        <v>15734450</v>
      </c>
      <c r="M530" s="35">
        <v>0.08</v>
      </c>
    </row>
    <row r="531" spans="1:13" x14ac:dyDescent="0.25">
      <c r="A531" s="91">
        <v>451</v>
      </c>
      <c r="B531" s="91">
        <v>552390</v>
      </c>
      <c r="C531" s="92" t="s">
        <v>828</v>
      </c>
      <c r="D531" s="121" t="str">
        <f>CONCATENATE(UPPER(C531),$D$3)</f>
        <v>EPOXIFENOLICO S-400 (A) WHITE    PL 3GAL "E"</v>
      </c>
      <c r="E531" s="93" t="s">
        <v>827</v>
      </c>
      <c r="F531" s="94"/>
      <c r="G531" s="95" t="s">
        <v>15</v>
      </c>
      <c r="H531" s="96">
        <v>3</v>
      </c>
      <c r="I531" s="97" t="s">
        <v>1443</v>
      </c>
      <c r="J531" s="98">
        <v>1</v>
      </c>
      <c r="K531" s="99" t="s">
        <v>8</v>
      </c>
      <c r="L531" s="82">
        <v>1093950</v>
      </c>
      <c r="M531" s="100">
        <v>0.1</v>
      </c>
    </row>
    <row r="532" spans="1:13" x14ac:dyDescent="0.25">
      <c r="A532" s="26">
        <v>121</v>
      </c>
      <c r="B532" s="26">
        <v>552651</v>
      </c>
      <c r="C532" s="27" t="s">
        <v>341</v>
      </c>
      <c r="D532" s="27" t="str">
        <f>UPPER(C532)</f>
        <v>SIKAWALL-225 MASILLA EN POLVO    BG 25KG</v>
      </c>
      <c r="E532" s="28" t="s">
        <v>342</v>
      </c>
      <c r="F532" s="29"/>
      <c r="G532" s="30"/>
      <c r="H532" s="31">
        <v>25</v>
      </c>
      <c r="I532" s="32" t="s">
        <v>50</v>
      </c>
      <c r="J532" s="33">
        <v>1</v>
      </c>
      <c r="K532" s="34" t="s">
        <v>8</v>
      </c>
      <c r="L532" s="82">
        <v>104650</v>
      </c>
      <c r="M532" s="35">
        <v>6.4000000000000001E-2</v>
      </c>
    </row>
    <row r="533" spans="1:13" x14ac:dyDescent="0.25">
      <c r="A533" s="91">
        <v>725</v>
      </c>
      <c r="B533" s="91">
        <v>552832</v>
      </c>
      <c r="C533" s="92" t="s">
        <v>1139</v>
      </c>
      <c r="D533" s="121" t="str">
        <f>CONCATENATE(UPPER(C533),$D$3)</f>
        <v>SIKAMANTO-1300 FLEX (AB)           220KG "E"</v>
      </c>
      <c r="E533" s="93" t="s">
        <v>1140</v>
      </c>
      <c r="F533" s="94"/>
      <c r="G533" s="95"/>
      <c r="H533" s="96">
        <v>220</v>
      </c>
      <c r="I533" s="97" t="s">
        <v>50</v>
      </c>
      <c r="J533" s="98">
        <v>1</v>
      </c>
      <c r="K533" s="99" t="s">
        <v>8</v>
      </c>
      <c r="L533" s="82">
        <v>4056700</v>
      </c>
      <c r="M533" s="100">
        <v>7.2499999999999995E-2</v>
      </c>
    </row>
    <row r="534" spans="1:13" x14ac:dyDescent="0.25">
      <c r="A534" s="26">
        <v>659</v>
      </c>
      <c r="B534" s="26">
        <v>553007</v>
      </c>
      <c r="C534" s="27" t="s">
        <v>1063</v>
      </c>
      <c r="D534" s="27" t="str">
        <f t="shared" ref="D534:D539" si="30">UPPER(C534)</f>
        <v>SIKAGARD-318 W CO                PL 5GAL</v>
      </c>
      <c r="E534" s="28" t="s">
        <v>1062</v>
      </c>
      <c r="F534" s="29"/>
      <c r="G534" s="30" t="s">
        <v>57</v>
      </c>
      <c r="H534" s="31">
        <v>5</v>
      </c>
      <c r="I534" s="32" t="s">
        <v>1443</v>
      </c>
      <c r="J534" s="33">
        <v>1</v>
      </c>
      <c r="K534" s="34" t="s">
        <v>8</v>
      </c>
      <c r="L534" s="82">
        <v>1371550</v>
      </c>
      <c r="M534" s="35">
        <v>6.7000000000000004E-2</v>
      </c>
    </row>
    <row r="535" spans="1:13" x14ac:dyDescent="0.25">
      <c r="A535" s="26">
        <v>658</v>
      </c>
      <c r="B535" s="26">
        <v>553008</v>
      </c>
      <c r="C535" s="27" t="s">
        <v>1061</v>
      </c>
      <c r="D535" s="27" t="str">
        <f t="shared" si="30"/>
        <v>SIKAGARD-318 W CO                PL 1GAL</v>
      </c>
      <c r="E535" s="28" t="s">
        <v>1062</v>
      </c>
      <c r="F535" s="29"/>
      <c r="G535" s="30" t="s">
        <v>57</v>
      </c>
      <c r="H535" s="31">
        <v>1</v>
      </c>
      <c r="I535" s="32" t="s">
        <v>1443</v>
      </c>
      <c r="J535" s="33">
        <v>4</v>
      </c>
      <c r="K535" s="34" t="s">
        <v>8</v>
      </c>
      <c r="L535" s="82">
        <v>286500</v>
      </c>
      <c r="M535" s="35">
        <v>6.7000000000000004E-2</v>
      </c>
    </row>
    <row r="536" spans="1:13" x14ac:dyDescent="0.25">
      <c r="A536" s="26">
        <v>779</v>
      </c>
      <c r="B536" s="26">
        <v>553042</v>
      </c>
      <c r="C536" s="27" t="s">
        <v>1206</v>
      </c>
      <c r="D536" s="27" t="str">
        <f t="shared" si="30"/>
        <v>SIKALASTIC-615 TRAFFIC         PL 28,5KG</v>
      </c>
      <c r="E536" s="28" t="s">
        <v>1207</v>
      </c>
      <c r="F536" s="29"/>
      <c r="G536" s="30"/>
      <c r="H536" s="31">
        <v>28.5</v>
      </c>
      <c r="I536" s="32" t="s">
        <v>50</v>
      </c>
      <c r="J536" s="33">
        <v>1</v>
      </c>
      <c r="K536" s="34" t="s">
        <v>8</v>
      </c>
      <c r="L536" s="82">
        <v>1824450</v>
      </c>
      <c r="M536" s="35">
        <v>7.2499999999999995E-2</v>
      </c>
    </row>
    <row r="537" spans="1:13" x14ac:dyDescent="0.25">
      <c r="A537" s="26">
        <v>153</v>
      </c>
      <c r="B537" s="26">
        <v>553110</v>
      </c>
      <c r="C537" s="27" t="s">
        <v>391</v>
      </c>
      <c r="D537" s="27" t="str">
        <f t="shared" si="30"/>
        <v>SIKAPLASTIMENT AP               DR 230KG</v>
      </c>
      <c r="E537" s="28" t="s">
        <v>390</v>
      </c>
      <c r="F537" s="29"/>
      <c r="G537" s="30"/>
      <c r="H537" s="31">
        <v>230</v>
      </c>
      <c r="I537" s="32" t="s">
        <v>50</v>
      </c>
      <c r="J537" s="33">
        <v>1</v>
      </c>
      <c r="K537" s="34" t="s">
        <v>8</v>
      </c>
      <c r="L537" s="82">
        <v>1967900</v>
      </c>
      <c r="M537" s="35">
        <v>6.9999999999999993E-2</v>
      </c>
    </row>
    <row r="538" spans="1:13" x14ac:dyDescent="0.25">
      <c r="A538" s="26">
        <v>184</v>
      </c>
      <c r="B538" s="26">
        <v>553111</v>
      </c>
      <c r="C538" s="27" t="s">
        <v>436</v>
      </c>
      <c r="D538" s="27" t="str">
        <f t="shared" si="30"/>
        <v>SIKASEPAROL POWDER NEUTRAL  COL  BG 25KG</v>
      </c>
      <c r="E538" s="28" t="s">
        <v>435</v>
      </c>
      <c r="F538" s="29"/>
      <c r="G538" s="30" t="s">
        <v>52</v>
      </c>
      <c r="H538" s="31">
        <v>25</v>
      </c>
      <c r="I538" s="32" t="s">
        <v>50</v>
      </c>
      <c r="J538" s="33">
        <v>1</v>
      </c>
      <c r="K538" s="34" t="s">
        <v>8</v>
      </c>
      <c r="L538" s="82">
        <v>782700</v>
      </c>
      <c r="M538" s="35">
        <v>6.9999999999999993E-2</v>
      </c>
    </row>
    <row r="539" spans="1:13" x14ac:dyDescent="0.25">
      <c r="A539" s="26">
        <v>113</v>
      </c>
      <c r="B539" s="26">
        <v>553143</v>
      </c>
      <c r="C539" s="27" t="s">
        <v>327</v>
      </c>
      <c r="D539" s="27" t="str">
        <f t="shared" si="30"/>
        <v>SIKAMUR-150 PEGA MAMPOSTERIA     BG 50KG</v>
      </c>
      <c r="E539" s="28" t="s">
        <v>328</v>
      </c>
      <c r="F539" s="29"/>
      <c r="G539" s="30"/>
      <c r="H539" s="31">
        <v>50</v>
      </c>
      <c r="I539" s="32" t="s">
        <v>50</v>
      </c>
      <c r="J539" s="33">
        <v>1</v>
      </c>
      <c r="K539" s="34" t="s">
        <v>8</v>
      </c>
      <c r="L539" s="82">
        <v>83300</v>
      </c>
      <c r="M539" s="35">
        <v>6.4000000000000001E-2</v>
      </c>
    </row>
    <row r="540" spans="1:13" x14ac:dyDescent="0.25">
      <c r="A540" s="91">
        <v>716</v>
      </c>
      <c r="B540" s="91">
        <v>553240</v>
      </c>
      <c r="C540" s="92" t="s">
        <v>1127</v>
      </c>
      <c r="D540" s="121" t="str">
        <f>CONCATENATE(UPPER(C540),$D$3)</f>
        <v>SIKALAMINA DE DRENAJE 32T RO 2,00/25  M2 "E"</v>
      </c>
      <c r="E540" s="93" t="s">
        <v>1128</v>
      </c>
      <c r="F540" s="94"/>
      <c r="G540" s="95" t="s">
        <v>137</v>
      </c>
      <c r="H540" s="96">
        <v>50</v>
      </c>
      <c r="I540" s="97" t="s">
        <v>135</v>
      </c>
      <c r="J540" s="98">
        <v>50</v>
      </c>
      <c r="K540" s="99" t="s">
        <v>135</v>
      </c>
      <c r="L540" s="82">
        <v>40050</v>
      </c>
      <c r="M540" s="100">
        <v>7.2499999999999995E-2</v>
      </c>
    </row>
    <row r="541" spans="1:13" x14ac:dyDescent="0.25">
      <c r="A541" s="26">
        <v>747</v>
      </c>
      <c r="B541" s="26">
        <v>554326</v>
      </c>
      <c r="C541" s="27" t="s">
        <v>1167</v>
      </c>
      <c r="D541" s="27" t="str">
        <f>UPPER(C541)</f>
        <v>SIKAFILL-300 THERMIC WHITE      /4X3,1KG</v>
      </c>
      <c r="E541" s="28" t="s">
        <v>1168</v>
      </c>
      <c r="F541" s="29"/>
      <c r="G541" s="30" t="s">
        <v>15</v>
      </c>
      <c r="H541" s="31">
        <v>3.1</v>
      </c>
      <c r="I541" s="32" t="s">
        <v>50</v>
      </c>
      <c r="J541" s="33">
        <v>4</v>
      </c>
      <c r="K541" s="34" t="s">
        <v>8</v>
      </c>
      <c r="L541" s="82">
        <v>188000</v>
      </c>
      <c r="M541" s="35">
        <v>7.2499999999999995E-2</v>
      </c>
    </row>
    <row r="542" spans="1:13" x14ac:dyDescent="0.25">
      <c r="A542" s="26">
        <v>749</v>
      </c>
      <c r="B542" s="26">
        <v>554330</v>
      </c>
      <c r="C542" s="27" t="s">
        <v>1170</v>
      </c>
      <c r="D542" s="27" t="str">
        <f>UPPER(C542)</f>
        <v>SIKAFILL-300 THERMIC WHITE       PL 18KG</v>
      </c>
      <c r="E542" s="28" t="s">
        <v>1168</v>
      </c>
      <c r="F542" s="29"/>
      <c r="G542" s="30" t="s">
        <v>15</v>
      </c>
      <c r="H542" s="31">
        <v>18</v>
      </c>
      <c r="I542" s="32" t="s">
        <v>50</v>
      </c>
      <c r="J542" s="33">
        <v>1</v>
      </c>
      <c r="K542" s="34" t="s">
        <v>8</v>
      </c>
      <c r="L542" s="82">
        <v>1060650</v>
      </c>
      <c r="M542" s="35">
        <v>7.2499999999999995E-2</v>
      </c>
    </row>
    <row r="543" spans="1:13" x14ac:dyDescent="0.25">
      <c r="A543" s="26">
        <v>748</v>
      </c>
      <c r="B543" s="26">
        <v>554331</v>
      </c>
      <c r="C543" s="27" t="s">
        <v>1169</v>
      </c>
      <c r="D543" s="27" t="str">
        <f>UPPER(C543)</f>
        <v>SIKAFILL-300 THERMIC GREY        PL 18KG</v>
      </c>
      <c r="E543" s="28" t="s">
        <v>1168</v>
      </c>
      <c r="F543" s="29"/>
      <c r="G543" s="30" t="s">
        <v>14</v>
      </c>
      <c r="H543" s="31">
        <v>18</v>
      </c>
      <c r="I543" s="32" t="s">
        <v>50</v>
      </c>
      <c r="J543" s="33">
        <v>1</v>
      </c>
      <c r="K543" s="34" t="s">
        <v>8</v>
      </c>
      <c r="L543" s="82">
        <v>1060650</v>
      </c>
      <c r="M543" s="35">
        <v>7.2499999999999995E-2</v>
      </c>
    </row>
    <row r="544" spans="1:13" x14ac:dyDescent="0.25">
      <c r="A544" s="26">
        <v>750</v>
      </c>
      <c r="B544" s="26">
        <v>554334</v>
      </c>
      <c r="C544" s="27" t="s">
        <v>1171</v>
      </c>
      <c r="D544" s="27" t="str">
        <f>UPPER(C544)</f>
        <v>SIKAFILL-300 THERMIC WHITE      DR 180KG</v>
      </c>
      <c r="E544" s="28" t="s">
        <v>1168</v>
      </c>
      <c r="F544" s="29"/>
      <c r="G544" s="30" t="s">
        <v>146</v>
      </c>
      <c r="H544" s="31">
        <v>180</v>
      </c>
      <c r="I544" s="32" t="s">
        <v>50</v>
      </c>
      <c r="J544" s="33">
        <v>1</v>
      </c>
      <c r="K544" s="34" t="s">
        <v>8</v>
      </c>
      <c r="L544" s="82">
        <v>9675650</v>
      </c>
      <c r="M544" s="35">
        <v>7.2499999999999995E-2</v>
      </c>
    </row>
    <row r="545" spans="1:13" x14ac:dyDescent="0.25">
      <c r="A545" s="91">
        <v>206</v>
      </c>
      <c r="B545" s="91">
        <v>555062</v>
      </c>
      <c r="C545" s="92" t="s">
        <v>466</v>
      </c>
      <c r="D545" s="121" t="str">
        <f>CONCATENATE(UPPER(C545),$D$3)</f>
        <v>SIKASIGUNIT L-54 AF MO         CO 1200KG "E"</v>
      </c>
      <c r="E545" s="93" t="s">
        <v>464</v>
      </c>
      <c r="F545" s="94"/>
      <c r="G545" s="95"/>
      <c r="H545" s="96">
        <v>1200</v>
      </c>
      <c r="I545" s="97" t="s">
        <v>50</v>
      </c>
      <c r="J545" s="98">
        <v>1</v>
      </c>
      <c r="K545" s="99" t="s">
        <v>8</v>
      </c>
      <c r="L545" s="82">
        <v>9348250</v>
      </c>
      <c r="M545" s="100">
        <v>0.08</v>
      </c>
    </row>
    <row r="546" spans="1:13" x14ac:dyDescent="0.25">
      <c r="A546" s="26">
        <v>828</v>
      </c>
      <c r="B546" s="26">
        <v>556900</v>
      </c>
      <c r="C546" s="27" t="s">
        <v>1271</v>
      </c>
      <c r="D546" s="27" t="str">
        <f t="shared" ref="D546:D551" si="31">UPPER(C546)</f>
        <v>SIKAFLEX-118 EXTR.GRAB WH.C47 /12 CTR290</v>
      </c>
      <c r="E546" s="28" t="s">
        <v>1272</v>
      </c>
      <c r="F546" s="29"/>
      <c r="G546" s="30" t="s">
        <v>15</v>
      </c>
      <c r="H546" s="31">
        <v>290</v>
      </c>
      <c r="I546" s="32" t="s">
        <v>1445</v>
      </c>
      <c r="J546" s="33">
        <v>12</v>
      </c>
      <c r="K546" s="34" t="s">
        <v>8</v>
      </c>
      <c r="L546" s="82">
        <v>55050</v>
      </c>
      <c r="M546" s="35">
        <v>6.7000000000000004E-2</v>
      </c>
    </row>
    <row r="547" spans="1:13" x14ac:dyDescent="0.25">
      <c r="A547" s="26">
        <v>600</v>
      </c>
      <c r="B547" s="26">
        <v>558702</v>
      </c>
      <c r="C547" s="27" t="s">
        <v>1008</v>
      </c>
      <c r="D547" s="27" t="str">
        <f t="shared" si="31"/>
        <v>SIKAFLOOR-2430CO (AB) RAL6017     /4X4KG</v>
      </c>
      <c r="E547" s="28" t="s">
        <v>180</v>
      </c>
      <c r="F547" s="29"/>
      <c r="G547" s="30"/>
      <c r="H547" s="31">
        <v>4</v>
      </c>
      <c r="I547" s="32" t="s">
        <v>50</v>
      </c>
      <c r="J547" s="33">
        <v>4</v>
      </c>
      <c r="K547" s="34" t="s">
        <v>8</v>
      </c>
      <c r="L547" s="82">
        <v>435900</v>
      </c>
      <c r="M547" s="35">
        <v>8.199999999999999E-2</v>
      </c>
    </row>
    <row r="548" spans="1:13" x14ac:dyDescent="0.25">
      <c r="A548" s="26">
        <v>848</v>
      </c>
      <c r="B548" s="26">
        <v>560586</v>
      </c>
      <c r="C548" s="27" t="s">
        <v>1301</v>
      </c>
      <c r="D548" s="27" t="str">
        <f t="shared" si="31"/>
        <v>SIKAHYFLEX-305EU GREYS6 C5018 /25 CTR300</v>
      </c>
      <c r="E548" s="28" t="s">
        <v>1300</v>
      </c>
      <c r="F548" s="29"/>
      <c r="G548" s="30" t="s">
        <v>14</v>
      </c>
      <c r="H548" s="31">
        <v>300</v>
      </c>
      <c r="I548" s="32" t="s">
        <v>1445</v>
      </c>
      <c r="J548" s="33">
        <v>25</v>
      </c>
      <c r="K548" s="34" t="s">
        <v>8</v>
      </c>
      <c r="L548" s="82">
        <v>56200</v>
      </c>
      <c r="M548" s="35">
        <v>9.2889621789630561E-2</v>
      </c>
    </row>
    <row r="549" spans="1:13" s="50" customFormat="1" ht="12.75" x14ac:dyDescent="0.2">
      <c r="A549" s="26">
        <v>117</v>
      </c>
      <c r="B549" s="26">
        <v>564566</v>
      </c>
      <c r="C549" s="27" t="s">
        <v>335</v>
      </c>
      <c r="D549" s="27" t="str">
        <f t="shared" si="31"/>
        <v>SIKAWALL-125 PANETE RAPIDO SECAD.BG 25KG</v>
      </c>
      <c r="E549" s="28" t="s">
        <v>336</v>
      </c>
      <c r="F549" s="29"/>
      <c r="G549" s="41"/>
      <c r="H549" s="31">
        <v>25</v>
      </c>
      <c r="I549" s="32" t="s">
        <v>50</v>
      </c>
      <c r="J549" s="33">
        <v>1</v>
      </c>
      <c r="K549" s="34" t="s">
        <v>8</v>
      </c>
      <c r="L549" s="82">
        <v>60850</v>
      </c>
      <c r="M549" s="35">
        <v>6.4000000000000001E-2</v>
      </c>
    </row>
    <row r="550" spans="1:13" x14ac:dyDescent="0.25">
      <c r="A550" s="26">
        <v>118</v>
      </c>
      <c r="B550" s="26">
        <v>564567</v>
      </c>
      <c r="C550" s="27" t="s">
        <v>337</v>
      </c>
      <c r="D550" s="27" t="str">
        <f t="shared" si="31"/>
        <v>SIKAWALL-125 PANETE RAPIDO SECAD.BG 50KG</v>
      </c>
      <c r="E550" s="28" t="s">
        <v>336</v>
      </c>
      <c r="F550" s="29"/>
      <c r="G550" s="30"/>
      <c r="H550" s="31">
        <v>50</v>
      </c>
      <c r="I550" s="32" t="s">
        <v>50</v>
      </c>
      <c r="J550" s="33">
        <v>1</v>
      </c>
      <c r="K550" s="34" t="s">
        <v>8</v>
      </c>
      <c r="L550" s="82">
        <v>118300</v>
      </c>
      <c r="M550" s="35">
        <v>6.4000000000000001E-2</v>
      </c>
    </row>
    <row r="551" spans="1:13" x14ac:dyDescent="0.25">
      <c r="A551" s="26">
        <v>804</v>
      </c>
      <c r="B551" s="26">
        <v>568656</v>
      </c>
      <c r="C551" s="27" t="s">
        <v>1235</v>
      </c>
      <c r="D551" s="27" t="str">
        <f t="shared" si="31"/>
        <v>SIKAMULTISEAL S AL.10M/150MM LATAM/16ROL</v>
      </c>
      <c r="E551" s="28" t="s">
        <v>1234</v>
      </c>
      <c r="F551" s="29" t="s">
        <v>129</v>
      </c>
      <c r="G551" s="36"/>
      <c r="H551" s="31">
        <v>10</v>
      </c>
      <c r="I551" s="32" t="s">
        <v>106</v>
      </c>
      <c r="J551" s="46">
        <v>16</v>
      </c>
      <c r="K551" s="37" t="s">
        <v>8</v>
      </c>
      <c r="L551" s="82">
        <v>65250</v>
      </c>
      <c r="M551" s="35">
        <v>8.6999999999999994E-2</v>
      </c>
    </row>
    <row r="552" spans="1:13" x14ac:dyDescent="0.25">
      <c r="A552" s="91">
        <v>645</v>
      </c>
      <c r="B552" s="91">
        <v>568748</v>
      </c>
      <c r="C552" s="92" t="s">
        <v>1043</v>
      </c>
      <c r="D552" s="121" t="str">
        <f>CONCATENATE(UPPER(C552),$D$3)</f>
        <v>SIKAFLOOR-510 (AB) RAL7030        4,87KG "E"</v>
      </c>
      <c r="E552" s="93" t="s">
        <v>961</v>
      </c>
      <c r="F552" s="94"/>
      <c r="G552" s="95" t="s">
        <v>61</v>
      </c>
      <c r="H552" s="96">
        <v>4.87</v>
      </c>
      <c r="I552" s="97" t="s">
        <v>50</v>
      </c>
      <c r="J552" s="98">
        <v>1</v>
      </c>
      <c r="K552" s="99" t="s">
        <v>8</v>
      </c>
      <c r="L552" s="82">
        <v>951550</v>
      </c>
      <c r="M552" s="100">
        <v>8.199999999999999E-2</v>
      </c>
    </row>
    <row r="553" spans="1:13" x14ac:dyDescent="0.25">
      <c r="A553" s="26">
        <v>282</v>
      </c>
      <c r="B553" s="26">
        <v>574480</v>
      </c>
      <c r="C553" s="27" t="s">
        <v>591</v>
      </c>
      <c r="D553" s="27" t="str">
        <f t="shared" ref="D553:D564" si="32">UPPER(C553)</f>
        <v>SIKAPLAST MO                   /12X2,2KG</v>
      </c>
      <c r="E553" s="28" t="s">
        <v>590</v>
      </c>
      <c r="F553" s="29"/>
      <c r="G553" s="30"/>
      <c r="H553" s="31">
        <v>2.2000000000000002</v>
      </c>
      <c r="I553" s="32" t="s">
        <v>50</v>
      </c>
      <c r="J553" s="33">
        <v>12</v>
      </c>
      <c r="K553" s="34" t="s">
        <v>8</v>
      </c>
      <c r="L553" s="82">
        <v>46600</v>
      </c>
      <c r="M553" s="35">
        <v>6.9999999999999993E-2</v>
      </c>
    </row>
    <row r="554" spans="1:13" x14ac:dyDescent="0.25">
      <c r="A554" s="26">
        <v>24</v>
      </c>
      <c r="B554" s="26">
        <v>574481</v>
      </c>
      <c r="C554" s="27" t="s">
        <v>215</v>
      </c>
      <c r="D554" s="27" t="str">
        <f t="shared" si="32"/>
        <v>SIKAMASTIC INTERIOR              BG 20KG</v>
      </c>
      <c r="E554" s="28" t="s">
        <v>213</v>
      </c>
      <c r="F554" s="29"/>
      <c r="G554" s="30" t="s">
        <v>21</v>
      </c>
      <c r="H554" s="31">
        <v>20</v>
      </c>
      <c r="I554" s="32" t="s">
        <v>50</v>
      </c>
      <c r="J554" s="33">
        <v>50</v>
      </c>
      <c r="K554" s="34" t="s">
        <v>8</v>
      </c>
      <c r="L554" s="82">
        <v>48100</v>
      </c>
      <c r="M554" s="35">
        <v>9.4E-2</v>
      </c>
    </row>
    <row r="555" spans="1:13" x14ac:dyDescent="0.25">
      <c r="A555" s="26">
        <v>3</v>
      </c>
      <c r="B555" s="26">
        <v>574484</v>
      </c>
      <c r="C555" s="27" t="s">
        <v>188</v>
      </c>
      <c r="D555" s="27" t="str">
        <f t="shared" si="32"/>
        <v>ESTUKA ACRILICO                  BG 20KG</v>
      </c>
      <c r="E555" s="28" t="s">
        <v>186</v>
      </c>
      <c r="F555" s="29"/>
      <c r="G555" s="30"/>
      <c r="H555" s="31">
        <v>20</v>
      </c>
      <c r="I555" s="32" t="s">
        <v>50</v>
      </c>
      <c r="J555" s="33">
        <v>1</v>
      </c>
      <c r="K555" s="34" t="s">
        <v>8</v>
      </c>
      <c r="L555" s="82">
        <v>70000</v>
      </c>
      <c r="M555" s="35">
        <v>8.4000000000000005E-2</v>
      </c>
    </row>
    <row r="556" spans="1:13" x14ac:dyDescent="0.25">
      <c r="A556" s="26">
        <v>232</v>
      </c>
      <c r="B556" s="26">
        <v>576841</v>
      </c>
      <c r="C556" s="27" t="s">
        <v>507</v>
      </c>
      <c r="D556" s="27" t="str">
        <f t="shared" si="32"/>
        <v>SIKAVISCOCRETE-3100 CO          DR 230KG</v>
      </c>
      <c r="E556" s="28" t="s">
        <v>506</v>
      </c>
      <c r="F556" s="29"/>
      <c r="G556" s="30"/>
      <c r="H556" s="31">
        <v>230</v>
      </c>
      <c r="I556" s="32" t="s">
        <v>50</v>
      </c>
      <c r="J556" s="33">
        <v>1</v>
      </c>
      <c r="K556" s="34" t="s">
        <v>8</v>
      </c>
      <c r="L556" s="82">
        <v>5576900</v>
      </c>
      <c r="M556" s="35">
        <v>6.9999999999999993E-2</v>
      </c>
    </row>
    <row r="557" spans="1:13" s="51" customFormat="1" ht="12.75" x14ac:dyDescent="0.2">
      <c r="A557" s="26">
        <v>231</v>
      </c>
      <c r="B557" s="26">
        <v>576842</v>
      </c>
      <c r="C557" s="27" t="s">
        <v>505</v>
      </c>
      <c r="D557" s="27" t="str">
        <f t="shared" si="32"/>
        <v>SIKAVISCOCRETE-3100 CO         TANKER KG</v>
      </c>
      <c r="E557" s="28" t="s">
        <v>506</v>
      </c>
      <c r="F557" s="88"/>
      <c r="G557" s="41"/>
      <c r="H557" s="31">
        <v>1</v>
      </c>
      <c r="I557" s="32" t="s">
        <v>50</v>
      </c>
      <c r="J557" s="33">
        <v>1</v>
      </c>
      <c r="K557" s="34" t="s">
        <v>8</v>
      </c>
      <c r="L557" s="82">
        <v>21350</v>
      </c>
      <c r="M557" s="35">
        <v>0.08</v>
      </c>
    </row>
    <row r="558" spans="1:13" x14ac:dyDescent="0.25">
      <c r="A558" s="26">
        <v>263</v>
      </c>
      <c r="B558" s="26">
        <v>578632</v>
      </c>
      <c r="C558" s="27" t="s">
        <v>557</v>
      </c>
      <c r="D558" s="27" t="str">
        <f t="shared" si="32"/>
        <v>SIKAFUME CO (BIGBAG)</v>
      </c>
      <c r="E558" s="28" t="s">
        <v>558</v>
      </c>
      <c r="F558" s="29" t="s">
        <v>8</v>
      </c>
      <c r="G558" s="30"/>
      <c r="H558" s="31">
        <v>1</v>
      </c>
      <c r="I558" s="32" t="s">
        <v>50</v>
      </c>
      <c r="J558" s="33">
        <v>1</v>
      </c>
      <c r="K558" s="34" t="s">
        <v>8</v>
      </c>
      <c r="L558" s="82">
        <v>7950</v>
      </c>
      <c r="M558" s="35">
        <v>0.08</v>
      </c>
    </row>
    <row r="559" spans="1:13" x14ac:dyDescent="0.25">
      <c r="A559" s="26">
        <v>28</v>
      </c>
      <c r="B559" s="26">
        <v>579260</v>
      </c>
      <c r="C559" s="27" t="s">
        <v>220</v>
      </c>
      <c r="D559" s="27" t="str">
        <f t="shared" si="32"/>
        <v>SIKATRANSPARENTE-10            PL 3,6GAL</v>
      </c>
      <c r="E559" s="28" t="s">
        <v>219</v>
      </c>
      <c r="F559" s="29"/>
      <c r="G559" s="30" t="s">
        <v>23</v>
      </c>
      <c r="H559" s="31">
        <v>3.6</v>
      </c>
      <c r="I559" s="32" t="s">
        <v>1443</v>
      </c>
      <c r="J559" s="33">
        <v>1</v>
      </c>
      <c r="K559" s="34" t="s">
        <v>8</v>
      </c>
      <c r="L559" s="82">
        <v>390600</v>
      </c>
      <c r="M559" s="35">
        <v>7.400000000000001E-2</v>
      </c>
    </row>
    <row r="560" spans="1:13" x14ac:dyDescent="0.25">
      <c r="A560" s="26">
        <v>32</v>
      </c>
      <c r="B560" s="26">
        <v>579265</v>
      </c>
      <c r="C560" s="27" t="s">
        <v>225</v>
      </c>
      <c r="D560" s="27" t="str">
        <f t="shared" si="32"/>
        <v>SIKATRANSPARENTE-5             PL 3,6GAL</v>
      </c>
      <c r="E560" s="28" t="s">
        <v>224</v>
      </c>
      <c r="F560" s="29"/>
      <c r="G560" s="30" t="s">
        <v>23</v>
      </c>
      <c r="H560" s="31">
        <v>3.6</v>
      </c>
      <c r="I560" s="32" t="s">
        <v>1443</v>
      </c>
      <c r="J560" s="33">
        <v>1</v>
      </c>
      <c r="K560" s="34" t="s">
        <v>8</v>
      </c>
      <c r="L560" s="82">
        <v>389400</v>
      </c>
      <c r="M560" s="35">
        <v>6.4000000000000001E-2</v>
      </c>
    </row>
    <row r="561" spans="1:13" x14ac:dyDescent="0.25">
      <c r="A561" s="26">
        <v>410</v>
      </c>
      <c r="B561" s="26">
        <v>580480</v>
      </c>
      <c r="C561" s="27" t="s">
        <v>770</v>
      </c>
      <c r="D561" s="27" t="str">
        <f t="shared" si="32"/>
        <v>SIKALATEX                   COL  /20X1KG</v>
      </c>
      <c r="E561" s="28" t="s">
        <v>769</v>
      </c>
      <c r="F561" s="29"/>
      <c r="G561" s="30"/>
      <c r="H561" s="31">
        <v>1</v>
      </c>
      <c r="I561" s="32" t="s">
        <v>50</v>
      </c>
      <c r="J561" s="33">
        <v>20</v>
      </c>
      <c r="K561" s="34" t="s">
        <v>8</v>
      </c>
      <c r="L561" s="82">
        <v>55900</v>
      </c>
      <c r="M561" s="35">
        <v>6.7000000000000004E-2</v>
      </c>
    </row>
    <row r="562" spans="1:13" x14ac:dyDescent="0.25">
      <c r="A562" s="26">
        <v>16</v>
      </c>
      <c r="B562" s="26">
        <v>580481</v>
      </c>
      <c r="C562" s="27" t="s">
        <v>204</v>
      </c>
      <c r="D562" s="27" t="str">
        <f t="shared" si="32"/>
        <v>SIKA IMPERMUR                    /20X1KG</v>
      </c>
      <c r="E562" s="28" t="s">
        <v>205</v>
      </c>
      <c r="F562" s="29"/>
      <c r="G562" s="30"/>
      <c r="H562" s="31">
        <v>1</v>
      </c>
      <c r="I562" s="32" t="s">
        <v>50</v>
      </c>
      <c r="J562" s="33">
        <v>20</v>
      </c>
      <c r="K562" s="34" t="s">
        <v>8</v>
      </c>
      <c r="L562" s="82">
        <v>75300</v>
      </c>
      <c r="M562" s="35">
        <v>8.4000000000000005E-2</v>
      </c>
    </row>
    <row r="563" spans="1:13" x14ac:dyDescent="0.25">
      <c r="A563" s="26">
        <v>214</v>
      </c>
      <c r="B563" s="26">
        <v>588134</v>
      </c>
      <c r="C563" s="27" t="s">
        <v>478</v>
      </c>
      <c r="D563" s="27" t="str">
        <f t="shared" si="32"/>
        <v>SIKASTABILIZER-4R CO            DR 200KG</v>
      </c>
      <c r="E563" s="28" t="s">
        <v>479</v>
      </c>
      <c r="F563" s="29"/>
      <c r="G563" s="30"/>
      <c r="H563" s="31">
        <v>200</v>
      </c>
      <c r="I563" s="32" t="s">
        <v>50</v>
      </c>
      <c r="J563" s="33">
        <v>1</v>
      </c>
      <c r="K563" s="34" t="s">
        <v>8</v>
      </c>
      <c r="L563" s="82">
        <v>1970600</v>
      </c>
      <c r="M563" s="35">
        <v>0.11</v>
      </c>
    </row>
    <row r="564" spans="1:13" x14ac:dyDescent="0.25">
      <c r="A564" s="26">
        <v>269</v>
      </c>
      <c r="B564" s="26">
        <v>588135</v>
      </c>
      <c r="C564" s="27" t="s">
        <v>569</v>
      </c>
      <c r="D564" s="27" t="str">
        <f t="shared" si="32"/>
        <v>SIKAMENT-100 SC CO              DR 230KG</v>
      </c>
      <c r="E564" s="28" t="s">
        <v>570</v>
      </c>
      <c r="F564" s="29"/>
      <c r="G564" s="30"/>
      <c r="H564" s="31">
        <v>230</v>
      </c>
      <c r="I564" s="32" t="s">
        <v>50</v>
      </c>
      <c r="J564" s="33">
        <v>1</v>
      </c>
      <c r="K564" s="34" t="s">
        <v>8</v>
      </c>
      <c r="L564" s="82">
        <v>19676800</v>
      </c>
      <c r="M564" s="35">
        <v>0.08</v>
      </c>
    </row>
    <row r="565" spans="1:13" x14ac:dyDescent="0.25">
      <c r="A565" s="91">
        <v>326</v>
      </c>
      <c r="B565" s="91">
        <v>589556</v>
      </c>
      <c r="C565" s="92" t="s">
        <v>655</v>
      </c>
      <c r="D565" s="121" t="str">
        <f t="shared" ref="D565:D570" si="33">CONCATENATE(UPPER(C565),$D$3)</f>
        <v>ELECTRIC CAULKING GUN PP7000 585ML    PC "E"</v>
      </c>
      <c r="E565" s="93" t="s">
        <v>652</v>
      </c>
      <c r="F565" s="94"/>
      <c r="G565" s="95"/>
      <c r="H565" s="96">
        <v>1</v>
      </c>
      <c r="I565" s="97" t="s">
        <v>130</v>
      </c>
      <c r="J565" s="98">
        <v>1</v>
      </c>
      <c r="K565" s="99" t="s">
        <v>8</v>
      </c>
      <c r="L565" s="82">
        <v>8852400</v>
      </c>
      <c r="M565" s="100">
        <v>6.7000000000000004E-2</v>
      </c>
    </row>
    <row r="566" spans="1:13" x14ac:dyDescent="0.25">
      <c r="A566" s="91">
        <v>325</v>
      </c>
      <c r="B566" s="91">
        <v>589557</v>
      </c>
      <c r="C566" s="92" t="s">
        <v>654</v>
      </c>
      <c r="D566" s="121" t="str">
        <f t="shared" si="33"/>
        <v>ELECTRIC CAULKING GUN PP5026 300ML    PC "E"</v>
      </c>
      <c r="E566" s="93" t="s">
        <v>652</v>
      </c>
      <c r="F566" s="94"/>
      <c r="G566" s="95"/>
      <c r="H566" s="96">
        <v>1</v>
      </c>
      <c r="I566" s="97" t="s">
        <v>130</v>
      </c>
      <c r="J566" s="98">
        <v>1</v>
      </c>
      <c r="K566" s="99" t="s">
        <v>8</v>
      </c>
      <c r="L566" s="82">
        <v>5901650</v>
      </c>
      <c r="M566" s="100">
        <v>6.7000000000000004E-2</v>
      </c>
    </row>
    <row r="567" spans="1:13" x14ac:dyDescent="0.25">
      <c r="A567" s="91">
        <v>327</v>
      </c>
      <c r="B567" s="91">
        <v>589558</v>
      </c>
      <c r="C567" s="92" t="s">
        <v>656</v>
      </c>
      <c r="D567" s="121" t="str">
        <f t="shared" si="33"/>
        <v>ELECTRIC CAULKING GUN PP7000 600ML    PC "E"</v>
      </c>
      <c r="E567" s="93" t="s">
        <v>652</v>
      </c>
      <c r="F567" s="94"/>
      <c r="G567" s="95"/>
      <c r="H567" s="96">
        <v>1</v>
      </c>
      <c r="I567" s="97" t="s">
        <v>130</v>
      </c>
      <c r="J567" s="98">
        <v>1</v>
      </c>
      <c r="K567" s="99" t="s">
        <v>8</v>
      </c>
      <c r="L567" s="82">
        <v>8879400</v>
      </c>
      <c r="M567" s="100">
        <v>8.199999999999999E-2</v>
      </c>
    </row>
    <row r="568" spans="1:13" x14ac:dyDescent="0.25">
      <c r="A568" s="91">
        <v>323</v>
      </c>
      <c r="B568" s="91">
        <v>589560</v>
      </c>
      <c r="C568" s="92" t="s">
        <v>651</v>
      </c>
      <c r="D568" s="121" t="str">
        <f t="shared" si="33"/>
        <v>BATTERY 20V LITHIUM F.GUN(PP7000/5026)PC "E"</v>
      </c>
      <c r="E568" s="93" t="s">
        <v>652</v>
      </c>
      <c r="F568" s="94"/>
      <c r="G568" s="95"/>
      <c r="H568" s="96">
        <v>1</v>
      </c>
      <c r="I568" s="97" t="s">
        <v>130</v>
      </c>
      <c r="J568" s="98">
        <v>1</v>
      </c>
      <c r="K568" s="99" t="s">
        <v>8</v>
      </c>
      <c r="L568" s="82">
        <v>1475450</v>
      </c>
      <c r="M568" s="100">
        <v>6.7000000000000004E-2</v>
      </c>
    </row>
    <row r="569" spans="1:13" x14ac:dyDescent="0.25">
      <c r="A569" s="91">
        <v>328</v>
      </c>
      <c r="B569" s="91">
        <v>589627</v>
      </c>
      <c r="C569" s="92" t="s">
        <v>657</v>
      </c>
      <c r="D569" s="121" t="str">
        <f t="shared" si="33"/>
        <v>MANUAL CAULKING GUN 585 ML (585-XSP)  PC "E"</v>
      </c>
      <c r="E569" s="93" t="s">
        <v>652</v>
      </c>
      <c r="F569" s="94"/>
      <c r="G569" s="95"/>
      <c r="H569" s="96">
        <v>1</v>
      </c>
      <c r="I569" s="97" t="s">
        <v>130</v>
      </c>
      <c r="J569" s="98">
        <v>1</v>
      </c>
      <c r="K569" s="99" t="s">
        <v>8</v>
      </c>
      <c r="L569" s="82">
        <v>697950</v>
      </c>
      <c r="M569" s="100">
        <v>8.199999999999999E-2</v>
      </c>
    </row>
    <row r="570" spans="1:13" x14ac:dyDescent="0.25">
      <c r="A570" s="91">
        <v>635</v>
      </c>
      <c r="B570" s="91">
        <v>592440</v>
      </c>
      <c r="C570" s="92" t="s">
        <v>1037</v>
      </c>
      <c r="D570" s="121" t="str">
        <f t="shared" si="33"/>
        <v>SIKAFLOOR-3 QUARTZTOP SAND       BG 50KG "E"</v>
      </c>
      <c r="E570" s="93" t="s">
        <v>1029</v>
      </c>
      <c r="F570" s="94"/>
      <c r="G570" s="95" t="s">
        <v>120</v>
      </c>
      <c r="H570" s="96">
        <v>50</v>
      </c>
      <c r="I570" s="97" t="s">
        <v>50</v>
      </c>
      <c r="J570" s="98">
        <v>1</v>
      </c>
      <c r="K570" s="99" t="s">
        <v>8</v>
      </c>
      <c r="L570" s="82">
        <v>261550</v>
      </c>
      <c r="M570" s="100">
        <v>7.7000000000000013E-2</v>
      </c>
    </row>
    <row r="571" spans="1:13" x14ac:dyDescent="0.25">
      <c r="A571" s="26">
        <v>730</v>
      </c>
      <c r="B571" s="26">
        <v>592655</v>
      </c>
      <c r="C571" s="27" t="s">
        <v>1147</v>
      </c>
      <c r="D571" s="27" t="str">
        <f t="shared" ref="D571:D577" si="34">UPPER(C571)</f>
        <v>SIKAFELT FV-225 (1,27MX120M)         ROL</v>
      </c>
      <c r="E571" s="28" t="s">
        <v>1148</v>
      </c>
      <c r="F571" s="29"/>
      <c r="G571" s="30" t="s">
        <v>145</v>
      </c>
      <c r="H571" s="31">
        <v>1</v>
      </c>
      <c r="I571" s="32" t="s">
        <v>130</v>
      </c>
      <c r="J571" s="33">
        <v>1</v>
      </c>
      <c r="K571" s="34" t="s">
        <v>8</v>
      </c>
      <c r="L571" s="82">
        <v>1733850</v>
      </c>
      <c r="M571" s="35">
        <v>7.2499999999999995E-2</v>
      </c>
    </row>
    <row r="572" spans="1:13" x14ac:dyDescent="0.25">
      <c r="A572" s="26">
        <v>727</v>
      </c>
      <c r="B572" s="26">
        <v>593675</v>
      </c>
      <c r="C572" s="27" t="s">
        <v>1143</v>
      </c>
      <c r="D572" s="27" t="str">
        <f t="shared" si="34"/>
        <v>SIKAFELT FPP-30 (1MX10M)             ROL</v>
      </c>
      <c r="E572" s="28" t="s">
        <v>1144</v>
      </c>
      <c r="F572" s="29"/>
      <c r="G572" s="30" t="s">
        <v>142</v>
      </c>
      <c r="H572" s="31">
        <v>10</v>
      </c>
      <c r="I572" s="32" t="s">
        <v>106</v>
      </c>
      <c r="J572" s="33">
        <v>1</v>
      </c>
      <c r="K572" s="34" t="s">
        <v>8</v>
      </c>
      <c r="L572" s="82">
        <v>39950</v>
      </c>
      <c r="M572" s="35">
        <v>9.2499999999999999E-2</v>
      </c>
    </row>
    <row r="573" spans="1:13" x14ac:dyDescent="0.25">
      <c r="A573" s="26">
        <v>728</v>
      </c>
      <c r="B573" s="26">
        <v>593676</v>
      </c>
      <c r="C573" s="27" t="s">
        <v>1145</v>
      </c>
      <c r="D573" s="27" t="str">
        <f t="shared" si="34"/>
        <v>SIKAFELT FPP-30 (0,15MX20M)          ROL</v>
      </c>
      <c r="E573" s="28" t="s">
        <v>1144</v>
      </c>
      <c r="F573" s="29"/>
      <c r="G573" s="30" t="s">
        <v>143</v>
      </c>
      <c r="H573" s="31">
        <v>20</v>
      </c>
      <c r="I573" s="32" t="s">
        <v>106</v>
      </c>
      <c r="J573" s="33">
        <v>1</v>
      </c>
      <c r="K573" s="34" t="s">
        <v>8</v>
      </c>
      <c r="L573" s="82">
        <v>16400</v>
      </c>
      <c r="M573" s="35">
        <v>9.2499999999999999E-2</v>
      </c>
    </row>
    <row r="574" spans="1:13" x14ac:dyDescent="0.25">
      <c r="A574" s="26">
        <v>199</v>
      </c>
      <c r="B574" s="26">
        <v>601580</v>
      </c>
      <c r="C574" s="27" t="s">
        <v>456</v>
      </c>
      <c r="D574" s="27" t="str">
        <f t="shared" si="34"/>
        <v>SIKASEPAROL-500 MIXER          TANKER KG</v>
      </c>
      <c r="E574" s="28" t="s">
        <v>457</v>
      </c>
      <c r="F574" s="29"/>
      <c r="G574" s="30"/>
      <c r="H574" s="31">
        <v>1</v>
      </c>
      <c r="I574" s="32" t="s">
        <v>50</v>
      </c>
      <c r="J574" s="33">
        <v>1</v>
      </c>
      <c r="K574" s="34" t="s">
        <v>8</v>
      </c>
      <c r="L574" s="82">
        <v>4900</v>
      </c>
      <c r="M574" s="35">
        <v>0.04</v>
      </c>
    </row>
    <row r="575" spans="1:13" x14ac:dyDescent="0.25">
      <c r="A575" s="26">
        <v>94</v>
      </c>
      <c r="B575" s="26">
        <v>605954</v>
      </c>
      <c r="C575" s="27" t="s">
        <v>302</v>
      </c>
      <c r="D575" s="27" t="str">
        <f t="shared" si="34"/>
        <v>SIKACERAM-650 TILE GROUT PLUS WH./20X2KG</v>
      </c>
      <c r="E575" s="28" t="s">
        <v>303</v>
      </c>
      <c r="F575" s="29"/>
      <c r="G575" s="30" t="s">
        <v>15</v>
      </c>
      <c r="H575" s="31">
        <v>2</v>
      </c>
      <c r="I575" s="32" t="s">
        <v>50</v>
      </c>
      <c r="J575" s="33">
        <v>20</v>
      </c>
      <c r="K575" s="34" t="s">
        <v>8</v>
      </c>
      <c r="L575" s="82">
        <v>40400</v>
      </c>
      <c r="M575" s="35">
        <v>9.4E-2</v>
      </c>
    </row>
    <row r="576" spans="1:13" x14ac:dyDescent="0.25">
      <c r="A576" s="26">
        <v>95</v>
      </c>
      <c r="B576" s="26">
        <v>605956</v>
      </c>
      <c r="C576" s="27" t="s">
        <v>304</v>
      </c>
      <c r="D576" s="27" t="str">
        <f t="shared" si="34"/>
        <v>SIKACERAM-650 TILE GROUT PLUS WH./3X10KG</v>
      </c>
      <c r="E576" s="28" t="s">
        <v>303</v>
      </c>
      <c r="F576" s="29"/>
      <c r="G576" s="30" t="s">
        <v>15</v>
      </c>
      <c r="H576" s="31">
        <v>10</v>
      </c>
      <c r="I576" s="32" t="s">
        <v>50</v>
      </c>
      <c r="J576" s="33">
        <v>3</v>
      </c>
      <c r="K576" s="34" t="s">
        <v>8</v>
      </c>
      <c r="L576" s="82">
        <v>171400</v>
      </c>
      <c r="M576" s="35">
        <v>9.4E-2</v>
      </c>
    </row>
    <row r="577" spans="1:13" x14ac:dyDescent="0.25">
      <c r="A577" s="26">
        <v>200</v>
      </c>
      <c r="B577" s="26">
        <v>606248</v>
      </c>
      <c r="C577" s="27" t="s">
        <v>458</v>
      </c>
      <c r="D577" s="27" t="str">
        <f t="shared" si="34"/>
        <v>SIKASEPAROL-500 MIXER           DR 200KG</v>
      </c>
      <c r="E577" s="28" t="s">
        <v>457</v>
      </c>
      <c r="F577" s="29"/>
      <c r="G577" s="30"/>
      <c r="H577" s="31">
        <v>200</v>
      </c>
      <c r="I577" s="32" t="s">
        <v>50</v>
      </c>
      <c r="J577" s="33">
        <v>1</v>
      </c>
      <c r="K577" s="34" t="s">
        <v>8</v>
      </c>
      <c r="L577" s="82">
        <v>1308950</v>
      </c>
      <c r="M577" s="35">
        <v>0.04</v>
      </c>
    </row>
    <row r="578" spans="1:13" x14ac:dyDescent="0.25">
      <c r="A578" s="91">
        <v>358</v>
      </c>
      <c r="B578" s="91">
        <v>606816</v>
      </c>
      <c r="C578" s="92" t="s">
        <v>698</v>
      </c>
      <c r="D578" s="121" t="str">
        <f>CONCATENATE(UPPER(C578),$D$3)</f>
        <v>SIKAPRONTO-11(AB+SUB ZERO)      25,575KG "E"</v>
      </c>
      <c r="E578" s="93" t="s">
        <v>699</v>
      </c>
      <c r="F578" s="94"/>
      <c r="G578" s="95"/>
      <c r="H578" s="96">
        <v>25.6</v>
      </c>
      <c r="I578" s="97" t="s">
        <v>50</v>
      </c>
      <c r="J578" s="98">
        <v>1</v>
      </c>
      <c r="K578" s="99" t="s">
        <v>8</v>
      </c>
      <c r="L578" s="82">
        <v>2729700</v>
      </c>
      <c r="M578" s="100">
        <v>8.199999999999999E-2</v>
      </c>
    </row>
    <row r="579" spans="1:13" x14ac:dyDescent="0.25">
      <c r="A579" s="26">
        <v>889</v>
      </c>
      <c r="B579" s="26">
        <v>607208</v>
      </c>
      <c r="C579" s="27" t="s">
        <v>1360</v>
      </c>
      <c r="D579" s="27" t="str">
        <f t="shared" ref="D579:D588" si="35">UPPER(C579)</f>
        <v>SIKAMONOTOP-108 WATER PLUG CO    /12X1KG</v>
      </c>
      <c r="E579" s="28" t="s">
        <v>1361</v>
      </c>
      <c r="F579" s="29"/>
      <c r="G579" s="30" t="s">
        <v>14</v>
      </c>
      <c r="H579" s="31">
        <v>1</v>
      </c>
      <c r="I579" s="32" t="s">
        <v>50</v>
      </c>
      <c r="J579" s="33">
        <v>12</v>
      </c>
      <c r="K579" s="34" t="s">
        <v>8</v>
      </c>
      <c r="L579" s="82">
        <v>37900</v>
      </c>
      <c r="M579" s="35">
        <v>8.6999999999999994E-2</v>
      </c>
    </row>
    <row r="580" spans="1:13" x14ac:dyDescent="0.25">
      <c r="A580" s="26">
        <v>890</v>
      </c>
      <c r="B580" s="26">
        <v>607210</v>
      </c>
      <c r="C580" s="27" t="s">
        <v>1362</v>
      </c>
      <c r="D580" s="27" t="str">
        <f t="shared" si="35"/>
        <v>SIKAMONOTOP-108 WATER PLUG CO     /4X4KG</v>
      </c>
      <c r="E580" s="28" t="s">
        <v>1361</v>
      </c>
      <c r="F580" s="29"/>
      <c r="G580" s="30" t="s">
        <v>14</v>
      </c>
      <c r="H580" s="31">
        <v>4</v>
      </c>
      <c r="I580" s="32" t="s">
        <v>50</v>
      </c>
      <c r="J580" s="33">
        <v>4</v>
      </c>
      <c r="K580" s="34" t="s">
        <v>8</v>
      </c>
      <c r="L580" s="82">
        <v>145800</v>
      </c>
      <c r="M580" s="35">
        <v>8.6999999999999994E-2</v>
      </c>
    </row>
    <row r="581" spans="1:13" x14ac:dyDescent="0.25">
      <c r="A581" s="26">
        <v>891</v>
      </c>
      <c r="B581" s="26">
        <v>607211</v>
      </c>
      <c r="C581" s="27" t="s">
        <v>1363</v>
      </c>
      <c r="D581" s="27" t="str">
        <f t="shared" si="35"/>
        <v>SIKAMONOTOP-108 WATER PLUG CO    PL 18KG</v>
      </c>
      <c r="E581" s="28" t="s">
        <v>1361</v>
      </c>
      <c r="F581" s="29"/>
      <c r="G581" s="30" t="s">
        <v>14</v>
      </c>
      <c r="H581" s="31">
        <v>18</v>
      </c>
      <c r="I581" s="32" t="s">
        <v>50</v>
      </c>
      <c r="J581" s="33">
        <v>1</v>
      </c>
      <c r="K581" s="34" t="s">
        <v>8</v>
      </c>
      <c r="L581" s="82">
        <v>638400</v>
      </c>
      <c r="M581" s="35">
        <v>8.6999999999999994E-2</v>
      </c>
    </row>
    <row r="582" spans="1:13" x14ac:dyDescent="0.25">
      <c r="A582" s="26">
        <v>811</v>
      </c>
      <c r="B582" s="26">
        <v>609098</v>
      </c>
      <c r="C582" s="27" t="s">
        <v>1243</v>
      </c>
      <c r="D582" s="27" t="str">
        <f t="shared" si="35"/>
        <v>SANISIL TRANSPARENT           /12 CTR280</v>
      </c>
      <c r="E582" s="28" t="s">
        <v>1244</v>
      </c>
      <c r="F582" s="48"/>
      <c r="G582" s="30"/>
      <c r="H582" s="31">
        <v>280</v>
      </c>
      <c r="I582" s="32" t="s">
        <v>1445</v>
      </c>
      <c r="J582" s="33">
        <v>12</v>
      </c>
      <c r="K582" s="34" t="s">
        <v>8</v>
      </c>
      <c r="L582" s="82">
        <v>16950</v>
      </c>
      <c r="M582" s="35">
        <v>6.7000000000000004E-2</v>
      </c>
    </row>
    <row r="583" spans="1:13" x14ac:dyDescent="0.25">
      <c r="A583" s="26">
        <v>862</v>
      </c>
      <c r="B583" s="26">
        <v>609106</v>
      </c>
      <c r="C583" s="27" t="s">
        <v>1320</v>
      </c>
      <c r="D583" s="27" t="str">
        <f t="shared" si="35"/>
        <v>SIKASIL E TRANSPARENT         /12 CTR280</v>
      </c>
      <c r="E583" s="28" t="s">
        <v>1318</v>
      </c>
      <c r="F583" s="29"/>
      <c r="G583" s="30" t="s">
        <v>25</v>
      </c>
      <c r="H583" s="31">
        <v>280</v>
      </c>
      <c r="I583" s="32" t="s">
        <v>1445</v>
      </c>
      <c r="J583" s="33">
        <v>12</v>
      </c>
      <c r="K583" s="34" t="s">
        <v>8</v>
      </c>
      <c r="L583" s="82">
        <v>16950</v>
      </c>
      <c r="M583" s="35">
        <v>6.7000000000000004E-2</v>
      </c>
    </row>
    <row r="584" spans="1:13" x14ac:dyDescent="0.25">
      <c r="A584" s="26">
        <v>863</v>
      </c>
      <c r="B584" s="26">
        <v>609107</v>
      </c>
      <c r="C584" s="27" t="s">
        <v>1321</v>
      </c>
      <c r="D584" s="27" t="str">
        <f t="shared" si="35"/>
        <v>SIKASIL E WHITE               /12 CTR280</v>
      </c>
      <c r="E584" s="28" t="s">
        <v>1318</v>
      </c>
      <c r="F584" s="29"/>
      <c r="G584" s="30" t="s">
        <v>15</v>
      </c>
      <c r="H584" s="31">
        <v>280</v>
      </c>
      <c r="I584" s="32" t="s">
        <v>1445</v>
      </c>
      <c r="J584" s="33">
        <v>12</v>
      </c>
      <c r="K584" s="34" t="s">
        <v>8</v>
      </c>
      <c r="L584" s="82">
        <v>16950</v>
      </c>
      <c r="M584" s="35">
        <v>6.7000000000000004E-2</v>
      </c>
    </row>
    <row r="585" spans="1:13" x14ac:dyDescent="0.25">
      <c r="A585" s="26">
        <v>860</v>
      </c>
      <c r="B585" s="26">
        <v>609136</v>
      </c>
      <c r="C585" s="27" t="s">
        <v>1317</v>
      </c>
      <c r="D585" s="27" t="str">
        <f t="shared" si="35"/>
        <v>SIKASIL E BLACK               /12 CTR280</v>
      </c>
      <c r="E585" s="28" t="s">
        <v>1318</v>
      </c>
      <c r="F585" s="29"/>
      <c r="G585" s="30" t="s">
        <v>31</v>
      </c>
      <c r="H585" s="31">
        <v>280</v>
      </c>
      <c r="I585" s="32" t="s">
        <v>1445</v>
      </c>
      <c r="J585" s="33">
        <v>12</v>
      </c>
      <c r="K585" s="34" t="s">
        <v>8</v>
      </c>
      <c r="L585" s="82">
        <v>16950</v>
      </c>
      <c r="M585" s="35">
        <v>6.7000000000000004E-2</v>
      </c>
    </row>
    <row r="586" spans="1:13" x14ac:dyDescent="0.25">
      <c r="A586" s="26">
        <v>861</v>
      </c>
      <c r="B586" s="26">
        <v>609137</v>
      </c>
      <c r="C586" s="27" t="s">
        <v>1319</v>
      </c>
      <c r="D586" s="27" t="str">
        <f t="shared" si="35"/>
        <v>SIKASIL E GREY                /12 CTR280</v>
      </c>
      <c r="E586" s="28" t="s">
        <v>1318</v>
      </c>
      <c r="F586" s="29"/>
      <c r="G586" s="30" t="s">
        <v>14</v>
      </c>
      <c r="H586" s="31">
        <v>280</v>
      </c>
      <c r="I586" s="32" t="s">
        <v>1445</v>
      </c>
      <c r="J586" s="33">
        <v>12</v>
      </c>
      <c r="K586" s="34" t="s">
        <v>8</v>
      </c>
      <c r="L586" s="82">
        <v>16950</v>
      </c>
      <c r="M586" s="35">
        <v>6.7000000000000004E-2</v>
      </c>
    </row>
    <row r="587" spans="1:13" x14ac:dyDescent="0.25">
      <c r="A587" s="26">
        <v>864</v>
      </c>
      <c r="B587" s="26">
        <v>609139</v>
      </c>
      <c r="C587" s="27" t="s">
        <v>1322</v>
      </c>
      <c r="D587" s="27" t="str">
        <f t="shared" si="35"/>
        <v>SIKASIL C TRANSPARENT         /12 CTR280</v>
      </c>
      <c r="E587" s="28" t="s">
        <v>1323</v>
      </c>
      <c r="F587" s="29"/>
      <c r="G587" s="30" t="s">
        <v>25</v>
      </c>
      <c r="H587" s="31">
        <v>280</v>
      </c>
      <c r="I587" s="32" t="s">
        <v>1445</v>
      </c>
      <c r="J587" s="33">
        <v>12</v>
      </c>
      <c r="K587" s="34" t="s">
        <v>8</v>
      </c>
      <c r="L587" s="82">
        <v>46250</v>
      </c>
      <c r="M587" s="35">
        <v>6.7000000000000004E-2</v>
      </c>
    </row>
    <row r="588" spans="1:13" x14ac:dyDescent="0.25">
      <c r="A588" s="26">
        <v>826</v>
      </c>
      <c r="B588" s="26">
        <v>609569</v>
      </c>
      <c r="C588" s="27" t="s">
        <v>1267</v>
      </c>
      <c r="D588" s="27" t="str">
        <f t="shared" si="35"/>
        <v>SIKAFLEX-112 CRYSTAL CLE.C5041/12 CTR290</v>
      </c>
      <c r="E588" s="28" t="s">
        <v>1268</v>
      </c>
      <c r="F588" s="29"/>
      <c r="G588" s="30"/>
      <c r="H588" s="31">
        <v>290</v>
      </c>
      <c r="I588" s="32" t="s">
        <v>1445</v>
      </c>
      <c r="J588" s="33">
        <v>12</v>
      </c>
      <c r="K588" s="34" t="s">
        <v>8</v>
      </c>
      <c r="L588" s="82">
        <v>62850</v>
      </c>
      <c r="M588" s="35">
        <v>6.7000000000000004E-2</v>
      </c>
    </row>
    <row r="589" spans="1:13" x14ac:dyDescent="0.25">
      <c r="A589" s="91">
        <v>688</v>
      </c>
      <c r="B589" s="91">
        <v>609585</v>
      </c>
      <c r="C589" s="92" t="s">
        <v>1094</v>
      </c>
      <c r="D589" s="121" t="str">
        <f>CONCATENATE(UPPER(C589),$D$3)</f>
        <v>SIKASIL WS-305S BLACK     MEA  /20 UP600 "E"</v>
      </c>
      <c r="E589" s="93" t="s">
        <v>1095</v>
      </c>
      <c r="F589" s="94"/>
      <c r="G589" s="95" t="s">
        <v>31</v>
      </c>
      <c r="H589" s="96">
        <v>1</v>
      </c>
      <c r="I589" s="97" t="s">
        <v>1445</v>
      </c>
      <c r="J589" s="98">
        <v>20</v>
      </c>
      <c r="K589" s="99" t="s">
        <v>8</v>
      </c>
      <c r="L589" s="82">
        <v>47050</v>
      </c>
      <c r="M589" s="100">
        <v>8.6999999999999994E-2</v>
      </c>
    </row>
    <row r="590" spans="1:13" x14ac:dyDescent="0.25">
      <c r="A590" s="91">
        <v>689</v>
      </c>
      <c r="B590" s="91">
        <v>609591</v>
      </c>
      <c r="C590" s="92" t="s">
        <v>1096</v>
      </c>
      <c r="D590" s="121" t="str">
        <f>CONCATENATE(UPPER(C590),$D$3)</f>
        <v>SIKASIL WS-305S GREY S6   MEA  /20 UP600 "E"</v>
      </c>
      <c r="E590" s="93" t="s">
        <v>1095</v>
      </c>
      <c r="F590" s="94"/>
      <c r="G590" s="95" t="s">
        <v>14</v>
      </c>
      <c r="H590" s="96">
        <v>1</v>
      </c>
      <c r="I590" s="97" t="s">
        <v>1445</v>
      </c>
      <c r="J590" s="98">
        <v>20</v>
      </c>
      <c r="K590" s="99" t="s">
        <v>8</v>
      </c>
      <c r="L590" s="82">
        <v>54800</v>
      </c>
      <c r="M590" s="100">
        <v>8.6999999999999994E-2</v>
      </c>
    </row>
    <row r="591" spans="1:13" x14ac:dyDescent="0.25">
      <c r="A591" s="91">
        <v>687</v>
      </c>
      <c r="B591" s="91">
        <v>609594</v>
      </c>
      <c r="C591" s="92" t="s">
        <v>1092</v>
      </c>
      <c r="D591" s="121" t="str">
        <f>CONCATENATE(UPPER(C591),$D$3)</f>
        <v>SIKASIL WS-300 S TRANSPARE.MEA /20 UP600 "E"</v>
      </c>
      <c r="E591" s="93" t="s">
        <v>1093</v>
      </c>
      <c r="F591" s="94"/>
      <c r="G591" s="95" t="s">
        <v>25</v>
      </c>
      <c r="H591" s="96">
        <v>1</v>
      </c>
      <c r="I591" s="97" t="s">
        <v>1445</v>
      </c>
      <c r="J591" s="98">
        <v>20</v>
      </c>
      <c r="K591" s="99" t="s">
        <v>8</v>
      </c>
      <c r="L591" s="82">
        <v>73400</v>
      </c>
      <c r="M591" s="100">
        <v>8.6999999999999994E-2</v>
      </c>
    </row>
    <row r="592" spans="1:13" x14ac:dyDescent="0.25">
      <c r="A592" s="26">
        <v>39</v>
      </c>
      <c r="B592" s="26">
        <v>612836</v>
      </c>
      <c r="C592" s="27" t="s">
        <v>234</v>
      </c>
      <c r="D592" s="27" t="str">
        <f>UPPER(C592)</f>
        <v>SIKATRANSPARENTE-12 CO           PL 16KG</v>
      </c>
      <c r="E592" s="28" t="s">
        <v>233</v>
      </c>
      <c r="F592" s="29"/>
      <c r="G592" s="30" t="s">
        <v>19</v>
      </c>
      <c r="H592" s="31">
        <v>16</v>
      </c>
      <c r="I592" s="32" t="s">
        <v>50</v>
      </c>
      <c r="J592" s="33">
        <v>1</v>
      </c>
      <c r="K592" s="34" t="s">
        <v>8</v>
      </c>
      <c r="L592" s="82">
        <v>761250</v>
      </c>
      <c r="M592" s="35">
        <v>6.4000000000000001E-2</v>
      </c>
    </row>
    <row r="593" spans="1:13" x14ac:dyDescent="0.25">
      <c r="A593" s="26">
        <v>171</v>
      </c>
      <c r="B593" s="26">
        <v>615247</v>
      </c>
      <c r="C593" s="27" t="s">
        <v>418</v>
      </c>
      <c r="D593" s="27" t="str">
        <f>UPPER(C593)</f>
        <v>SIKAPLASTOCRETE DM             /12X2,3KG</v>
      </c>
      <c r="E593" s="28" t="s">
        <v>417</v>
      </c>
      <c r="F593" s="29"/>
      <c r="G593" s="30"/>
      <c r="H593" s="31">
        <v>2.2999999999999998</v>
      </c>
      <c r="I593" s="32" t="s">
        <v>50</v>
      </c>
      <c r="J593" s="33">
        <v>12</v>
      </c>
      <c r="K593" s="34" t="s">
        <v>8</v>
      </c>
      <c r="L593" s="82">
        <v>62100</v>
      </c>
      <c r="M593" s="35">
        <v>6.9999999999999993E-2</v>
      </c>
    </row>
    <row r="594" spans="1:13" x14ac:dyDescent="0.25">
      <c r="A594" s="26">
        <v>305</v>
      </c>
      <c r="B594" s="26">
        <v>615248</v>
      </c>
      <c r="C594" s="27" t="s">
        <v>625</v>
      </c>
      <c r="D594" s="27" t="str">
        <f>UPPER(C594)</f>
        <v>SIKASET L                      /12X2,6KG</v>
      </c>
      <c r="E594" s="28" t="s">
        <v>624</v>
      </c>
      <c r="F594" s="29"/>
      <c r="G594" s="30"/>
      <c r="H594" s="31">
        <v>2.6</v>
      </c>
      <c r="I594" s="32" t="s">
        <v>50</v>
      </c>
      <c r="J594" s="33">
        <v>12</v>
      </c>
      <c r="K594" s="34" t="s">
        <v>8</v>
      </c>
      <c r="L594" s="82">
        <v>69700</v>
      </c>
      <c r="M594" s="35">
        <v>6.9999999999999993E-2</v>
      </c>
    </row>
    <row r="595" spans="1:13" x14ac:dyDescent="0.25">
      <c r="A595" s="26">
        <v>588</v>
      </c>
      <c r="B595" s="26">
        <v>615327</v>
      </c>
      <c r="C595" s="27" t="s">
        <v>996</v>
      </c>
      <c r="D595" s="27" t="str">
        <f>UPPER(C595)</f>
        <v>SIKAFLOOR-2020 HOT ORANGE        PL 5GAL</v>
      </c>
      <c r="E595" s="28" t="s">
        <v>987</v>
      </c>
      <c r="F595" s="29"/>
      <c r="G595" s="30" t="s">
        <v>113</v>
      </c>
      <c r="H595" s="31">
        <v>5</v>
      </c>
      <c r="I595" s="32" t="s">
        <v>1443</v>
      </c>
      <c r="J595" s="33">
        <v>1</v>
      </c>
      <c r="K595" s="34" t="s">
        <v>8</v>
      </c>
      <c r="L595" s="82">
        <v>1121500</v>
      </c>
      <c r="M595" s="35">
        <v>8.199999999999999E-2</v>
      </c>
    </row>
    <row r="596" spans="1:13" x14ac:dyDescent="0.25">
      <c r="A596" s="91">
        <v>610</v>
      </c>
      <c r="B596" s="91">
        <v>615914</v>
      </c>
      <c r="C596" s="92" t="s">
        <v>1013</v>
      </c>
      <c r="D596" s="121" t="str">
        <f>CONCATENATE(UPPER(C596),$D$3)</f>
        <v>#SIKAFLOOR-264 (AB) RAL7042        18KG# "E"</v>
      </c>
      <c r="E596" s="93" t="s">
        <v>1014</v>
      </c>
      <c r="F596" s="94"/>
      <c r="G596" s="95"/>
      <c r="H596" s="96">
        <v>18</v>
      </c>
      <c r="I596" s="97" t="s">
        <v>50</v>
      </c>
      <c r="J596" s="98">
        <v>1</v>
      </c>
      <c r="K596" s="99" t="s">
        <v>8</v>
      </c>
      <c r="L596" s="82">
        <v>3013450</v>
      </c>
      <c r="M596" s="100">
        <v>7.2000000000000008E-2</v>
      </c>
    </row>
    <row r="597" spans="1:13" x14ac:dyDescent="0.25">
      <c r="A597" s="26">
        <v>585</v>
      </c>
      <c r="B597" s="26">
        <v>616851</v>
      </c>
      <c r="C597" s="27" t="s">
        <v>993</v>
      </c>
      <c r="D597" s="27" t="str">
        <f t="shared" ref="D597:D626" si="36">UPPER(C597)</f>
        <v>SIKAFLOOR-2020 CONCRETE GREY     PL 5GAL</v>
      </c>
      <c r="E597" s="28" t="s">
        <v>987</v>
      </c>
      <c r="F597" s="29"/>
      <c r="G597" s="30" t="s">
        <v>112</v>
      </c>
      <c r="H597" s="31">
        <v>5</v>
      </c>
      <c r="I597" s="32" t="s">
        <v>1443</v>
      </c>
      <c r="J597" s="33">
        <v>1</v>
      </c>
      <c r="K597" s="34" t="s">
        <v>8</v>
      </c>
      <c r="L597" s="82">
        <v>1032500</v>
      </c>
      <c r="M597" s="35">
        <v>8.199999999999999E-2</v>
      </c>
    </row>
    <row r="598" spans="1:13" x14ac:dyDescent="0.25">
      <c r="A598" s="26">
        <v>59</v>
      </c>
      <c r="B598" s="26">
        <v>617188</v>
      </c>
      <c r="C598" s="27" t="s">
        <v>262</v>
      </c>
      <c r="D598" s="27" t="str">
        <f t="shared" si="36"/>
        <v>SIKACERAM-100 CERAMICO GREY      BG 50KG</v>
      </c>
      <c r="E598" s="28" t="s">
        <v>260</v>
      </c>
      <c r="F598" s="29"/>
      <c r="G598" s="30" t="s">
        <v>14</v>
      </c>
      <c r="H598" s="31">
        <v>50</v>
      </c>
      <c r="I598" s="32" t="s">
        <v>50</v>
      </c>
      <c r="J598" s="33">
        <v>1</v>
      </c>
      <c r="K598" s="34" t="s">
        <v>8</v>
      </c>
      <c r="L598" s="82">
        <v>49600</v>
      </c>
      <c r="M598" s="35">
        <v>9.4E-2</v>
      </c>
    </row>
    <row r="599" spans="1:13" x14ac:dyDescent="0.25">
      <c r="A599" s="26">
        <v>57</v>
      </c>
      <c r="B599" s="26">
        <v>617201</v>
      </c>
      <c r="C599" s="27" t="s">
        <v>259</v>
      </c>
      <c r="D599" s="27" t="str">
        <f t="shared" si="36"/>
        <v>SIKACERAM-100 CERAMICO GREY      BG 25KG</v>
      </c>
      <c r="E599" s="28" t="s">
        <v>260</v>
      </c>
      <c r="F599" s="29"/>
      <c r="G599" s="30" t="s">
        <v>14</v>
      </c>
      <c r="H599" s="31">
        <v>25</v>
      </c>
      <c r="I599" s="32" t="s">
        <v>50</v>
      </c>
      <c r="J599" s="33">
        <v>1</v>
      </c>
      <c r="K599" s="34" t="s">
        <v>8</v>
      </c>
      <c r="L599" s="82">
        <v>25950</v>
      </c>
      <c r="M599" s="35">
        <v>9.4E-2</v>
      </c>
    </row>
    <row r="600" spans="1:13" x14ac:dyDescent="0.25">
      <c r="A600" s="26">
        <v>58</v>
      </c>
      <c r="B600" s="26">
        <v>617330</v>
      </c>
      <c r="C600" s="27" t="s">
        <v>261</v>
      </c>
      <c r="D600" s="27" t="str">
        <f t="shared" si="36"/>
        <v>SIKACERAM-100 CERAMICO WHITE     BG 25KG</v>
      </c>
      <c r="E600" s="28" t="s">
        <v>260</v>
      </c>
      <c r="F600" s="29"/>
      <c r="G600" s="30" t="s">
        <v>15</v>
      </c>
      <c r="H600" s="31">
        <v>25</v>
      </c>
      <c r="I600" s="32" t="s">
        <v>50</v>
      </c>
      <c r="J600" s="33">
        <v>1</v>
      </c>
      <c r="K600" s="34" t="s">
        <v>8</v>
      </c>
      <c r="L600" s="82">
        <v>29250</v>
      </c>
      <c r="M600" s="35">
        <v>9.4E-2</v>
      </c>
    </row>
    <row r="601" spans="1:13" x14ac:dyDescent="0.25">
      <c r="A601" s="26">
        <v>774</v>
      </c>
      <c r="B601" s="26">
        <v>617459</v>
      </c>
      <c r="C601" s="27" t="s">
        <v>1199</v>
      </c>
      <c r="D601" s="27" t="str">
        <f t="shared" si="36"/>
        <v>SIKAFILL-7 POWER CO WHITE       DR 230KG</v>
      </c>
      <c r="E601" s="28" t="s">
        <v>1184</v>
      </c>
      <c r="F601" s="29"/>
      <c r="G601" s="30" t="s">
        <v>15</v>
      </c>
      <c r="H601" s="31">
        <v>230</v>
      </c>
      <c r="I601" s="32" t="s">
        <v>50</v>
      </c>
      <c r="J601" s="33">
        <v>1</v>
      </c>
      <c r="K601" s="34" t="s">
        <v>8</v>
      </c>
      <c r="L601" s="82">
        <v>3119150</v>
      </c>
      <c r="M601" s="35">
        <v>0.1125</v>
      </c>
    </row>
    <row r="602" spans="1:13" x14ac:dyDescent="0.25">
      <c r="A602" s="26">
        <v>766</v>
      </c>
      <c r="B602" s="26">
        <v>617490</v>
      </c>
      <c r="C602" s="27" t="s">
        <v>1191</v>
      </c>
      <c r="D602" s="27" t="str">
        <f t="shared" si="36"/>
        <v>SIKAFILL-7 POWER CO WHITE       /4X4,2KG</v>
      </c>
      <c r="E602" s="28" t="s">
        <v>1184</v>
      </c>
      <c r="F602" s="29"/>
      <c r="G602" s="30" t="s">
        <v>15</v>
      </c>
      <c r="H602" s="31">
        <v>4.2</v>
      </c>
      <c r="I602" s="32" t="s">
        <v>50</v>
      </c>
      <c r="J602" s="33">
        <v>4</v>
      </c>
      <c r="K602" s="34" t="s">
        <v>8</v>
      </c>
      <c r="L602" s="82">
        <v>84750</v>
      </c>
      <c r="M602" s="35">
        <v>9.2499999999999999E-2</v>
      </c>
    </row>
    <row r="603" spans="1:13" x14ac:dyDescent="0.25">
      <c r="A603" s="26">
        <v>762</v>
      </c>
      <c r="B603" s="26">
        <v>617491</v>
      </c>
      <c r="C603" s="27" t="s">
        <v>1187</v>
      </c>
      <c r="D603" s="27" t="str">
        <f t="shared" si="36"/>
        <v>SIKAFILL-7 POWER CO WHITE        /12X1KG</v>
      </c>
      <c r="E603" s="28" t="s">
        <v>1184</v>
      </c>
      <c r="F603" s="29"/>
      <c r="G603" s="30" t="s">
        <v>15</v>
      </c>
      <c r="H603" s="31">
        <v>1</v>
      </c>
      <c r="I603" s="32" t="s">
        <v>50</v>
      </c>
      <c r="J603" s="33">
        <v>12</v>
      </c>
      <c r="K603" s="34" t="s">
        <v>8</v>
      </c>
      <c r="L603" s="82">
        <v>28550</v>
      </c>
      <c r="M603" s="35">
        <v>9.2499999999999999E-2</v>
      </c>
    </row>
    <row r="604" spans="1:13" x14ac:dyDescent="0.25">
      <c r="A604" s="26">
        <v>772</v>
      </c>
      <c r="B604" s="26">
        <v>617494</v>
      </c>
      <c r="C604" s="27" t="s">
        <v>1197</v>
      </c>
      <c r="D604" s="27" t="str">
        <f t="shared" si="36"/>
        <v>SIKAFILL-7 POWER CO GREY        DR 230KG</v>
      </c>
      <c r="E604" s="28" t="s">
        <v>1184</v>
      </c>
      <c r="F604" s="29"/>
      <c r="G604" s="30" t="s">
        <v>14</v>
      </c>
      <c r="H604" s="31">
        <v>230</v>
      </c>
      <c r="I604" s="32" t="s">
        <v>50</v>
      </c>
      <c r="J604" s="33">
        <v>1</v>
      </c>
      <c r="K604" s="34" t="s">
        <v>8</v>
      </c>
      <c r="L604" s="82">
        <v>3119150</v>
      </c>
      <c r="M604" s="35">
        <v>0.1125</v>
      </c>
    </row>
    <row r="605" spans="1:13" x14ac:dyDescent="0.25">
      <c r="A605" s="26">
        <v>764</v>
      </c>
      <c r="B605" s="26">
        <v>617496</v>
      </c>
      <c r="C605" s="27" t="s">
        <v>1189</v>
      </c>
      <c r="D605" s="27" t="str">
        <f t="shared" si="36"/>
        <v>SIKAFILL-7 POWER CO GREY        /4X4,2KG</v>
      </c>
      <c r="E605" s="28" t="s">
        <v>1184</v>
      </c>
      <c r="F605" s="29"/>
      <c r="G605" s="30" t="s">
        <v>14</v>
      </c>
      <c r="H605" s="31">
        <v>4.2</v>
      </c>
      <c r="I605" s="32" t="s">
        <v>50</v>
      </c>
      <c r="J605" s="33">
        <v>4</v>
      </c>
      <c r="K605" s="34" t="s">
        <v>8</v>
      </c>
      <c r="L605" s="82">
        <v>84750</v>
      </c>
      <c r="M605" s="35">
        <v>9.2499999999999999E-2</v>
      </c>
    </row>
    <row r="606" spans="1:13" x14ac:dyDescent="0.25">
      <c r="A606" s="26">
        <v>760</v>
      </c>
      <c r="B606" s="26">
        <v>617497</v>
      </c>
      <c r="C606" s="27" t="s">
        <v>1185</v>
      </c>
      <c r="D606" s="27" t="str">
        <f t="shared" si="36"/>
        <v>SIKAFILL-7 POWER CO GREY         /12X1KG</v>
      </c>
      <c r="E606" s="28" t="s">
        <v>1184</v>
      </c>
      <c r="F606" s="29"/>
      <c r="G606" s="30" t="s">
        <v>14</v>
      </c>
      <c r="H606" s="31">
        <v>1</v>
      </c>
      <c r="I606" s="32" t="s">
        <v>50</v>
      </c>
      <c r="J606" s="33">
        <v>12</v>
      </c>
      <c r="K606" s="34" t="s">
        <v>8</v>
      </c>
      <c r="L606" s="82">
        <v>28550</v>
      </c>
      <c r="M606" s="35">
        <v>9.2499999999999999E-2</v>
      </c>
    </row>
    <row r="607" spans="1:13" x14ac:dyDescent="0.25">
      <c r="A607" s="26">
        <v>773</v>
      </c>
      <c r="B607" s="26">
        <v>617529</v>
      </c>
      <c r="C607" s="27" t="s">
        <v>1198</v>
      </c>
      <c r="D607" s="27" t="str">
        <f t="shared" si="36"/>
        <v>SIKAFILL-7 POWER CO RED         DR 230KG</v>
      </c>
      <c r="E607" s="28" t="s">
        <v>1184</v>
      </c>
      <c r="F607" s="29"/>
      <c r="G607" s="30" t="s">
        <v>48</v>
      </c>
      <c r="H607" s="31">
        <v>230</v>
      </c>
      <c r="I607" s="32" t="s">
        <v>50</v>
      </c>
      <c r="J607" s="33">
        <v>1</v>
      </c>
      <c r="K607" s="34" t="s">
        <v>8</v>
      </c>
      <c r="L607" s="82">
        <v>3119150</v>
      </c>
      <c r="M607" s="35">
        <v>0.1125</v>
      </c>
    </row>
    <row r="608" spans="1:13" x14ac:dyDescent="0.25">
      <c r="A608" s="26">
        <v>765</v>
      </c>
      <c r="B608" s="26">
        <v>617530</v>
      </c>
      <c r="C608" s="27" t="s">
        <v>1190</v>
      </c>
      <c r="D608" s="27" t="str">
        <f t="shared" si="36"/>
        <v>SIKAFILL-7 POWER CO RED         /4X4,2KG</v>
      </c>
      <c r="E608" s="28" t="s">
        <v>1184</v>
      </c>
      <c r="F608" s="29"/>
      <c r="G608" s="30" t="s">
        <v>48</v>
      </c>
      <c r="H608" s="31">
        <v>4.2</v>
      </c>
      <c r="I608" s="32" t="s">
        <v>50</v>
      </c>
      <c r="J608" s="33">
        <v>4</v>
      </c>
      <c r="K608" s="34" t="s">
        <v>8</v>
      </c>
      <c r="L608" s="82">
        <v>84750</v>
      </c>
      <c r="M608" s="35">
        <v>9.2499999999999999E-2</v>
      </c>
    </row>
    <row r="609" spans="1:13" x14ac:dyDescent="0.25">
      <c r="A609" s="26">
        <v>761</v>
      </c>
      <c r="B609" s="26">
        <v>617531</v>
      </c>
      <c r="C609" s="27" t="s">
        <v>1186</v>
      </c>
      <c r="D609" s="27" t="str">
        <f t="shared" si="36"/>
        <v>SIKAFILL-7 POWER CO RED          /12X1KG</v>
      </c>
      <c r="E609" s="28" t="s">
        <v>1184</v>
      </c>
      <c r="F609" s="29"/>
      <c r="G609" s="30" t="s">
        <v>48</v>
      </c>
      <c r="H609" s="31">
        <v>1</v>
      </c>
      <c r="I609" s="32" t="s">
        <v>50</v>
      </c>
      <c r="J609" s="33">
        <v>12</v>
      </c>
      <c r="K609" s="34" t="s">
        <v>8</v>
      </c>
      <c r="L609" s="82">
        <v>28550</v>
      </c>
      <c r="M609" s="35">
        <v>9.2499999999999999E-2</v>
      </c>
    </row>
    <row r="610" spans="1:13" x14ac:dyDescent="0.25">
      <c r="A610" s="26">
        <v>771</v>
      </c>
      <c r="B610" s="26">
        <v>617534</v>
      </c>
      <c r="C610" s="27" t="s">
        <v>1196</v>
      </c>
      <c r="D610" s="27" t="str">
        <f t="shared" si="36"/>
        <v>SIKAFILL-7 POWER CO GREEN       DR 230KG</v>
      </c>
      <c r="E610" s="28" t="s">
        <v>1184</v>
      </c>
      <c r="F610" s="29"/>
      <c r="G610" s="30" t="s">
        <v>110</v>
      </c>
      <c r="H610" s="31">
        <v>230</v>
      </c>
      <c r="I610" s="32" t="s">
        <v>50</v>
      </c>
      <c r="J610" s="33">
        <v>1</v>
      </c>
      <c r="K610" s="34" t="s">
        <v>8</v>
      </c>
      <c r="L610" s="82">
        <v>3119150</v>
      </c>
      <c r="M610" s="35">
        <v>0.1125</v>
      </c>
    </row>
    <row r="611" spans="1:13" x14ac:dyDescent="0.25">
      <c r="A611" s="26">
        <v>763</v>
      </c>
      <c r="B611" s="26">
        <v>617536</v>
      </c>
      <c r="C611" s="27" t="s">
        <v>1188</v>
      </c>
      <c r="D611" s="27" t="str">
        <f t="shared" si="36"/>
        <v>SIKAFILL-7 POWER CO GREEN       /4X4,2KG</v>
      </c>
      <c r="E611" s="28" t="s">
        <v>1184</v>
      </c>
      <c r="F611" s="29"/>
      <c r="G611" s="30" t="s">
        <v>110</v>
      </c>
      <c r="H611" s="31">
        <v>4.2</v>
      </c>
      <c r="I611" s="32" t="s">
        <v>50</v>
      </c>
      <c r="J611" s="33">
        <v>4</v>
      </c>
      <c r="K611" s="34" t="s">
        <v>8</v>
      </c>
      <c r="L611" s="82">
        <v>82400</v>
      </c>
      <c r="M611" s="35">
        <v>6.25E-2</v>
      </c>
    </row>
    <row r="612" spans="1:13" x14ac:dyDescent="0.25">
      <c r="A612" s="26">
        <v>759</v>
      </c>
      <c r="B612" s="26">
        <v>617537</v>
      </c>
      <c r="C612" s="27" t="s">
        <v>1183</v>
      </c>
      <c r="D612" s="27" t="str">
        <f t="shared" si="36"/>
        <v>SIKAFILL-7 POWER CO GREEN        /12X1KG</v>
      </c>
      <c r="E612" s="28" t="s">
        <v>1184</v>
      </c>
      <c r="F612" s="29"/>
      <c r="G612" s="30" t="s">
        <v>110</v>
      </c>
      <c r="H612" s="31">
        <v>1</v>
      </c>
      <c r="I612" s="32" t="s">
        <v>50</v>
      </c>
      <c r="J612" s="33">
        <v>12</v>
      </c>
      <c r="K612" s="34" t="s">
        <v>8</v>
      </c>
      <c r="L612" s="82">
        <v>28550</v>
      </c>
      <c r="M612" s="35">
        <v>9.2499999999999999E-2</v>
      </c>
    </row>
    <row r="613" spans="1:13" x14ac:dyDescent="0.25">
      <c r="A613" s="26">
        <v>132</v>
      </c>
      <c r="B613" s="26">
        <v>618030</v>
      </c>
      <c r="C613" s="27" t="s">
        <v>358</v>
      </c>
      <c r="D613" s="27" t="str">
        <f t="shared" si="36"/>
        <v>SIKAWALL-401 TEXTURED PAINT WHITE/4X1GAL</v>
      </c>
      <c r="E613" s="28" t="s">
        <v>359</v>
      </c>
      <c r="F613" s="29"/>
      <c r="G613" s="30" t="s">
        <v>15</v>
      </c>
      <c r="H613" s="31">
        <v>1</v>
      </c>
      <c r="I613" s="32" t="s">
        <v>1443</v>
      </c>
      <c r="J613" s="33">
        <v>4</v>
      </c>
      <c r="K613" s="34" t="s">
        <v>8</v>
      </c>
      <c r="L613" s="82">
        <v>204300</v>
      </c>
      <c r="M613" s="35">
        <v>5.4000000000000006E-2</v>
      </c>
    </row>
    <row r="614" spans="1:13" x14ac:dyDescent="0.25">
      <c r="A614" s="26">
        <v>133</v>
      </c>
      <c r="B614" s="26">
        <v>618085</v>
      </c>
      <c r="C614" s="27" t="s">
        <v>360</v>
      </c>
      <c r="D614" s="27" t="str">
        <f t="shared" si="36"/>
        <v>SIKAWALL-401 TEXTURED PAINT WHIT.PL 5GAL</v>
      </c>
      <c r="E614" s="28" t="s">
        <v>359</v>
      </c>
      <c r="F614" s="29"/>
      <c r="G614" s="30" t="s">
        <v>15</v>
      </c>
      <c r="H614" s="31">
        <v>5</v>
      </c>
      <c r="I614" s="32" t="s">
        <v>1443</v>
      </c>
      <c r="J614" s="33">
        <v>1</v>
      </c>
      <c r="K614" s="34" t="s">
        <v>8</v>
      </c>
      <c r="L614" s="82">
        <v>1003750</v>
      </c>
      <c r="M614" s="35">
        <v>6.4000000000000001E-2</v>
      </c>
    </row>
    <row r="615" spans="1:13" x14ac:dyDescent="0.25">
      <c r="A615" s="26">
        <v>41</v>
      </c>
      <c r="B615" s="26">
        <v>618130</v>
      </c>
      <c r="C615" s="27" t="s">
        <v>236</v>
      </c>
      <c r="D615" s="27" t="str">
        <f t="shared" si="36"/>
        <v>SIKATRANSPARENTE-7 CO             /4X3KG</v>
      </c>
      <c r="E615" s="28" t="s">
        <v>237</v>
      </c>
      <c r="F615" s="29"/>
      <c r="G615" s="30" t="s">
        <v>18</v>
      </c>
      <c r="H615" s="31">
        <v>3.2</v>
      </c>
      <c r="I615" s="32" t="s">
        <v>50</v>
      </c>
      <c r="J615" s="33">
        <v>4</v>
      </c>
      <c r="K615" s="34" t="s">
        <v>8</v>
      </c>
      <c r="L615" s="82">
        <v>127600</v>
      </c>
      <c r="M615" s="35">
        <v>6.4000000000000001E-2</v>
      </c>
    </row>
    <row r="616" spans="1:13" x14ac:dyDescent="0.25">
      <c r="A616" s="26">
        <v>43</v>
      </c>
      <c r="B616" s="26">
        <v>618226</v>
      </c>
      <c r="C616" s="27" t="s">
        <v>239</v>
      </c>
      <c r="D616" s="27" t="str">
        <f t="shared" si="36"/>
        <v>SIKATRANSPARENTE-7 CO           DR 160KG</v>
      </c>
      <c r="E616" s="28" t="s">
        <v>237</v>
      </c>
      <c r="F616" s="29"/>
      <c r="G616" s="30" t="s">
        <v>24</v>
      </c>
      <c r="H616" s="31">
        <v>160</v>
      </c>
      <c r="I616" s="32" t="s">
        <v>50</v>
      </c>
      <c r="J616" s="33">
        <v>1</v>
      </c>
      <c r="K616" s="34" t="s">
        <v>8</v>
      </c>
      <c r="L616" s="82">
        <v>5097050</v>
      </c>
      <c r="M616" s="35">
        <v>6.4000000000000001E-2</v>
      </c>
    </row>
    <row r="617" spans="1:13" x14ac:dyDescent="0.25">
      <c r="A617" s="26">
        <v>42</v>
      </c>
      <c r="B617" s="26">
        <v>618256</v>
      </c>
      <c r="C617" s="27" t="s">
        <v>238</v>
      </c>
      <c r="D617" s="27" t="str">
        <f t="shared" si="36"/>
        <v>SIKATRANSPARENTE-7 CO            PL 16KG</v>
      </c>
      <c r="E617" s="28" t="s">
        <v>237</v>
      </c>
      <c r="F617" s="29"/>
      <c r="G617" s="30" t="s">
        <v>19</v>
      </c>
      <c r="H617" s="31">
        <v>16</v>
      </c>
      <c r="I617" s="32" t="s">
        <v>50</v>
      </c>
      <c r="J617" s="33">
        <v>1</v>
      </c>
      <c r="K617" s="34" t="s">
        <v>8</v>
      </c>
      <c r="L617" s="82">
        <v>578850</v>
      </c>
      <c r="M617" s="35">
        <v>6.4000000000000001E-2</v>
      </c>
    </row>
    <row r="618" spans="1:13" x14ac:dyDescent="0.25">
      <c r="A618" s="26">
        <v>40</v>
      </c>
      <c r="B618" s="26">
        <v>618258</v>
      </c>
      <c r="C618" s="27" t="s">
        <v>235</v>
      </c>
      <c r="D618" s="27" t="str">
        <f t="shared" si="36"/>
        <v>SIKATRANSPARENTE-12 CO          DR 160KG</v>
      </c>
      <c r="E618" s="28" t="s">
        <v>233</v>
      </c>
      <c r="F618" s="29"/>
      <c r="G618" s="30" t="s">
        <v>24</v>
      </c>
      <c r="H618" s="31">
        <v>160</v>
      </c>
      <c r="I618" s="32" t="s">
        <v>50</v>
      </c>
      <c r="J618" s="33">
        <v>1</v>
      </c>
      <c r="K618" s="34" t="s">
        <v>8</v>
      </c>
      <c r="L618" s="82">
        <v>6261400</v>
      </c>
      <c r="M618" s="35">
        <v>6.4000000000000001E-2</v>
      </c>
    </row>
    <row r="619" spans="1:13" x14ac:dyDescent="0.25">
      <c r="A619" s="26">
        <v>38</v>
      </c>
      <c r="B619" s="26">
        <v>618259</v>
      </c>
      <c r="C619" s="27" t="s">
        <v>232</v>
      </c>
      <c r="D619" s="27" t="str">
        <f t="shared" si="36"/>
        <v>SIKATRANSPARENTE-12 CO            /4X3KG</v>
      </c>
      <c r="E619" s="28" t="s">
        <v>233</v>
      </c>
      <c r="F619" s="29"/>
      <c r="G619" s="30" t="s">
        <v>18</v>
      </c>
      <c r="H619" s="31">
        <v>3.2</v>
      </c>
      <c r="I619" s="32" t="s">
        <v>50</v>
      </c>
      <c r="J619" s="33">
        <v>4</v>
      </c>
      <c r="K619" s="34" t="s">
        <v>8</v>
      </c>
      <c r="L619" s="82">
        <v>167550</v>
      </c>
      <c r="M619" s="35">
        <v>6.4000000000000001E-2</v>
      </c>
    </row>
    <row r="620" spans="1:13" x14ac:dyDescent="0.25">
      <c r="A620" s="26">
        <v>138</v>
      </c>
      <c r="B620" s="26">
        <v>618619</v>
      </c>
      <c r="C620" s="27" t="s">
        <v>367</v>
      </c>
      <c r="D620" s="27" t="str">
        <f t="shared" si="36"/>
        <v>SIKA ANTISOL BLANCO MO    COL   DR 200KG</v>
      </c>
      <c r="E620" s="28" t="s">
        <v>368</v>
      </c>
      <c r="F620" s="29"/>
      <c r="G620" s="30" t="s">
        <v>15</v>
      </c>
      <c r="H620" s="31">
        <v>200</v>
      </c>
      <c r="I620" s="32" t="s">
        <v>50</v>
      </c>
      <c r="J620" s="33">
        <v>1</v>
      </c>
      <c r="K620" s="34" t="s">
        <v>8</v>
      </c>
      <c r="L620" s="82">
        <v>1891150</v>
      </c>
      <c r="M620" s="35">
        <v>6.9999999999999993E-2</v>
      </c>
    </row>
    <row r="621" spans="1:13" x14ac:dyDescent="0.25">
      <c r="A621" s="26">
        <v>414</v>
      </c>
      <c r="B621" s="26">
        <v>618651</v>
      </c>
      <c r="C621" s="27" t="s">
        <v>774</v>
      </c>
      <c r="D621" s="27" t="str">
        <f t="shared" si="36"/>
        <v>SIKALATEX MO CO                  PL 20KG</v>
      </c>
      <c r="E621" s="28" t="s">
        <v>775</v>
      </c>
      <c r="F621" s="29"/>
      <c r="G621" s="30"/>
      <c r="H621" s="31">
        <v>20</v>
      </c>
      <c r="I621" s="32" t="s">
        <v>50</v>
      </c>
      <c r="J621" s="33">
        <v>1</v>
      </c>
      <c r="K621" s="34" t="s">
        <v>8</v>
      </c>
      <c r="L621" s="82">
        <v>897450</v>
      </c>
      <c r="M621" s="35">
        <v>6.7000000000000004E-2</v>
      </c>
    </row>
    <row r="622" spans="1:13" x14ac:dyDescent="0.25">
      <c r="A622" s="26">
        <v>415</v>
      </c>
      <c r="B622" s="26">
        <v>618652</v>
      </c>
      <c r="C622" s="27" t="s">
        <v>776</v>
      </c>
      <c r="D622" s="27" t="str">
        <f t="shared" si="36"/>
        <v>SIKALATEX MO CO                 DR 200KG</v>
      </c>
      <c r="E622" s="28" t="s">
        <v>775</v>
      </c>
      <c r="F622" s="29"/>
      <c r="G622" s="30"/>
      <c r="H622" s="31">
        <v>200</v>
      </c>
      <c r="I622" s="32" t="s">
        <v>50</v>
      </c>
      <c r="J622" s="33">
        <v>1</v>
      </c>
      <c r="K622" s="34" t="s">
        <v>8</v>
      </c>
      <c r="L622" s="82">
        <v>5658850</v>
      </c>
      <c r="M622" s="35">
        <v>6.7000000000000004E-2</v>
      </c>
    </row>
    <row r="623" spans="1:13" x14ac:dyDescent="0.25">
      <c r="A623" s="26">
        <v>261</v>
      </c>
      <c r="B623" s="26">
        <v>618654</v>
      </c>
      <c r="C623" s="27" t="s">
        <v>553</v>
      </c>
      <c r="D623" s="27" t="str">
        <f t="shared" si="36"/>
        <v>SIKAFLUID MO CO                 DR 230KG</v>
      </c>
      <c r="E623" s="28" t="s">
        <v>554</v>
      </c>
      <c r="F623" s="29"/>
      <c r="G623" s="30"/>
      <c r="H623" s="31">
        <v>230</v>
      </c>
      <c r="I623" s="32" t="s">
        <v>50</v>
      </c>
      <c r="J623" s="33">
        <v>1</v>
      </c>
      <c r="K623" s="34" t="s">
        <v>8</v>
      </c>
      <c r="L623" s="82">
        <v>2965550</v>
      </c>
      <c r="M623" s="35">
        <v>0.08</v>
      </c>
    </row>
    <row r="624" spans="1:13" x14ac:dyDescent="0.25">
      <c r="A624" s="26">
        <v>176</v>
      </c>
      <c r="B624" s="26">
        <v>618655</v>
      </c>
      <c r="C624" s="27" t="s">
        <v>423</v>
      </c>
      <c r="D624" s="27" t="str">
        <f t="shared" si="36"/>
        <v>SIKAPLASTOCRETE DM MO     COL   DR 230KG</v>
      </c>
      <c r="E624" s="28" t="s">
        <v>424</v>
      </c>
      <c r="F624" s="29"/>
      <c r="G624" s="30"/>
      <c r="H624" s="31">
        <v>230</v>
      </c>
      <c r="I624" s="32" t="s">
        <v>50</v>
      </c>
      <c r="J624" s="33">
        <v>1</v>
      </c>
      <c r="K624" s="34" t="s">
        <v>8</v>
      </c>
      <c r="L624" s="82">
        <v>2641050</v>
      </c>
      <c r="M624" s="35">
        <v>6.9999999999999993E-2</v>
      </c>
    </row>
    <row r="625" spans="1:13" x14ac:dyDescent="0.25">
      <c r="A625" s="26">
        <v>253</v>
      </c>
      <c r="B625" s="26">
        <v>618657</v>
      </c>
      <c r="C625" s="27" t="s">
        <v>539</v>
      </c>
      <c r="D625" s="27" t="str">
        <f t="shared" si="36"/>
        <v>SIKACONTROL PERFIN-7           TANKER KG</v>
      </c>
      <c r="E625" s="28" t="s">
        <v>527</v>
      </c>
      <c r="F625" s="29"/>
      <c r="G625" s="30"/>
      <c r="H625" s="31">
        <v>1</v>
      </c>
      <c r="I625" s="32" t="s">
        <v>50</v>
      </c>
      <c r="J625" s="33">
        <v>1</v>
      </c>
      <c r="K625" s="34" t="s">
        <v>8</v>
      </c>
      <c r="L625" s="82">
        <v>7650</v>
      </c>
      <c r="M625" s="35">
        <v>0.04</v>
      </c>
    </row>
    <row r="626" spans="1:13" x14ac:dyDescent="0.25">
      <c r="A626" s="26">
        <v>245</v>
      </c>
      <c r="B626" s="26">
        <v>618659</v>
      </c>
      <c r="C626" s="27" t="s">
        <v>526</v>
      </c>
      <c r="D626" s="27" t="str">
        <f t="shared" si="36"/>
        <v>SIKACONTROL PERFIN-7            DR 200KG</v>
      </c>
      <c r="E626" s="28" t="s">
        <v>527</v>
      </c>
      <c r="F626" s="29"/>
      <c r="G626" s="30"/>
      <c r="H626" s="31">
        <v>200</v>
      </c>
      <c r="I626" s="32" t="s">
        <v>50</v>
      </c>
      <c r="J626" s="33">
        <v>1</v>
      </c>
      <c r="K626" s="34" t="s">
        <v>8</v>
      </c>
      <c r="L626" s="82">
        <v>1934600</v>
      </c>
      <c r="M626" s="35">
        <v>6.0000000000000005E-2</v>
      </c>
    </row>
    <row r="627" spans="1:13" x14ac:dyDescent="0.25">
      <c r="A627" s="91">
        <v>432</v>
      </c>
      <c r="B627" s="91">
        <v>619194</v>
      </c>
      <c r="C627" s="92" t="s">
        <v>798</v>
      </c>
      <c r="D627" s="121" t="str">
        <f>CONCATENATE(UPPER(C627),$D$3)</f>
        <v>AUTOIMPRIMANTE EPOXICO HS FZ(A)7047 3GAL "E"</v>
      </c>
      <c r="E627" s="93" t="s">
        <v>799</v>
      </c>
      <c r="F627" s="94"/>
      <c r="G627" s="95" t="s">
        <v>66</v>
      </c>
      <c r="H627" s="96">
        <v>3</v>
      </c>
      <c r="I627" s="97" t="s">
        <v>1443</v>
      </c>
      <c r="J627" s="98">
        <v>1</v>
      </c>
      <c r="K627" s="99" t="s">
        <v>8</v>
      </c>
      <c r="L627" s="82">
        <v>922750</v>
      </c>
      <c r="M627" s="100">
        <v>3.4999999999999996E-2</v>
      </c>
    </row>
    <row r="628" spans="1:13" x14ac:dyDescent="0.25">
      <c r="A628" s="26">
        <v>114</v>
      </c>
      <c r="B628" s="26">
        <v>619219</v>
      </c>
      <c r="C628" s="27" t="s">
        <v>329</v>
      </c>
      <c r="D628" s="27" t="str">
        <f>UPPER(C628)</f>
        <v>SIKAMUR-175 GROUT MAMPOSTERIA(AB)   95KG</v>
      </c>
      <c r="E628" s="28" t="s">
        <v>330</v>
      </c>
      <c r="F628" s="29"/>
      <c r="G628" s="30" t="s">
        <v>44</v>
      </c>
      <c r="H628" s="31">
        <v>95</v>
      </c>
      <c r="I628" s="32" t="s">
        <v>50</v>
      </c>
      <c r="J628" s="33">
        <v>1</v>
      </c>
      <c r="K628" s="34" t="s">
        <v>8</v>
      </c>
      <c r="L628" s="82">
        <v>150200</v>
      </c>
      <c r="M628" s="35">
        <v>6.4000000000000001E-2</v>
      </c>
    </row>
    <row r="629" spans="1:13" x14ac:dyDescent="0.25">
      <c r="A629" s="91">
        <v>632</v>
      </c>
      <c r="B629" s="91">
        <v>620275</v>
      </c>
      <c r="C629" s="92" t="s">
        <v>1034</v>
      </c>
      <c r="D629" s="121" t="str">
        <f>CONCATENATE(UPPER(C629),$D$3)</f>
        <v>SIKAFLOOR-3 QUARTZTOP OCHRE      BG 50KG "E"</v>
      </c>
      <c r="E629" s="93" t="s">
        <v>1029</v>
      </c>
      <c r="F629" s="94"/>
      <c r="G629" s="95" t="s">
        <v>118</v>
      </c>
      <c r="H629" s="96">
        <v>50</v>
      </c>
      <c r="I629" s="97" t="s">
        <v>50</v>
      </c>
      <c r="J629" s="98">
        <v>1</v>
      </c>
      <c r="K629" s="99" t="s">
        <v>8</v>
      </c>
      <c r="L629" s="82">
        <v>404300</v>
      </c>
      <c r="M629" s="100">
        <v>7.7000000000000013E-2</v>
      </c>
    </row>
    <row r="630" spans="1:13" x14ac:dyDescent="0.25">
      <c r="A630" s="26">
        <v>701</v>
      </c>
      <c r="B630" s="26">
        <v>620343</v>
      </c>
      <c r="C630" s="27" t="s">
        <v>1113</v>
      </c>
      <c r="D630" s="27" t="str">
        <f t="shared" ref="D630:D635" si="37">UPPER(C630)</f>
        <v>IGASOL CUBIERTA CO              /8X1,6KG</v>
      </c>
      <c r="E630" s="28" t="s">
        <v>1114</v>
      </c>
      <c r="F630" s="29"/>
      <c r="G630" s="30"/>
      <c r="H630" s="31">
        <v>1.6</v>
      </c>
      <c r="I630" s="32" t="s">
        <v>50</v>
      </c>
      <c r="J630" s="33">
        <v>8</v>
      </c>
      <c r="K630" s="34" t="s">
        <v>8</v>
      </c>
      <c r="L630" s="82">
        <v>51700</v>
      </c>
      <c r="M630" s="35">
        <v>8.2500000000000004E-2</v>
      </c>
    </row>
    <row r="631" spans="1:13" x14ac:dyDescent="0.25">
      <c r="A631" s="26">
        <v>703</v>
      </c>
      <c r="B631" s="26">
        <v>620344</v>
      </c>
      <c r="C631" s="27" t="s">
        <v>1116</v>
      </c>
      <c r="D631" s="27" t="str">
        <f t="shared" si="37"/>
        <v>IGASOL CUBIERTA CO              PL 8,5KG</v>
      </c>
      <c r="E631" s="28" t="s">
        <v>1114</v>
      </c>
      <c r="F631" s="29"/>
      <c r="G631" s="30"/>
      <c r="H631" s="31">
        <v>8.5</v>
      </c>
      <c r="I631" s="32" t="s">
        <v>50</v>
      </c>
      <c r="J631" s="33">
        <v>1</v>
      </c>
      <c r="K631" s="34" t="s">
        <v>8</v>
      </c>
      <c r="L631" s="82">
        <v>166450</v>
      </c>
      <c r="M631" s="35">
        <v>8.2500000000000004E-2</v>
      </c>
    </row>
    <row r="632" spans="1:13" x14ac:dyDescent="0.25">
      <c r="A632" s="26">
        <v>722</v>
      </c>
      <c r="B632" s="26">
        <v>620826</v>
      </c>
      <c r="C632" s="27" t="s">
        <v>1136</v>
      </c>
      <c r="D632" s="27" t="str">
        <f t="shared" si="37"/>
        <v>SIKATECHO E CO                  PL 8,5KG</v>
      </c>
      <c r="E632" s="28" t="s">
        <v>1134</v>
      </c>
      <c r="F632" s="29"/>
      <c r="G632" s="30"/>
      <c r="H632" s="31">
        <v>8.5</v>
      </c>
      <c r="I632" s="32" t="s">
        <v>50</v>
      </c>
      <c r="J632" s="33">
        <v>1</v>
      </c>
      <c r="K632" s="34" t="s">
        <v>8</v>
      </c>
      <c r="L632" s="82">
        <v>85150</v>
      </c>
      <c r="M632" s="35">
        <v>8.2500000000000004E-2</v>
      </c>
    </row>
    <row r="633" spans="1:13" x14ac:dyDescent="0.25">
      <c r="A633" s="26">
        <v>720</v>
      </c>
      <c r="B633" s="26">
        <v>620827</v>
      </c>
      <c r="C633" s="27" t="s">
        <v>1133</v>
      </c>
      <c r="D633" s="27" t="str">
        <f t="shared" si="37"/>
        <v>SIKATECHO E CO                  /8X1,6KG</v>
      </c>
      <c r="E633" s="28" t="s">
        <v>1134</v>
      </c>
      <c r="F633" s="29"/>
      <c r="G633" s="30"/>
      <c r="H633" s="31">
        <v>1.6</v>
      </c>
      <c r="I633" s="32" t="s">
        <v>50</v>
      </c>
      <c r="J633" s="33">
        <v>8</v>
      </c>
      <c r="K633" s="34" t="s">
        <v>8</v>
      </c>
      <c r="L633" s="82">
        <v>20700</v>
      </c>
      <c r="M633" s="35">
        <v>8.2500000000000004E-2</v>
      </c>
    </row>
    <row r="634" spans="1:13" x14ac:dyDescent="0.25">
      <c r="A634" s="26">
        <v>694</v>
      </c>
      <c r="B634" s="26">
        <v>620828</v>
      </c>
      <c r="C634" s="27" t="s">
        <v>1103</v>
      </c>
      <c r="D634" s="27" t="str">
        <f t="shared" si="37"/>
        <v>EMULSION ASFALTICA SIKA CO      /8X1,6KG</v>
      </c>
      <c r="E634" s="28" t="s">
        <v>1104</v>
      </c>
      <c r="F634" s="48"/>
      <c r="G634" s="30"/>
      <c r="H634" s="31">
        <v>1.6</v>
      </c>
      <c r="I634" s="32" t="s">
        <v>50</v>
      </c>
      <c r="J634" s="33">
        <v>8</v>
      </c>
      <c r="K634" s="34" t="s">
        <v>8</v>
      </c>
      <c r="L634" s="82">
        <v>21950</v>
      </c>
      <c r="M634" s="35">
        <v>8.2500000000000004E-2</v>
      </c>
    </row>
    <row r="635" spans="1:13" x14ac:dyDescent="0.25">
      <c r="A635" s="26">
        <v>696</v>
      </c>
      <c r="B635" s="26">
        <v>620829</v>
      </c>
      <c r="C635" s="27" t="s">
        <v>1106</v>
      </c>
      <c r="D635" s="27" t="str">
        <f t="shared" si="37"/>
        <v>EMULSION ASFALTICA SIKA CO      PL 8,5KG</v>
      </c>
      <c r="E635" s="28" t="s">
        <v>1104</v>
      </c>
      <c r="F635" s="48"/>
      <c r="G635" s="30"/>
      <c r="H635" s="31">
        <v>8.5</v>
      </c>
      <c r="I635" s="32" t="s">
        <v>50</v>
      </c>
      <c r="J635" s="33">
        <v>1</v>
      </c>
      <c r="K635" s="34" t="s">
        <v>8</v>
      </c>
      <c r="L635" s="82">
        <v>89750</v>
      </c>
      <c r="M635" s="35">
        <v>8.2500000000000004E-2</v>
      </c>
    </row>
    <row r="636" spans="1:13" x14ac:dyDescent="0.25">
      <c r="A636" s="91">
        <v>388</v>
      </c>
      <c r="B636" s="91">
        <v>621662</v>
      </c>
      <c r="C636" s="92" t="s">
        <v>736</v>
      </c>
      <c r="D636" s="121" t="str">
        <f>CONCATENATE(UPPER(C636),$D$3)</f>
        <v>SIKADUR-42 LE PLUS CO (ABC)      33,82KG "E"</v>
      </c>
      <c r="E636" s="93" t="s">
        <v>735</v>
      </c>
      <c r="F636" s="94"/>
      <c r="G636" s="95"/>
      <c r="H636" s="96">
        <v>33.82</v>
      </c>
      <c r="I636" s="97" t="s">
        <v>50</v>
      </c>
      <c r="J636" s="98">
        <v>1</v>
      </c>
      <c r="K636" s="99" t="s">
        <v>8</v>
      </c>
      <c r="L636" s="82">
        <v>2603850</v>
      </c>
      <c r="M636" s="100">
        <v>8.199999999999999E-2</v>
      </c>
    </row>
    <row r="637" spans="1:13" s="52" customFormat="1" ht="12.75" x14ac:dyDescent="0.25">
      <c r="A637" s="91">
        <v>208</v>
      </c>
      <c r="B637" s="91">
        <v>622656</v>
      </c>
      <c r="C637" s="92" t="s">
        <v>469</v>
      </c>
      <c r="D637" s="121" t="str">
        <f>CONCATENATE(UPPER(C637),$D$3)</f>
        <v>SIKASIGUNIT L-55 AF       COL   DR 230KG "E"</v>
      </c>
      <c r="E637" s="93" t="s">
        <v>470</v>
      </c>
      <c r="F637" s="94"/>
      <c r="G637" s="109"/>
      <c r="H637" s="96">
        <v>230</v>
      </c>
      <c r="I637" s="97" t="s">
        <v>50</v>
      </c>
      <c r="J637" s="98">
        <v>1</v>
      </c>
      <c r="K637" s="99" t="s">
        <v>8</v>
      </c>
      <c r="L637" s="82">
        <v>2419100</v>
      </c>
      <c r="M637" s="100">
        <v>0.08</v>
      </c>
    </row>
    <row r="638" spans="1:13" x14ac:dyDescent="0.25">
      <c r="A638" s="26">
        <v>944</v>
      </c>
      <c r="B638" s="26">
        <v>623891</v>
      </c>
      <c r="C638" s="27" t="s">
        <v>1435</v>
      </c>
      <c r="D638" s="27" t="str">
        <f>UPPER(C638)</f>
        <v>SIKASWELL S-2 OXIDE RED C5011 /12 CTR300</v>
      </c>
      <c r="E638" s="28" t="s">
        <v>1436</v>
      </c>
      <c r="F638" s="29"/>
      <c r="G638" s="30"/>
      <c r="H638" s="31">
        <v>1</v>
      </c>
      <c r="I638" s="32" t="s">
        <v>1445</v>
      </c>
      <c r="J638" s="33">
        <v>1</v>
      </c>
      <c r="K638" s="34" t="s">
        <v>8</v>
      </c>
      <c r="L638" s="82">
        <v>200750</v>
      </c>
      <c r="M638" s="35">
        <v>6.7000000000000004E-2</v>
      </c>
    </row>
    <row r="639" spans="1:13" x14ac:dyDescent="0.25">
      <c r="A639" s="26">
        <v>884</v>
      </c>
      <c r="B639" s="26">
        <v>626278</v>
      </c>
      <c r="C639" s="27" t="s">
        <v>1350</v>
      </c>
      <c r="D639" s="27" t="str">
        <f>UPPER(C639)</f>
        <v>SIKAMONOTOP-160 MIGRATING CO     BG 25KG</v>
      </c>
      <c r="E639" s="28" t="s">
        <v>1351</v>
      </c>
      <c r="F639" s="29"/>
      <c r="G639" s="30"/>
      <c r="H639" s="31">
        <v>25</v>
      </c>
      <c r="I639" s="32" t="s">
        <v>50</v>
      </c>
      <c r="J639" s="33">
        <v>1</v>
      </c>
      <c r="K639" s="34" t="s">
        <v>8</v>
      </c>
      <c r="L639" s="82">
        <v>728250</v>
      </c>
      <c r="M639" s="35">
        <v>8.6999999999999994E-2</v>
      </c>
    </row>
    <row r="640" spans="1:13" x14ac:dyDescent="0.25">
      <c r="A640" s="91">
        <v>389</v>
      </c>
      <c r="B640" s="91">
        <v>626285</v>
      </c>
      <c r="C640" s="92" t="s">
        <v>737</v>
      </c>
      <c r="D640" s="121" t="str">
        <f>CONCATENATE(UPPER(C640),$D$3)</f>
        <v>SIKADUR-51 SL PLUS (AB) DARK GREY 9,07KG "E"</v>
      </c>
      <c r="E640" s="93" t="s">
        <v>738</v>
      </c>
      <c r="F640" s="94"/>
      <c r="G640" s="95" t="s">
        <v>59</v>
      </c>
      <c r="H640" s="96">
        <v>9.07</v>
      </c>
      <c r="I640" s="97" t="s">
        <v>50</v>
      </c>
      <c r="J640" s="98">
        <v>1</v>
      </c>
      <c r="K640" s="99" t="s">
        <v>8</v>
      </c>
      <c r="L640" s="82">
        <v>1078250</v>
      </c>
      <c r="M640" s="100">
        <v>6.7000000000000004E-2</v>
      </c>
    </row>
    <row r="641" spans="1:13" x14ac:dyDescent="0.25">
      <c r="A641" s="26">
        <v>143</v>
      </c>
      <c r="B641" s="26">
        <v>626288</v>
      </c>
      <c r="C641" s="27" t="s">
        <v>375</v>
      </c>
      <c r="D641" s="27" t="str">
        <f>UPPER(C641)</f>
        <v>SIKADUST SEAL                   DR 230KG</v>
      </c>
      <c r="E641" s="28" t="s">
        <v>376</v>
      </c>
      <c r="F641" s="29"/>
      <c r="G641" s="30"/>
      <c r="H641" s="31">
        <v>230</v>
      </c>
      <c r="I641" s="32" t="s">
        <v>50</v>
      </c>
      <c r="J641" s="33">
        <v>1</v>
      </c>
      <c r="K641" s="34" t="s">
        <v>8</v>
      </c>
      <c r="L641" s="82">
        <v>1378100</v>
      </c>
      <c r="M641" s="35">
        <v>0.08</v>
      </c>
    </row>
    <row r="642" spans="1:13" x14ac:dyDescent="0.25">
      <c r="A642" s="26">
        <v>241</v>
      </c>
      <c r="B642" s="26">
        <v>626421</v>
      </c>
      <c r="C642" s="27" t="s">
        <v>520</v>
      </c>
      <c r="D642" s="27" t="str">
        <f>UPPER(C642)</f>
        <v>SIKA-3                         /12X2,3KG</v>
      </c>
      <c r="E642" s="28" t="s">
        <v>521</v>
      </c>
      <c r="F642" s="29"/>
      <c r="G642" s="30"/>
      <c r="H642" s="31">
        <v>2.2999999999999998</v>
      </c>
      <c r="I642" s="32" t="s">
        <v>50</v>
      </c>
      <c r="J642" s="33">
        <v>12</v>
      </c>
      <c r="K642" s="34" t="s">
        <v>8</v>
      </c>
      <c r="L642" s="82">
        <v>55850</v>
      </c>
      <c r="M642" s="35">
        <v>0.08</v>
      </c>
    </row>
    <row r="643" spans="1:13" x14ac:dyDescent="0.25">
      <c r="A643" s="26">
        <v>784</v>
      </c>
      <c r="B643" s="26">
        <v>627443</v>
      </c>
      <c r="C643" s="27" t="s">
        <v>1214</v>
      </c>
      <c r="D643" s="27" t="str">
        <f>UPPER(C643)</f>
        <v>SIKALASTIC-707 TRANSPARENT (AB)     33KG</v>
      </c>
      <c r="E643" s="28" t="s">
        <v>1213</v>
      </c>
      <c r="F643" s="29"/>
      <c r="G643" s="30" t="s">
        <v>25</v>
      </c>
      <c r="H643" s="31">
        <v>33</v>
      </c>
      <c r="I643" s="32" t="s">
        <v>50</v>
      </c>
      <c r="J643" s="33">
        <v>1</v>
      </c>
      <c r="K643" s="34" t="s">
        <v>8</v>
      </c>
      <c r="L643" s="82">
        <v>7833550</v>
      </c>
      <c r="M643" s="35">
        <v>7.2499999999999995E-2</v>
      </c>
    </row>
    <row r="644" spans="1:13" x14ac:dyDescent="0.25">
      <c r="A644" s="91">
        <v>402</v>
      </c>
      <c r="B644" s="91">
        <v>628148</v>
      </c>
      <c r="C644" s="92" t="s">
        <v>757</v>
      </c>
      <c r="D644" s="121" t="str">
        <f>CONCATENATE(UPPER(C644),$D$3)</f>
        <v>SIKAGARD-720EC (ABC) CO             21KG "E"</v>
      </c>
      <c r="E644" s="93" t="s">
        <v>758</v>
      </c>
      <c r="F644" s="94"/>
      <c r="G644" s="95"/>
      <c r="H644" s="96">
        <v>21</v>
      </c>
      <c r="I644" s="97" t="s">
        <v>50</v>
      </c>
      <c r="J644" s="98">
        <v>1</v>
      </c>
      <c r="K644" s="99" t="s">
        <v>8</v>
      </c>
      <c r="L644" s="82">
        <v>769900</v>
      </c>
      <c r="M644" s="100">
        <v>8.199999999999999E-2</v>
      </c>
    </row>
    <row r="645" spans="1:13" x14ac:dyDescent="0.25">
      <c r="A645" s="26">
        <v>576</v>
      </c>
      <c r="B645" s="26">
        <v>628150</v>
      </c>
      <c r="C645" s="27" t="s">
        <v>982</v>
      </c>
      <c r="D645" s="27" t="str">
        <f>UPPER(C645)</f>
        <v>SIKAFLOOR-130 LEVEL COMMERCIAL   BG 25KG</v>
      </c>
      <c r="E645" s="28" t="s">
        <v>983</v>
      </c>
      <c r="F645" s="29"/>
      <c r="G645" s="30"/>
      <c r="H645" s="31">
        <v>25</v>
      </c>
      <c r="I645" s="32" t="s">
        <v>50</v>
      </c>
      <c r="J645" s="33">
        <v>1</v>
      </c>
      <c r="K645" s="34" t="s">
        <v>8</v>
      </c>
      <c r="L645" s="82">
        <v>189300</v>
      </c>
      <c r="M645" s="35">
        <v>6.7000000000000004E-2</v>
      </c>
    </row>
    <row r="646" spans="1:13" x14ac:dyDescent="0.25">
      <c r="A646" s="26">
        <v>240</v>
      </c>
      <c r="B646" s="26">
        <v>628152</v>
      </c>
      <c r="C646" s="27" t="s">
        <v>518</v>
      </c>
      <c r="D646" s="27" t="str">
        <f>UPPER(C646)</f>
        <v>SIKA WT-240 P CO                 BG 20KG</v>
      </c>
      <c r="E646" s="28" t="s">
        <v>519</v>
      </c>
      <c r="F646" s="29"/>
      <c r="G646" s="30"/>
      <c r="H646" s="31">
        <v>20</v>
      </c>
      <c r="I646" s="32" t="s">
        <v>50</v>
      </c>
      <c r="J646" s="33">
        <v>1</v>
      </c>
      <c r="K646" s="34" t="s">
        <v>8</v>
      </c>
      <c r="L646" s="82">
        <v>448700</v>
      </c>
      <c r="M646" s="35">
        <v>0.08</v>
      </c>
    </row>
    <row r="647" spans="1:13" x14ac:dyDescent="0.25">
      <c r="A647" s="26">
        <v>162</v>
      </c>
      <c r="B647" s="26">
        <v>631613</v>
      </c>
      <c r="C647" s="27" t="s">
        <v>404</v>
      </c>
      <c r="D647" s="27" t="str">
        <f>UPPER(C647)</f>
        <v>SIKAPLASTIMENT-132 MC          TANKER KG</v>
      </c>
      <c r="E647" s="28" t="s">
        <v>405</v>
      </c>
      <c r="F647" s="29"/>
      <c r="G647" s="30"/>
      <c r="H647" s="31">
        <v>1</v>
      </c>
      <c r="I647" s="32" t="s">
        <v>50</v>
      </c>
      <c r="J647" s="33">
        <v>500</v>
      </c>
      <c r="K647" s="34" t="s">
        <v>8</v>
      </c>
      <c r="L647" s="82">
        <v>10050</v>
      </c>
      <c r="M647" s="35">
        <v>6.9999999999999993E-2</v>
      </c>
    </row>
    <row r="648" spans="1:13" x14ac:dyDescent="0.25">
      <c r="A648" s="26">
        <v>224</v>
      </c>
      <c r="B648" s="26">
        <v>631636</v>
      </c>
      <c r="C648" s="27" t="s">
        <v>495</v>
      </c>
      <c r="D648" s="27" t="str">
        <f>UPPER(C648)</f>
        <v>SIKAVISCOCRETE-2020 CO         TANKER KG</v>
      </c>
      <c r="E648" s="28" t="s">
        <v>496</v>
      </c>
      <c r="F648" s="29"/>
      <c r="G648" s="30"/>
      <c r="H648" s="31">
        <v>1</v>
      </c>
      <c r="I648" s="32" t="s">
        <v>50</v>
      </c>
      <c r="J648" s="33">
        <v>500</v>
      </c>
      <c r="K648" s="34" t="s">
        <v>8</v>
      </c>
      <c r="L648" s="82">
        <v>22050</v>
      </c>
      <c r="M648" s="35">
        <v>0.08</v>
      </c>
    </row>
    <row r="649" spans="1:13" x14ac:dyDescent="0.25">
      <c r="A649" s="91">
        <v>116</v>
      </c>
      <c r="B649" s="91">
        <v>637174</v>
      </c>
      <c r="C649" s="92" t="s">
        <v>333</v>
      </c>
      <c r="D649" s="121" t="str">
        <f>CONCATENATE(UPPER(C649),$D$3)</f>
        <v>SIKAWALL-1021 DRY BASECOAT&amp;AD.CO BG 25KG "E"</v>
      </c>
      <c r="E649" s="93" t="s">
        <v>334</v>
      </c>
      <c r="F649" s="94"/>
      <c r="G649" s="95"/>
      <c r="H649" s="96">
        <v>25</v>
      </c>
      <c r="I649" s="97" t="s">
        <v>50</v>
      </c>
      <c r="J649" s="98">
        <v>1</v>
      </c>
      <c r="K649" s="99" t="s">
        <v>8</v>
      </c>
      <c r="L649" s="82">
        <v>137350</v>
      </c>
      <c r="M649" s="100">
        <v>6.4000000000000001E-2</v>
      </c>
    </row>
    <row r="650" spans="1:13" x14ac:dyDescent="0.25">
      <c r="A650" s="91">
        <v>933</v>
      </c>
      <c r="B650" s="91">
        <v>638471</v>
      </c>
      <c r="C650" s="92" t="s">
        <v>1421</v>
      </c>
      <c r="D650" s="121" t="str">
        <f>CONCATENATE(UPPER(C650),$D$3)</f>
        <v>SIKALASTIC-720 ONE SHOT(2AB)GRAY  9,6GAL "E"</v>
      </c>
      <c r="E650" s="93" t="s">
        <v>1422</v>
      </c>
      <c r="F650" s="94"/>
      <c r="G650" s="95"/>
      <c r="H650" s="96">
        <v>9.6</v>
      </c>
      <c r="I650" s="97" t="s">
        <v>1443</v>
      </c>
      <c r="J650" s="98">
        <v>1</v>
      </c>
      <c r="K650" s="99" t="s">
        <v>8</v>
      </c>
      <c r="L650" s="82">
        <v>5674550</v>
      </c>
      <c r="M650" s="100">
        <v>6.7000000000000004E-2</v>
      </c>
    </row>
    <row r="651" spans="1:13" x14ac:dyDescent="0.25">
      <c r="A651" s="26">
        <v>346</v>
      </c>
      <c r="B651" s="26">
        <v>638820</v>
      </c>
      <c r="C651" s="27" t="s">
        <v>684</v>
      </c>
      <c r="D651" s="27" t="str">
        <f t="shared" ref="D651:D687" si="38">UPPER(C651)</f>
        <v>SIKA ANCHORFIX S (AB) CO      /20 CTR150</v>
      </c>
      <c r="E651" s="28" t="s">
        <v>683</v>
      </c>
      <c r="F651" s="29"/>
      <c r="G651" s="30"/>
      <c r="H651" s="31">
        <v>1</v>
      </c>
      <c r="I651" s="32" t="s">
        <v>1445</v>
      </c>
      <c r="J651" s="33">
        <v>20</v>
      </c>
      <c r="K651" s="34" t="s">
        <v>8</v>
      </c>
      <c r="L651" s="82">
        <v>46950</v>
      </c>
      <c r="M651" s="35">
        <v>6.7000000000000004E-2</v>
      </c>
    </row>
    <row r="652" spans="1:13" x14ac:dyDescent="0.25">
      <c r="A652" s="26">
        <v>167</v>
      </c>
      <c r="B652" s="26">
        <v>641665</v>
      </c>
      <c r="C652" s="27" t="s">
        <v>412</v>
      </c>
      <c r="D652" s="27" t="str">
        <f t="shared" si="38"/>
        <v>SIKAPLASTIMENT-160 SO           DR 230KG</v>
      </c>
      <c r="E652" s="28" t="s">
        <v>411</v>
      </c>
      <c r="F652" s="29"/>
      <c r="G652" s="30"/>
      <c r="H652" s="31">
        <v>230</v>
      </c>
      <c r="I652" s="32" t="s">
        <v>50</v>
      </c>
      <c r="J652" s="33">
        <v>1</v>
      </c>
      <c r="K652" s="34" t="s">
        <v>8</v>
      </c>
      <c r="L652" s="82">
        <v>2162950</v>
      </c>
      <c r="M652" s="35">
        <v>0.08</v>
      </c>
    </row>
    <row r="653" spans="1:13" x14ac:dyDescent="0.25">
      <c r="A653" s="26">
        <v>169</v>
      </c>
      <c r="B653" s="26">
        <v>641668</v>
      </c>
      <c r="C653" s="27" t="s">
        <v>415</v>
      </c>
      <c r="D653" s="27" t="str">
        <f t="shared" si="38"/>
        <v>SIKAPLASTIMENT-170 SP           DR 230KG</v>
      </c>
      <c r="E653" s="28" t="s">
        <v>414</v>
      </c>
      <c r="F653" s="29"/>
      <c r="G653" s="30"/>
      <c r="H653" s="31">
        <v>230</v>
      </c>
      <c r="I653" s="32" t="s">
        <v>50</v>
      </c>
      <c r="J653" s="33">
        <v>1</v>
      </c>
      <c r="K653" s="34" t="s">
        <v>8</v>
      </c>
      <c r="L653" s="82">
        <v>2096600</v>
      </c>
      <c r="M653" s="35">
        <v>6.9999999999999993E-2</v>
      </c>
    </row>
    <row r="654" spans="1:13" x14ac:dyDescent="0.25">
      <c r="A654" s="26">
        <v>165</v>
      </c>
      <c r="B654" s="26">
        <v>641671</v>
      </c>
      <c r="C654" s="27" t="s">
        <v>409</v>
      </c>
      <c r="D654" s="27" t="str">
        <f t="shared" si="38"/>
        <v>SIKAPLASTIMENT-150 RI           DR 230KG</v>
      </c>
      <c r="E654" s="28" t="s">
        <v>408</v>
      </c>
      <c r="F654" s="29"/>
      <c r="G654" s="30"/>
      <c r="H654" s="31">
        <v>230</v>
      </c>
      <c r="I654" s="32" t="s">
        <v>50</v>
      </c>
      <c r="J654" s="33">
        <v>1</v>
      </c>
      <c r="K654" s="34" t="s">
        <v>8</v>
      </c>
      <c r="L654" s="82">
        <v>2063800</v>
      </c>
      <c r="M654" s="35">
        <v>6.9999999999999993E-2</v>
      </c>
    </row>
    <row r="655" spans="1:13" x14ac:dyDescent="0.25">
      <c r="A655" s="26">
        <v>300</v>
      </c>
      <c r="B655" s="26">
        <v>641674</v>
      </c>
      <c r="C655" s="27" t="s">
        <v>617</v>
      </c>
      <c r="D655" s="27" t="str">
        <f t="shared" si="38"/>
        <v>SIKAPLAST-5800                  DR 230KG</v>
      </c>
      <c r="E655" s="28" t="s">
        <v>618</v>
      </c>
      <c r="F655" s="29"/>
      <c r="G655" s="30"/>
      <c r="H655" s="31">
        <v>230</v>
      </c>
      <c r="I655" s="32" t="s">
        <v>50</v>
      </c>
      <c r="J655" s="33">
        <v>1</v>
      </c>
      <c r="K655" s="34" t="s">
        <v>8</v>
      </c>
      <c r="L655" s="82">
        <v>5967350</v>
      </c>
      <c r="M655" s="35">
        <v>9.9999999999999992E-2</v>
      </c>
    </row>
    <row r="656" spans="1:13" x14ac:dyDescent="0.25">
      <c r="A656" s="26">
        <v>163</v>
      </c>
      <c r="B656" s="26">
        <v>641676</v>
      </c>
      <c r="C656" s="27" t="s">
        <v>406</v>
      </c>
      <c r="D656" s="27" t="str">
        <f t="shared" si="38"/>
        <v>SIKAPLASTIMENT-132 MC           DR 230KG</v>
      </c>
      <c r="E656" s="28" t="s">
        <v>405</v>
      </c>
      <c r="F656" s="29"/>
      <c r="G656" s="30"/>
      <c r="H656" s="31">
        <v>230</v>
      </c>
      <c r="I656" s="32" t="s">
        <v>50</v>
      </c>
      <c r="J656" s="33">
        <v>1</v>
      </c>
      <c r="K656" s="34" t="s">
        <v>8</v>
      </c>
      <c r="L656" s="82">
        <v>2464600</v>
      </c>
      <c r="M656" s="35">
        <v>6.0000000000000005E-2</v>
      </c>
    </row>
    <row r="657" spans="1:13" x14ac:dyDescent="0.25">
      <c r="A657" s="26">
        <v>342</v>
      </c>
      <c r="B657" s="26">
        <v>642245</v>
      </c>
      <c r="C657" s="27" t="s">
        <v>677</v>
      </c>
      <c r="D657" s="27" t="str">
        <f t="shared" si="38"/>
        <v>SIKA ANCHORFIX-3001(AB) CO    /12 CTR250</v>
      </c>
      <c r="E657" s="28" t="s">
        <v>678</v>
      </c>
      <c r="F657" s="29"/>
      <c r="G657" s="30"/>
      <c r="H657" s="31">
        <v>1</v>
      </c>
      <c r="I657" s="32" t="s">
        <v>1445</v>
      </c>
      <c r="J657" s="33">
        <v>1</v>
      </c>
      <c r="K657" s="34" t="s">
        <v>8</v>
      </c>
      <c r="L657" s="82">
        <v>103750</v>
      </c>
      <c r="M657" s="35">
        <v>8.199999999999999E-2</v>
      </c>
    </row>
    <row r="658" spans="1:13" s="53" customFormat="1" x14ac:dyDescent="0.25">
      <c r="A658" s="26">
        <v>225</v>
      </c>
      <c r="B658" s="26">
        <v>644276</v>
      </c>
      <c r="C658" s="27" t="s">
        <v>497</v>
      </c>
      <c r="D658" s="27" t="str">
        <f t="shared" si="38"/>
        <v>SIKAVISCOCRETE-2020 CO          DR 230KG</v>
      </c>
      <c r="E658" s="28" t="s">
        <v>496</v>
      </c>
      <c r="F658" s="29"/>
      <c r="G658" s="30"/>
      <c r="H658" s="31">
        <v>230</v>
      </c>
      <c r="I658" s="32" t="s">
        <v>50</v>
      </c>
      <c r="J658" s="33">
        <v>1</v>
      </c>
      <c r="K658" s="34" t="s">
        <v>8</v>
      </c>
      <c r="L658" s="82">
        <v>5786350</v>
      </c>
      <c r="M658" s="35">
        <v>0.08</v>
      </c>
    </row>
    <row r="659" spans="1:13" x14ac:dyDescent="0.25">
      <c r="A659" s="26">
        <v>794</v>
      </c>
      <c r="B659" s="26">
        <v>644658</v>
      </c>
      <c r="C659" s="27" t="s">
        <v>1222</v>
      </c>
      <c r="D659" s="27" t="str">
        <f t="shared" si="38"/>
        <v>SIKABOOM M LA                  /12X750ML</v>
      </c>
      <c r="E659" s="28" t="s">
        <v>1220</v>
      </c>
      <c r="F659" s="29"/>
      <c r="G659" s="36"/>
      <c r="H659" s="31">
        <v>750</v>
      </c>
      <c r="I659" s="32" t="s">
        <v>1445</v>
      </c>
      <c r="J659" s="33">
        <v>12</v>
      </c>
      <c r="K659" s="37" t="s">
        <v>8</v>
      </c>
      <c r="L659" s="82">
        <v>65500</v>
      </c>
      <c r="M659" s="35">
        <v>6.7000000000000004E-2</v>
      </c>
    </row>
    <row r="660" spans="1:13" x14ac:dyDescent="0.25">
      <c r="A660" s="26">
        <v>168</v>
      </c>
      <c r="B660" s="26">
        <v>648171</v>
      </c>
      <c r="C660" s="27" t="s">
        <v>413</v>
      </c>
      <c r="D660" s="27" t="str">
        <f t="shared" si="38"/>
        <v>SIKAPLASTIMENT-170 SP          TANKER KG</v>
      </c>
      <c r="E660" s="28" t="s">
        <v>414</v>
      </c>
      <c r="F660" s="29"/>
      <c r="G660" s="30"/>
      <c r="H660" s="31">
        <v>0</v>
      </c>
      <c r="I660" s="32" t="s">
        <v>50</v>
      </c>
      <c r="J660" s="33">
        <v>1</v>
      </c>
      <c r="K660" s="34" t="s">
        <v>8</v>
      </c>
      <c r="L660" s="82">
        <v>7900</v>
      </c>
      <c r="M660" s="35">
        <v>6.9999999999999993E-2</v>
      </c>
    </row>
    <row r="661" spans="1:13" x14ac:dyDescent="0.25">
      <c r="A661" s="26">
        <v>322</v>
      </c>
      <c r="B661" s="26">
        <v>648622</v>
      </c>
      <c r="C661" s="27" t="s">
        <v>649</v>
      </c>
      <c r="D661" s="27" t="str">
        <f t="shared" si="38"/>
        <v>SIKAPLAST-5800                 TANKER KG</v>
      </c>
      <c r="E661" s="28" t="s">
        <v>650</v>
      </c>
      <c r="F661" s="29"/>
      <c r="G661" s="30"/>
      <c r="H661" s="31">
        <v>1</v>
      </c>
      <c r="I661" s="32" t="s">
        <v>50</v>
      </c>
      <c r="J661" s="33">
        <v>1</v>
      </c>
      <c r="K661" s="34" t="s">
        <v>8</v>
      </c>
      <c r="L661" s="82">
        <v>20200</v>
      </c>
      <c r="M661" s="35">
        <v>0.09</v>
      </c>
    </row>
    <row r="662" spans="1:13" x14ac:dyDescent="0.25">
      <c r="A662" s="26">
        <v>166</v>
      </c>
      <c r="B662" s="26">
        <v>648970</v>
      </c>
      <c r="C662" s="27" t="s">
        <v>410</v>
      </c>
      <c r="D662" s="27" t="str">
        <f t="shared" si="38"/>
        <v>SIKAPLASTIMENT-160 SO          TANKER KG</v>
      </c>
      <c r="E662" s="28" t="s">
        <v>411</v>
      </c>
      <c r="F662" s="29"/>
      <c r="G662" s="30"/>
      <c r="H662" s="31">
        <v>0</v>
      </c>
      <c r="I662" s="32" t="s">
        <v>50</v>
      </c>
      <c r="J662" s="33">
        <v>1</v>
      </c>
      <c r="K662" s="34" t="s">
        <v>8</v>
      </c>
      <c r="L662" s="82">
        <v>8250</v>
      </c>
      <c r="M662" s="35">
        <v>0.08</v>
      </c>
    </row>
    <row r="663" spans="1:13" x14ac:dyDescent="0.25">
      <c r="A663" s="26">
        <v>164</v>
      </c>
      <c r="B663" s="26">
        <v>649153</v>
      </c>
      <c r="C663" s="27" t="s">
        <v>407</v>
      </c>
      <c r="D663" s="27" t="str">
        <f t="shared" si="38"/>
        <v>SIKAPLASTIMENT-150 RI          TANKER KG</v>
      </c>
      <c r="E663" s="28" t="s">
        <v>408</v>
      </c>
      <c r="F663" s="29"/>
      <c r="G663" s="30"/>
      <c r="H663" s="31">
        <v>0</v>
      </c>
      <c r="I663" s="32" t="s">
        <v>50</v>
      </c>
      <c r="J663" s="33">
        <v>1</v>
      </c>
      <c r="K663" s="34" t="s">
        <v>8</v>
      </c>
      <c r="L663" s="82">
        <v>6750</v>
      </c>
      <c r="M663" s="35">
        <v>6.0000000000000005E-2</v>
      </c>
    </row>
    <row r="664" spans="1:13" x14ac:dyDescent="0.25">
      <c r="A664" s="26">
        <v>82</v>
      </c>
      <c r="B664" s="26">
        <v>652149</v>
      </c>
      <c r="C664" s="27" t="s">
        <v>290</v>
      </c>
      <c r="D664" s="27" t="str">
        <f t="shared" si="38"/>
        <v>SIKACERAM-630 COLOR COL WHITE     /6X2KG</v>
      </c>
      <c r="E664" s="28" t="s">
        <v>280</v>
      </c>
      <c r="F664" s="29"/>
      <c r="G664" s="30" t="s">
        <v>15</v>
      </c>
      <c r="H664" s="31">
        <v>2</v>
      </c>
      <c r="I664" s="32" t="s">
        <v>50</v>
      </c>
      <c r="J664" s="33">
        <v>6</v>
      </c>
      <c r="K664" s="34" t="s">
        <v>8</v>
      </c>
      <c r="L664" s="82">
        <v>15850</v>
      </c>
      <c r="M664" s="35">
        <v>9.4E-2</v>
      </c>
    </row>
    <row r="665" spans="1:13" x14ac:dyDescent="0.25">
      <c r="A665" s="26">
        <v>93</v>
      </c>
      <c r="B665" s="26">
        <v>652152</v>
      </c>
      <c r="C665" s="27" t="s">
        <v>301</v>
      </c>
      <c r="D665" s="27" t="str">
        <f t="shared" si="38"/>
        <v>SIKACERAM-630 COLOR WHITE        /3X10KG</v>
      </c>
      <c r="E665" s="28" t="s">
        <v>280</v>
      </c>
      <c r="F665" s="29"/>
      <c r="G665" s="30" t="s">
        <v>15</v>
      </c>
      <c r="H665" s="31">
        <v>10</v>
      </c>
      <c r="I665" s="32" t="s">
        <v>50</v>
      </c>
      <c r="J665" s="33">
        <v>1</v>
      </c>
      <c r="K665" s="34" t="s">
        <v>8</v>
      </c>
      <c r="L665" s="82">
        <v>61600</v>
      </c>
      <c r="M665" s="35">
        <v>9.4E-2</v>
      </c>
    </row>
    <row r="666" spans="1:13" x14ac:dyDescent="0.25">
      <c r="A666" s="26">
        <v>74</v>
      </c>
      <c r="B666" s="26">
        <v>652776</v>
      </c>
      <c r="C666" s="27" t="s">
        <v>282</v>
      </c>
      <c r="D666" s="27" t="str">
        <f t="shared" si="38"/>
        <v>SIKACERAM-630 COLOR COL BEIGE     /6X2KG</v>
      </c>
      <c r="E666" s="28" t="s">
        <v>280</v>
      </c>
      <c r="F666" s="29"/>
      <c r="G666" s="30" t="s">
        <v>30</v>
      </c>
      <c r="H666" s="31">
        <v>2</v>
      </c>
      <c r="I666" s="32" t="s">
        <v>50</v>
      </c>
      <c r="J666" s="33">
        <v>6</v>
      </c>
      <c r="K666" s="34" t="s">
        <v>8</v>
      </c>
      <c r="L666" s="82">
        <v>15850</v>
      </c>
      <c r="M666" s="35">
        <v>9.4E-2</v>
      </c>
    </row>
    <row r="667" spans="1:13" x14ac:dyDescent="0.25">
      <c r="A667" s="26">
        <v>79</v>
      </c>
      <c r="B667" s="26">
        <v>652777</v>
      </c>
      <c r="C667" s="27" t="s">
        <v>287</v>
      </c>
      <c r="D667" s="27" t="str">
        <f t="shared" si="38"/>
        <v>SIKACERAM-630 COLOR COL IVORY     /6X2KG</v>
      </c>
      <c r="E667" s="28" t="s">
        <v>280</v>
      </c>
      <c r="F667" s="29"/>
      <c r="G667" s="30" t="s">
        <v>35</v>
      </c>
      <c r="H667" s="31">
        <v>2</v>
      </c>
      <c r="I667" s="32" t="s">
        <v>50</v>
      </c>
      <c r="J667" s="33">
        <v>6</v>
      </c>
      <c r="K667" s="34" t="s">
        <v>8</v>
      </c>
      <c r="L667" s="82">
        <v>19350</v>
      </c>
      <c r="M667" s="35">
        <v>9.4E-2</v>
      </c>
    </row>
    <row r="668" spans="1:13" x14ac:dyDescent="0.25">
      <c r="A668" s="26">
        <v>78</v>
      </c>
      <c r="B668" s="26">
        <v>652780</v>
      </c>
      <c r="C668" s="27" t="s">
        <v>286</v>
      </c>
      <c r="D668" s="27" t="str">
        <f t="shared" si="38"/>
        <v>SIKACERAM-630 COLOR COL GREY HER. /6X2KG</v>
      </c>
      <c r="E668" s="28" t="s">
        <v>280</v>
      </c>
      <c r="F668" s="29"/>
      <c r="G668" s="30" t="s">
        <v>34</v>
      </c>
      <c r="H668" s="31">
        <v>2</v>
      </c>
      <c r="I668" s="32" t="s">
        <v>50</v>
      </c>
      <c r="J668" s="33">
        <v>6</v>
      </c>
      <c r="K668" s="34" t="s">
        <v>8</v>
      </c>
      <c r="L668" s="82">
        <v>19350</v>
      </c>
      <c r="M668" s="35">
        <v>9.4E-2</v>
      </c>
    </row>
    <row r="669" spans="1:13" x14ac:dyDescent="0.25">
      <c r="A669" s="26">
        <v>75</v>
      </c>
      <c r="B669" s="26">
        <v>652783</v>
      </c>
      <c r="C669" s="27" t="s">
        <v>283</v>
      </c>
      <c r="D669" s="27" t="str">
        <f t="shared" si="38"/>
        <v>SIKACERAM-630 COLOR COL BLACK     /6X2KG</v>
      </c>
      <c r="E669" s="28" t="s">
        <v>280</v>
      </c>
      <c r="F669" s="29"/>
      <c r="G669" s="30" t="s">
        <v>31</v>
      </c>
      <c r="H669" s="31">
        <v>2</v>
      </c>
      <c r="I669" s="32" t="s">
        <v>50</v>
      </c>
      <c r="J669" s="33">
        <v>6</v>
      </c>
      <c r="K669" s="34" t="s">
        <v>8</v>
      </c>
      <c r="L669" s="82">
        <v>20900</v>
      </c>
      <c r="M669" s="35">
        <v>9.4E-2</v>
      </c>
    </row>
    <row r="670" spans="1:13" x14ac:dyDescent="0.25">
      <c r="A670" s="26">
        <v>81</v>
      </c>
      <c r="B670" s="26">
        <v>652785</v>
      </c>
      <c r="C670" s="27" t="s">
        <v>289</v>
      </c>
      <c r="D670" s="27" t="str">
        <f t="shared" si="38"/>
        <v>SIKACERAM-630 COLOR COL TACORA    /6X2KG</v>
      </c>
      <c r="E670" s="28" t="s">
        <v>280</v>
      </c>
      <c r="F670" s="29"/>
      <c r="G670" s="30" t="s">
        <v>37</v>
      </c>
      <c r="H670" s="31">
        <v>2</v>
      </c>
      <c r="I670" s="32" t="s">
        <v>50</v>
      </c>
      <c r="J670" s="33">
        <v>6</v>
      </c>
      <c r="K670" s="34" t="s">
        <v>8</v>
      </c>
      <c r="L670" s="82">
        <v>20900</v>
      </c>
      <c r="M670" s="35">
        <v>9.4E-2</v>
      </c>
    </row>
    <row r="671" spans="1:13" x14ac:dyDescent="0.25">
      <c r="A671" s="26">
        <v>72</v>
      </c>
      <c r="B671" s="26">
        <v>652788</v>
      </c>
      <c r="C671" s="27" t="s">
        <v>279</v>
      </c>
      <c r="D671" s="27" t="str">
        <f t="shared" si="38"/>
        <v>SIKACERAM-630 COLOR COL ALMOND    /6X2KG</v>
      </c>
      <c r="E671" s="28" t="s">
        <v>280</v>
      </c>
      <c r="F671" s="29"/>
      <c r="G671" s="30" t="s">
        <v>28</v>
      </c>
      <c r="H671" s="31">
        <v>2</v>
      </c>
      <c r="I671" s="32" t="s">
        <v>50</v>
      </c>
      <c r="J671" s="33">
        <v>6</v>
      </c>
      <c r="K671" s="34" t="s">
        <v>8</v>
      </c>
      <c r="L671" s="82">
        <v>19350</v>
      </c>
      <c r="M671" s="35">
        <v>9.4E-2</v>
      </c>
    </row>
    <row r="672" spans="1:13" x14ac:dyDescent="0.25">
      <c r="A672" s="26">
        <v>80</v>
      </c>
      <c r="B672" s="26">
        <v>652789</v>
      </c>
      <c r="C672" s="27" t="s">
        <v>288</v>
      </c>
      <c r="D672" s="27" t="str">
        <f t="shared" si="38"/>
        <v>SIKACERAM-630 COLOR COL LIGHT BR. /6X2KG</v>
      </c>
      <c r="E672" s="28" t="s">
        <v>280</v>
      </c>
      <c r="F672" s="29"/>
      <c r="G672" s="30" t="s">
        <v>36</v>
      </c>
      <c r="H672" s="31">
        <v>2</v>
      </c>
      <c r="I672" s="32" t="s">
        <v>50</v>
      </c>
      <c r="J672" s="33">
        <v>6</v>
      </c>
      <c r="K672" s="34" t="s">
        <v>8</v>
      </c>
      <c r="L672" s="82">
        <v>15850</v>
      </c>
      <c r="M672" s="35">
        <v>9.4E-2</v>
      </c>
    </row>
    <row r="673" spans="1:13" x14ac:dyDescent="0.25">
      <c r="A673" s="26">
        <v>76</v>
      </c>
      <c r="B673" s="26">
        <v>652800</v>
      </c>
      <c r="C673" s="27" t="s">
        <v>284</v>
      </c>
      <c r="D673" s="27" t="str">
        <f t="shared" si="38"/>
        <v>SIKACERAM-630 COLOR COL DARK BRO. /6X2KG</v>
      </c>
      <c r="E673" s="28" t="s">
        <v>280</v>
      </c>
      <c r="F673" s="29"/>
      <c r="G673" s="30" t="s">
        <v>32</v>
      </c>
      <c r="H673" s="31">
        <v>2</v>
      </c>
      <c r="I673" s="32" t="s">
        <v>50</v>
      </c>
      <c r="J673" s="33">
        <v>6</v>
      </c>
      <c r="K673" s="34" t="s">
        <v>8</v>
      </c>
      <c r="L673" s="82">
        <v>20900</v>
      </c>
      <c r="M673" s="35">
        <v>9.4E-2</v>
      </c>
    </row>
    <row r="674" spans="1:13" x14ac:dyDescent="0.25">
      <c r="A674" s="26">
        <v>77</v>
      </c>
      <c r="B674" s="26">
        <v>652801</v>
      </c>
      <c r="C674" s="27" t="s">
        <v>285</v>
      </c>
      <c r="D674" s="27" t="str">
        <f t="shared" si="38"/>
        <v>SIKACERAM-630 COLOR COL GREY CAP. /6X2KG</v>
      </c>
      <c r="E674" s="28" t="s">
        <v>280</v>
      </c>
      <c r="F674" s="29"/>
      <c r="G674" s="30" t="s">
        <v>33</v>
      </c>
      <c r="H674" s="31">
        <v>2</v>
      </c>
      <c r="I674" s="32" t="s">
        <v>50</v>
      </c>
      <c r="J674" s="33">
        <v>6</v>
      </c>
      <c r="K674" s="34" t="s">
        <v>8</v>
      </c>
      <c r="L674" s="82">
        <v>20900</v>
      </c>
      <c r="M674" s="35">
        <v>9.4E-2</v>
      </c>
    </row>
    <row r="675" spans="1:13" x14ac:dyDescent="0.25">
      <c r="A675" s="26">
        <v>73</v>
      </c>
      <c r="B675" s="26">
        <v>652802</v>
      </c>
      <c r="C675" s="27" t="s">
        <v>281</v>
      </c>
      <c r="D675" s="27" t="str">
        <f t="shared" si="38"/>
        <v>SIKACERAM-630 COLOR COL ALP./BON. /6X2KG</v>
      </c>
      <c r="E675" s="28" t="s">
        <v>280</v>
      </c>
      <c r="F675" s="29"/>
      <c r="G675" s="30" t="s">
        <v>29</v>
      </c>
      <c r="H675" s="31">
        <v>2</v>
      </c>
      <c r="I675" s="32" t="s">
        <v>50</v>
      </c>
      <c r="J675" s="33">
        <v>6</v>
      </c>
      <c r="K675" s="34" t="s">
        <v>8</v>
      </c>
      <c r="L675" s="82">
        <v>19350</v>
      </c>
      <c r="M675" s="35">
        <v>9.4E-2</v>
      </c>
    </row>
    <row r="676" spans="1:13" x14ac:dyDescent="0.25">
      <c r="A676" s="26">
        <v>85</v>
      </c>
      <c r="B676" s="26">
        <v>652803</v>
      </c>
      <c r="C676" s="27" t="s">
        <v>293</v>
      </c>
      <c r="D676" s="27" t="str">
        <f t="shared" si="38"/>
        <v>SIKACERAM-630 COLOR BEIGE        /3X10KG</v>
      </c>
      <c r="E676" s="28" t="s">
        <v>280</v>
      </c>
      <c r="F676" s="29"/>
      <c r="G676" s="30" t="s">
        <v>30</v>
      </c>
      <c r="H676" s="31">
        <v>10</v>
      </c>
      <c r="I676" s="32" t="s">
        <v>50</v>
      </c>
      <c r="J676" s="33">
        <v>1</v>
      </c>
      <c r="K676" s="34" t="s">
        <v>8</v>
      </c>
      <c r="L676" s="82">
        <v>61600</v>
      </c>
      <c r="M676" s="35">
        <v>9.4E-2</v>
      </c>
    </row>
    <row r="677" spans="1:13" x14ac:dyDescent="0.25">
      <c r="A677" s="26">
        <v>90</v>
      </c>
      <c r="B677" s="26">
        <v>652804</v>
      </c>
      <c r="C677" s="27" t="s">
        <v>298</v>
      </c>
      <c r="D677" s="27" t="str">
        <f t="shared" si="38"/>
        <v>SIKACERAM-630 COLOR IVORY        /3X10KG</v>
      </c>
      <c r="E677" s="28" t="s">
        <v>280</v>
      </c>
      <c r="F677" s="29"/>
      <c r="G677" s="30" t="s">
        <v>35</v>
      </c>
      <c r="H677" s="31">
        <v>10</v>
      </c>
      <c r="I677" s="32" t="s">
        <v>50</v>
      </c>
      <c r="J677" s="33">
        <v>1</v>
      </c>
      <c r="K677" s="34" t="s">
        <v>8</v>
      </c>
      <c r="L677" s="82">
        <v>75200</v>
      </c>
      <c r="M677" s="35">
        <v>9.4E-2</v>
      </c>
    </row>
    <row r="678" spans="1:13" x14ac:dyDescent="0.25">
      <c r="A678" s="26">
        <v>89</v>
      </c>
      <c r="B678" s="26">
        <v>652805</v>
      </c>
      <c r="C678" s="27" t="s">
        <v>297</v>
      </c>
      <c r="D678" s="27" t="str">
        <f t="shared" si="38"/>
        <v>SIKACERAM-630 COLOR GREY HERON   /3X10KG</v>
      </c>
      <c r="E678" s="28" t="s">
        <v>280</v>
      </c>
      <c r="F678" s="29"/>
      <c r="G678" s="30" t="s">
        <v>34</v>
      </c>
      <c r="H678" s="31">
        <v>10</v>
      </c>
      <c r="I678" s="32" t="s">
        <v>50</v>
      </c>
      <c r="J678" s="33">
        <v>1</v>
      </c>
      <c r="K678" s="34" t="s">
        <v>8</v>
      </c>
      <c r="L678" s="82">
        <v>75200</v>
      </c>
      <c r="M678" s="35">
        <v>9.4E-2</v>
      </c>
    </row>
    <row r="679" spans="1:13" x14ac:dyDescent="0.25">
      <c r="A679" s="26">
        <v>86</v>
      </c>
      <c r="B679" s="26">
        <v>652808</v>
      </c>
      <c r="C679" s="27" t="s">
        <v>294</v>
      </c>
      <c r="D679" s="27" t="str">
        <f t="shared" si="38"/>
        <v>SIKACERAM-630 COLOR BLACK        /3X10KG</v>
      </c>
      <c r="E679" s="28" t="s">
        <v>280</v>
      </c>
      <c r="F679" s="29"/>
      <c r="G679" s="30" t="s">
        <v>31</v>
      </c>
      <c r="H679" s="31">
        <v>10</v>
      </c>
      <c r="I679" s="32" t="s">
        <v>50</v>
      </c>
      <c r="J679" s="33">
        <v>1</v>
      </c>
      <c r="K679" s="34" t="s">
        <v>8</v>
      </c>
      <c r="L679" s="82">
        <v>81300</v>
      </c>
      <c r="M679" s="35">
        <v>9.4E-2</v>
      </c>
    </row>
    <row r="680" spans="1:13" x14ac:dyDescent="0.25">
      <c r="A680" s="26">
        <v>92</v>
      </c>
      <c r="B680" s="26">
        <v>652809</v>
      </c>
      <c r="C680" s="27" t="s">
        <v>300</v>
      </c>
      <c r="D680" s="27" t="str">
        <f t="shared" si="38"/>
        <v>SIKACERAM-630 COLOR TACORA       /3X10KG</v>
      </c>
      <c r="E680" s="28" t="s">
        <v>280</v>
      </c>
      <c r="F680" s="29"/>
      <c r="G680" s="30" t="s">
        <v>37</v>
      </c>
      <c r="H680" s="31">
        <v>10</v>
      </c>
      <c r="I680" s="32" t="s">
        <v>50</v>
      </c>
      <c r="J680" s="33">
        <v>1</v>
      </c>
      <c r="K680" s="34" t="s">
        <v>8</v>
      </c>
      <c r="L680" s="82">
        <v>81300</v>
      </c>
      <c r="M680" s="35">
        <v>9.4E-2</v>
      </c>
    </row>
    <row r="681" spans="1:13" x14ac:dyDescent="0.25">
      <c r="A681" s="26">
        <v>83</v>
      </c>
      <c r="B681" s="26">
        <v>652820</v>
      </c>
      <c r="C681" s="27" t="s">
        <v>291</v>
      </c>
      <c r="D681" s="27" t="str">
        <f t="shared" si="38"/>
        <v>SIKACERAM-630 COLOR ALMOND       /3X10KG</v>
      </c>
      <c r="E681" s="28" t="s">
        <v>280</v>
      </c>
      <c r="F681" s="29"/>
      <c r="G681" s="30" t="s">
        <v>28</v>
      </c>
      <c r="H681" s="31">
        <v>10</v>
      </c>
      <c r="I681" s="32" t="s">
        <v>50</v>
      </c>
      <c r="J681" s="33">
        <v>1</v>
      </c>
      <c r="K681" s="34" t="s">
        <v>8</v>
      </c>
      <c r="L681" s="82">
        <v>75200</v>
      </c>
      <c r="M681" s="35">
        <v>9.4E-2</v>
      </c>
    </row>
    <row r="682" spans="1:13" x14ac:dyDescent="0.25">
      <c r="A682" s="26">
        <v>91</v>
      </c>
      <c r="B682" s="26">
        <v>652823</v>
      </c>
      <c r="C682" s="27" t="s">
        <v>299</v>
      </c>
      <c r="D682" s="27" t="str">
        <f t="shared" si="38"/>
        <v>SIKACERAM-630 COLOR LIGHT BROWN  /3X10KG</v>
      </c>
      <c r="E682" s="28" t="s">
        <v>280</v>
      </c>
      <c r="F682" s="29"/>
      <c r="G682" s="30" t="s">
        <v>40</v>
      </c>
      <c r="H682" s="31">
        <v>10</v>
      </c>
      <c r="I682" s="32" t="s">
        <v>50</v>
      </c>
      <c r="J682" s="33">
        <v>1</v>
      </c>
      <c r="K682" s="34" t="s">
        <v>8</v>
      </c>
      <c r="L682" s="82">
        <v>61600</v>
      </c>
      <c r="M682" s="35">
        <v>9.4E-2</v>
      </c>
    </row>
    <row r="683" spans="1:13" x14ac:dyDescent="0.25">
      <c r="A683" s="26">
        <v>87</v>
      </c>
      <c r="B683" s="26">
        <v>652825</v>
      </c>
      <c r="C683" s="27" t="s">
        <v>295</v>
      </c>
      <c r="D683" s="27" t="str">
        <f t="shared" si="38"/>
        <v>SIKACERAM-630 COLOR DARK BROWN   /3X10KG</v>
      </c>
      <c r="E683" s="28" t="s">
        <v>280</v>
      </c>
      <c r="F683" s="29"/>
      <c r="G683" s="30" t="s">
        <v>39</v>
      </c>
      <c r="H683" s="31">
        <v>10</v>
      </c>
      <c r="I683" s="32" t="s">
        <v>50</v>
      </c>
      <c r="J683" s="33">
        <v>1</v>
      </c>
      <c r="K683" s="34" t="s">
        <v>8</v>
      </c>
      <c r="L683" s="82">
        <v>81300</v>
      </c>
      <c r="M683" s="35">
        <v>9.4E-2</v>
      </c>
    </row>
    <row r="684" spans="1:13" x14ac:dyDescent="0.25">
      <c r="A684" s="26">
        <v>88</v>
      </c>
      <c r="B684" s="26">
        <v>652827</v>
      </c>
      <c r="C684" s="27" t="s">
        <v>296</v>
      </c>
      <c r="D684" s="27" t="str">
        <f t="shared" si="38"/>
        <v>SIKACERAM-630 COLOR GREY CAPRI   /3X10KG</v>
      </c>
      <c r="E684" s="28" t="s">
        <v>280</v>
      </c>
      <c r="F684" s="29"/>
      <c r="G684" s="30" t="s">
        <v>33</v>
      </c>
      <c r="H684" s="31">
        <v>10</v>
      </c>
      <c r="I684" s="32" t="s">
        <v>50</v>
      </c>
      <c r="J684" s="33">
        <v>1</v>
      </c>
      <c r="K684" s="34" t="s">
        <v>8</v>
      </c>
      <c r="L684" s="82">
        <v>81300</v>
      </c>
      <c r="M684" s="35">
        <v>9.4E-2</v>
      </c>
    </row>
    <row r="685" spans="1:13" x14ac:dyDescent="0.25">
      <c r="A685" s="26">
        <v>84</v>
      </c>
      <c r="B685" s="26">
        <v>652828</v>
      </c>
      <c r="C685" s="27" t="s">
        <v>292</v>
      </c>
      <c r="D685" s="27" t="str">
        <f t="shared" si="38"/>
        <v>SIKACERAM-630 COLOR ALPACA/BOND  /3X10KG</v>
      </c>
      <c r="E685" s="28" t="s">
        <v>280</v>
      </c>
      <c r="F685" s="29"/>
      <c r="G685" s="30" t="s">
        <v>38</v>
      </c>
      <c r="H685" s="31">
        <v>10</v>
      </c>
      <c r="I685" s="32" t="s">
        <v>50</v>
      </c>
      <c r="J685" s="33">
        <v>1</v>
      </c>
      <c r="K685" s="34" t="s">
        <v>8</v>
      </c>
      <c r="L685" s="82">
        <v>75200</v>
      </c>
      <c r="M685" s="35">
        <v>9.4E-2</v>
      </c>
    </row>
    <row r="686" spans="1:13" x14ac:dyDescent="0.25">
      <c r="A686" s="26">
        <v>292</v>
      </c>
      <c r="B686" s="26">
        <v>656070</v>
      </c>
      <c r="C686" s="27" t="s">
        <v>604</v>
      </c>
      <c r="D686" s="27" t="str">
        <f t="shared" si="38"/>
        <v>SIKAPLAST-380 CO               TANKER KG</v>
      </c>
      <c r="E686" s="28" t="s">
        <v>605</v>
      </c>
      <c r="F686" s="29"/>
      <c r="G686" s="30"/>
      <c r="H686" s="31">
        <v>1</v>
      </c>
      <c r="I686" s="32" t="s">
        <v>50</v>
      </c>
      <c r="J686" s="33">
        <v>1000</v>
      </c>
      <c r="K686" s="34" t="s">
        <v>50</v>
      </c>
      <c r="L686" s="82">
        <v>22150</v>
      </c>
      <c r="M686" s="35">
        <v>0.08</v>
      </c>
    </row>
    <row r="687" spans="1:13" x14ac:dyDescent="0.25">
      <c r="A687" s="26">
        <v>293</v>
      </c>
      <c r="B687" s="26">
        <v>656071</v>
      </c>
      <c r="C687" s="27" t="s">
        <v>606</v>
      </c>
      <c r="D687" s="27" t="str">
        <f t="shared" si="38"/>
        <v>SIKAPLAST-380 CO                DR 230KG</v>
      </c>
      <c r="E687" s="28" t="s">
        <v>605</v>
      </c>
      <c r="F687" s="29"/>
      <c r="G687" s="30"/>
      <c r="H687" s="31">
        <v>230</v>
      </c>
      <c r="I687" s="32" t="s">
        <v>50</v>
      </c>
      <c r="J687" s="33">
        <v>1</v>
      </c>
      <c r="K687" s="34" t="s">
        <v>8</v>
      </c>
      <c r="L687" s="82">
        <v>6227850</v>
      </c>
      <c r="M687" s="35">
        <v>0.08</v>
      </c>
    </row>
    <row r="688" spans="1:13" x14ac:dyDescent="0.25">
      <c r="A688" s="91">
        <v>203</v>
      </c>
      <c r="B688" s="91">
        <v>656073</v>
      </c>
      <c r="C688" s="92" t="s">
        <v>462</v>
      </c>
      <c r="D688" s="121" t="str">
        <f>CONCATENATE(UPPER(C688),$D$3)</f>
        <v>SIKASIGUNIT L-53 AF PLUS       CO 1400KG "E"</v>
      </c>
      <c r="E688" s="93" t="s">
        <v>460</v>
      </c>
      <c r="F688" s="94"/>
      <c r="G688" s="95"/>
      <c r="H688" s="96">
        <v>1400</v>
      </c>
      <c r="I688" s="97" t="s">
        <v>50</v>
      </c>
      <c r="J688" s="98">
        <v>1</v>
      </c>
      <c r="K688" s="99" t="s">
        <v>8</v>
      </c>
      <c r="L688" s="82">
        <v>10439200</v>
      </c>
      <c r="M688" s="100">
        <v>0.08</v>
      </c>
    </row>
    <row r="689" spans="1:13" x14ac:dyDescent="0.25">
      <c r="A689" s="26">
        <v>732</v>
      </c>
      <c r="B689" s="26">
        <v>657411</v>
      </c>
      <c r="C689" s="27" t="s">
        <v>1151</v>
      </c>
      <c r="D689" s="27" t="str">
        <f t="shared" ref="D689:D707" si="39">UPPER(C689)</f>
        <v>SIKAFILL-100 SUPER CO WHITE     /4X4,5KG</v>
      </c>
      <c r="E689" s="28" t="s">
        <v>1150</v>
      </c>
      <c r="F689" s="29"/>
      <c r="G689" s="30" t="s">
        <v>15</v>
      </c>
      <c r="H689" s="31">
        <v>4.5</v>
      </c>
      <c r="I689" s="32" t="s">
        <v>50</v>
      </c>
      <c r="J689" s="33">
        <v>4</v>
      </c>
      <c r="K689" s="34" t="s">
        <v>8</v>
      </c>
      <c r="L689" s="82">
        <v>91000</v>
      </c>
      <c r="M689" s="35">
        <v>9.2499999999999999E-2</v>
      </c>
    </row>
    <row r="690" spans="1:13" x14ac:dyDescent="0.25">
      <c r="A690" s="26">
        <v>734</v>
      </c>
      <c r="B690" s="26">
        <v>657412</v>
      </c>
      <c r="C690" s="27" t="s">
        <v>1153</v>
      </c>
      <c r="D690" s="27" t="str">
        <f t="shared" si="39"/>
        <v>SIKAFILL-100 SUPER CO WHITE      PL 22KG</v>
      </c>
      <c r="E690" s="28" t="s">
        <v>1150</v>
      </c>
      <c r="F690" s="29"/>
      <c r="G690" s="30" t="s">
        <v>15</v>
      </c>
      <c r="H690" s="31">
        <v>22</v>
      </c>
      <c r="I690" s="32" t="s">
        <v>50</v>
      </c>
      <c r="J690" s="33">
        <v>1</v>
      </c>
      <c r="K690" s="34" t="s">
        <v>8</v>
      </c>
      <c r="L690" s="82">
        <v>386150</v>
      </c>
      <c r="M690" s="35">
        <v>9.2499999999999999E-2</v>
      </c>
    </row>
    <row r="691" spans="1:13" x14ac:dyDescent="0.25">
      <c r="A691" s="26">
        <v>731</v>
      </c>
      <c r="B691" s="26">
        <v>657413</v>
      </c>
      <c r="C691" s="27" t="s">
        <v>1149</v>
      </c>
      <c r="D691" s="27" t="str">
        <f t="shared" si="39"/>
        <v>SIKAFILL-100 SUPER CO GREY      /4X4,5KG</v>
      </c>
      <c r="E691" s="28" t="s">
        <v>1150</v>
      </c>
      <c r="F691" s="29"/>
      <c r="G691" s="30" t="s">
        <v>14</v>
      </c>
      <c r="H691" s="31">
        <v>4.5</v>
      </c>
      <c r="I691" s="32" t="s">
        <v>50</v>
      </c>
      <c r="J691" s="33">
        <v>4</v>
      </c>
      <c r="K691" s="34" t="s">
        <v>8</v>
      </c>
      <c r="L691" s="82">
        <v>91000</v>
      </c>
      <c r="M691" s="35">
        <v>9.2499999999999999E-2</v>
      </c>
    </row>
    <row r="692" spans="1:13" x14ac:dyDescent="0.25">
      <c r="A692" s="26">
        <v>733</v>
      </c>
      <c r="B692" s="26">
        <v>657414</v>
      </c>
      <c r="C692" s="27" t="s">
        <v>1152</v>
      </c>
      <c r="D692" s="27" t="str">
        <f t="shared" si="39"/>
        <v>SIKAFILL-100 SUPER CO GREY       PL 22KG</v>
      </c>
      <c r="E692" s="28" t="s">
        <v>1150</v>
      </c>
      <c r="F692" s="29"/>
      <c r="G692" s="30" t="s">
        <v>14</v>
      </c>
      <c r="H692" s="31">
        <v>22</v>
      </c>
      <c r="I692" s="32" t="s">
        <v>50</v>
      </c>
      <c r="J692" s="33">
        <v>1</v>
      </c>
      <c r="K692" s="34" t="s">
        <v>8</v>
      </c>
      <c r="L692" s="82">
        <v>386150</v>
      </c>
      <c r="M692" s="35">
        <v>9.2499999999999999E-2</v>
      </c>
    </row>
    <row r="693" spans="1:13" x14ac:dyDescent="0.25">
      <c r="A693" s="26">
        <v>882</v>
      </c>
      <c r="B693" s="26">
        <v>657416</v>
      </c>
      <c r="C693" s="27" t="s">
        <v>1347</v>
      </c>
      <c r="D693" s="27" t="str">
        <f t="shared" si="39"/>
        <v>SIKAMONOTOP-123 WALLS            PL 15KG</v>
      </c>
      <c r="E693" s="28" t="s">
        <v>1348</v>
      </c>
      <c r="F693" s="29"/>
      <c r="G693" s="30"/>
      <c r="H693" s="31">
        <v>15</v>
      </c>
      <c r="I693" s="32" t="s">
        <v>50</v>
      </c>
      <c r="J693" s="33">
        <v>1</v>
      </c>
      <c r="K693" s="34" t="s">
        <v>8</v>
      </c>
      <c r="L693" s="82">
        <v>200150</v>
      </c>
      <c r="M693" s="35">
        <v>8.6999999999999994E-2</v>
      </c>
    </row>
    <row r="694" spans="1:13" x14ac:dyDescent="0.25">
      <c r="A694" s="26">
        <v>236</v>
      </c>
      <c r="B694" s="26">
        <v>662184</v>
      </c>
      <c r="C694" s="27" t="s">
        <v>512</v>
      </c>
      <c r="D694" s="27" t="str">
        <f t="shared" si="39"/>
        <v>SIKAVISCOCRETE-50 HE           TANKER KG</v>
      </c>
      <c r="E694" s="28" t="s">
        <v>510</v>
      </c>
      <c r="F694" s="29"/>
      <c r="G694" s="30"/>
      <c r="H694" s="31">
        <v>0</v>
      </c>
      <c r="I694" s="32" t="s">
        <v>50</v>
      </c>
      <c r="J694" s="33">
        <v>1</v>
      </c>
      <c r="K694" s="34" t="s">
        <v>8</v>
      </c>
      <c r="L694" s="82">
        <v>28750</v>
      </c>
      <c r="M694" s="35">
        <v>0.04</v>
      </c>
    </row>
    <row r="695" spans="1:13" x14ac:dyDescent="0.25">
      <c r="A695" s="26">
        <v>783</v>
      </c>
      <c r="B695" s="26">
        <v>666525</v>
      </c>
      <c r="C695" s="27" t="s">
        <v>1212</v>
      </c>
      <c r="D695" s="27" t="str">
        <f t="shared" si="39"/>
        <v>SIKALASTIC-707 TRANSPARENT (AB)COL   4KG</v>
      </c>
      <c r="E695" s="28" t="s">
        <v>1213</v>
      </c>
      <c r="F695" s="29"/>
      <c r="G695" s="30" t="s">
        <v>25</v>
      </c>
      <c r="H695" s="31">
        <v>4</v>
      </c>
      <c r="I695" s="32" t="s">
        <v>50</v>
      </c>
      <c r="J695" s="33">
        <v>4</v>
      </c>
      <c r="K695" s="34" t="s">
        <v>8</v>
      </c>
      <c r="L695" s="82">
        <v>1106950</v>
      </c>
      <c r="M695" s="35">
        <v>7.2499999999999995E-2</v>
      </c>
    </row>
    <row r="696" spans="1:13" x14ac:dyDescent="0.25">
      <c r="A696" s="26">
        <v>690</v>
      </c>
      <c r="B696" s="26">
        <v>666885</v>
      </c>
      <c r="C696" s="27" t="s">
        <v>1097</v>
      </c>
      <c r="D696" s="27" t="str">
        <f t="shared" si="39"/>
        <v>SIKAFAST-201                    /10X20GR</v>
      </c>
      <c r="E696" s="28" t="s">
        <v>1098</v>
      </c>
      <c r="F696" s="29"/>
      <c r="G696" s="30"/>
      <c r="H696" s="31">
        <v>1</v>
      </c>
      <c r="I696" s="32" t="s">
        <v>130</v>
      </c>
      <c r="J696" s="33">
        <v>20</v>
      </c>
      <c r="K696" s="34" t="s">
        <v>8</v>
      </c>
      <c r="L696" s="82">
        <v>10900</v>
      </c>
      <c r="M696" s="35">
        <v>8.6999999999999994E-2</v>
      </c>
    </row>
    <row r="697" spans="1:13" x14ac:dyDescent="0.25">
      <c r="A697" s="26">
        <v>418</v>
      </c>
      <c r="B697" s="26">
        <v>668848</v>
      </c>
      <c r="C697" s="27" t="s">
        <v>781</v>
      </c>
      <c r="D697" s="27" t="str">
        <f t="shared" si="39"/>
        <v>SIKAREPAIR-224 COL               BG 25KG</v>
      </c>
      <c r="E697" s="28" t="s">
        <v>782</v>
      </c>
      <c r="F697" s="29"/>
      <c r="G697" s="30"/>
      <c r="H697" s="31">
        <v>25</v>
      </c>
      <c r="I697" s="32" t="s">
        <v>50</v>
      </c>
      <c r="J697" s="33">
        <v>1</v>
      </c>
      <c r="K697" s="34" t="s">
        <v>8</v>
      </c>
      <c r="L697" s="82">
        <v>232450</v>
      </c>
      <c r="M697" s="35">
        <v>8.199999999999999E-2</v>
      </c>
    </row>
    <row r="698" spans="1:13" x14ac:dyDescent="0.25">
      <c r="A698" s="26">
        <v>277</v>
      </c>
      <c r="B698" s="26">
        <v>669419</v>
      </c>
      <c r="C698" s="27" t="s">
        <v>582</v>
      </c>
      <c r="D698" s="27" t="str">
        <f t="shared" si="39"/>
        <v>SIKAPLAST-5500           COL   CO 1100KG</v>
      </c>
      <c r="E698" s="28" t="s">
        <v>580</v>
      </c>
      <c r="F698" s="29"/>
      <c r="G698" s="30"/>
      <c r="H698" s="31">
        <v>1100</v>
      </c>
      <c r="I698" s="32" t="s">
        <v>50</v>
      </c>
      <c r="J698" s="33">
        <v>1</v>
      </c>
      <c r="K698" s="34" t="s">
        <v>8</v>
      </c>
      <c r="L698" s="82">
        <v>21877900</v>
      </c>
      <c r="M698" s="35">
        <v>0.09</v>
      </c>
    </row>
    <row r="699" spans="1:13" x14ac:dyDescent="0.25">
      <c r="A699" s="26">
        <v>226</v>
      </c>
      <c r="B699" s="26">
        <v>671403</v>
      </c>
      <c r="C699" s="27" t="s">
        <v>498</v>
      </c>
      <c r="D699" s="27" t="str">
        <f t="shared" si="39"/>
        <v>SIKAVISCOCRETE-2020 CO         CO 1100KG</v>
      </c>
      <c r="E699" s="28" t="s">
        <v>496</v>
      </c>
      <c r="F699" s="29"/>
      <c r="G699" s="30"/>
      <c r="H699" s="31">
        <v>1100</v>
      </c>
      <c r="I699" s="32" t="s">
        <v>50</v>
      </c>
      <c r="J699" s="33">
        <v>1</v>
      </c>
      <c r="K699" s="34" t="s">
        <v>8</v>
      </c>
      <c r="L699" s="82">
        <v>25507700</v>
      </c>
      <c r="M699" s="35">
        <v>6.9999999999999993E-2</v>
      </c>
    </row>
    <row r="700" spans="1:13" x14ac:dyDescent="0.25">
      <c r="A700" s="26">
        <v>233</v>
      </c>
      <c r="B700" s="26">
        <v>671404</v>
      </c>
      <c r="C700" s="27" t="s">
        <v>508</v>
      </c>
      <c r="D700" s="27" t="str">
        <f t="shared" si="39"/>
        <v>SIKAVISCOCRETE-3100 CO         CO 1100KG</v>
      </c>
      <c r="E700" s="28" t="s">
        <v>506</v>
      </c>
      <c r="F700" s="29"/>
      <c r="G700" s="30"/>
      <c r="H700" s="31">
        <v>1100</v>
      </c>
      <c r="I700" s="32" t="s">
        <v>50</v>
      </c>
      <c r="J700" s="33">
        <v>1</v>
      </c>
      <c r="K700" s="34" t="s">
        <v>8</v>
      </c>
      <c r="L700" s="82">
        <v>25293150</v>
      </c>
      <c r="M700" s="35">
        <v>0.08</v>
      </c>
    </row>
    <row r="701" spans="1:13" x14ac:dyDescent="0.25">
      <c r="A701" s="26">
        <v>187</v>
      </c>
      <c r="B701" s="26">
        <v>671405</v>
      </c>
      <c r="C701" s="27" t="s">
        <v>440</v>
      </c>
      <c r="D701" s="27" t="str">
        <f t="shared" si="39"/>
        <v>SIKASEPAROL               COL   CO 900KG</v>
      </c>
      <c r="E701" s="28" t="s">
        <v>438</v>
      </c>
      <c r="F701" s="29"/>
      <c r="G701" s="30"/>
      <c r="H701" s="31">
        <v>900</v>
      </c>
      <c r="I701" s="32" t="s">
        <v>50</v>
      </c>
      <c r="J701" s="33">
        <v>1</v>
      </c>
      <c r="K701" s="34" t="s">
        <v>8</v>
      </c>
      <c r="L701" s="82">
        <v>30701100</v>
      </c>
      <c r="M701" s="35">
        <v>9.9999999999999992E-2</v>
      </c>
    </row>
    <row r="702" spans="1:13" x14ac:dyDescent="0.25">
      <c r="A702" s="26">
        <v>945</v>
      </c>
      <c r="B702" s="26">
        <v>671410</v>
      </c>
      <c r="C702" s="27" t="s">
        <v>1437</v>
      </c>
      <c r="D702" s="27" t="str">
        <f t="shared" si="39"/>
        <v>SIKATOP-107 SEAL CO(AB)         CAR 20KG</v>
      </c>
      <c r="E702" s="28" t="s">
        <v>1438</v>
      </c>
      <c r="F702" s="29"/>
      <c r="G702" s="30"/>
      <c r="H702" s="31">
        <v>20</v>
      </c>
      <c r="I702" s="32" t="s">
        <v>50</v>
      </c>
      <c r="J702" s="33">
        <v>1</v>
      </c>
      <c r="K702" s="34" t="s">
        <v>8</v>
      </c>
      <c r="L702" s="82">
        <v>263150</v>
      </c>
      <c r="M702" s="35">
        <v>8.6999999999999994E-2</v>
      </c>
    </row>
    <row r="703" spans="1:13" x14ac:dyDescent="0.25">
      <c r="A703" s="26">
        <v>294</v>
      </c>
      <c r="B703" s="26">
        <v>673522</v>
      </c>
      <c r="C703" s="27" t="s">
        <v>607</v>
      </c>
      <c r="D703" s="27" t="str">
        <f t="shared" si="39"/>
        <v>SIKAPLAST-380 CO               CO 1100KG</v>
      </c>
      <c r="E703" s="28" t="s">
        <v>605</v>
      </c>
      <c r="F703" s="29"/>
      <c r="G703" s="30"/>
      <c r="H703" s="31">
        <v>1100</v>
      </c>
      <c r="I703" s="32" t="s">
        <v>50</v>
      </c>
      <c r="J703" s="33">
        <v>1</v>
      </c>
      <c r="K703" s="34" t="s">
        <v>8</v>
      </c>
      <c r="L703" s="82">
        <v>26306350</v>
      </c>
      <c r="M703" s="35">
        <v>0.08</v>
      </c>
    </row>
    <row r="704" spans="1:13" x14ac:dyDescent="0.25">
      <c r="A704" s="26">
        <v>230</v>
      </c>
      <c r="B704" s="26">
        <v>673523</v>
      </c>
      <c r="C704" s="27" t="s">
        <v>504</v>
      </c>
      <c r="D704" s="27" t="str">
        <f t="shared" si="39"/>
        <v>SIKAVISCOCRETE-30HE      COL   CO 1100KG</v>
      </c>
      <c r="E704" s="28" t="s">
        <v>502</v>
      </c>
      <c r="F704" s="29"/>
      <c r="G704" s="30"/>
      <c r="H704" s="31">
        <v>1100</v>
      </c>
      <c r="I704" s="32" t="s">
        <v>50</v>
      </c>
      <c r="J704" s="33">
        <v>1</v>
      </c>
      <c r="K704" s="34" t="s">
        <v>8</v>
      </c>
      <c r="L704" s="82">
        <v>32441450</v>
      </c>
      <c r="M704" s="35">
        <v>0.04</v>
      </c>
    </row>
    <row r="705" spans="1:13" x14ac:dyDescent="0.25">
      <c r="A705" s="26">
        <v>234</v>
      </c>
      <c r="B705" s="26">
        <v>673524</v>
      </c>
      <c r="C705" s="27" t="s">
        <v>509</v>
      </c>
      <c r="D705" s="27" t="str">
        <f t="shared" si="39"/>
        <v>SIKAVISCOCRETE-50 HE            DR 230KG</v>
      </c>
      <c r="E705" s="28" t="s">
        <v>510</v>
      </c>
      <c r="F705" s="29"/>
      <c r="G705" s="30"/>
      <c r="H705" s="31">
        <v>0</v>
      </c>
      <c r="I705" s="32" t="s">
        <v>50</v>
      </c>
      <c r="J705" s="33">
        <v>1</v>
      </c>
      <c r="K705" s="34" t="s">
        <v>8</v>
      </c>
      <c r="L705" s="82">
        <v>7639800</v>
      </c>
      <c r="M705" s="35">
        <v>0.04</v>
      </c>
    </row>
    <row r="706" spans="1:13" x14ac:dyDescent="0.25">
      <c r="A706" s="26">
        <v>235</v>
      </c>
      <c r="B706" s="26">
        <v>673525</v>
      </c>
      <c r="C706" s="27" t="s">
        <v>511</v>
      </c>
      <c r="D706" s="27" t="str">
        <f t="shared" si="39"/>
        <v>SIKAVISCOCRETE-50 HE           CO 1100KG</v>
      </c>
      <c r="E706" s="28" t="s">
        <v>510</v>
      </c>
      <c r="F706" s="29"/>
      <c r="G706" s="30"/>
      <c r="H706" s="31">
        <v>0</v>
      </c>
      <c r="I706" s="32" t="s">
        <v>50</v>
      </c>
      <c r="J706" s="33">
        <v>1</v>
      </c>
      <c r="K706" s="34" t="s">
        <v>8</v>
      </c>
      <c r="L706" s="82">
        <v>32972650</v>
      </c>
      <c r="M706" s="35">
        <v>0.04</v>
      </c>
    </row>
    <row r="707" spans="1:13" x14ac:dyDescent="0.25">
      <c r="A707" s="26">
        <v>290</v>
      </c>
      <c r="B707" s="26">
        <v>674156</v>
      </c>
      <c r="C707" s="27" t="s">
        <v>600</v>
      </c>
      <c r="D707" s="27" t="str">
        <f t="shared" si="39"/>
        <v>SIKAPLAST-19 UC                TANKER KG</v>
      </c>
      <c r="E707" s="28" t="s">
        <v>601</v>
      </c>
      <c r="F707" s="29"/>
      <c r="G707" s="30"/>
      <c r="H707" s="31">
        <v>0</v>
      </c>
      <c r="I707" s="32" t="s">
        <v>50</v>
      </c>
      <c r="J707" s="33">
        <v>1</v>
      </c>
      <c r="K707" s="34" t="s">
        <v>8</v>
      </c>
      <c r="L707" s="82">
        <v>7850</v>
      </c>
      <c r="M707" s="35">
        <v>0.09</v>
      </c>
    </row>
    <row r="708" spans="1:13" x14ac:dyDescent="0.25">
      <c r="A708" s="91">
        <v>387</v>
      </c>
      <c r="B708" s="91">
        <v>674224</v>
      </c>
      <c r="C708" s="92" t="s">
        <v>734</v>
      </c>
      <c r="D708" s="121" t="str">
        <f>CONCATENATE(UPPER(C708),$D$3)</f>
        <v>SIKADUR-42 LE PLUS CO (ABC)   PL 16,72KG "E"</v>
      </c>
      <c r="E708" s="93" t="s">
        <v>735</v>
      </c>
      <c r="F708" s="94"/>
      <c r="G708" s="95"/>
      <c r="H708" s="96">
        <v>16.72</v>
      </c>
      <c r="I708" s="97" t="s">
        <v>50</v>
      </c>
      <c r="J708" s="98">
        <v>1</v>
      </c>
      <c r="K708" s="99" t="s">
        <v>8</v>
      </c>
      <c r="L708" s="82">
        <v>1341000</v>
      </c>
      <c r="M708" s="100">
        <v>8.6999999999999994E-2</v>
      </c>
    </row>
    <row r="709" spans="1:13" x14ac:dyDescent="0.25">
      <c r="A709" s="26">
        <v>60</v>
      </c>
      <c r="B709" s="26">
        <v>674227</v>
      </c>
      <c r="C709" s="27" t="s">
        <v>263</v>
      </c>
      <c r="D709" s="27" t="str">
        <f t="shared" ref="D709:D714" si="40">UPPER(C709)</f>
        <v>SIKACERAM-130 PEGAENCHAPEPLUS BL.BG 25KG</v>
      </c>
      <c r="E709" s="28" t="s">
        <v>264</v>
      </c>
      <c r="F709" s="29"/>
      <c r="G709" s="30" t="s">
        <v>26</v>
      </c>
      <c r="H709" s="31">
        <v>25</v>
      </c>
      <c r="I709" s="32" t="s">
        <v>50</v>
      </c>
      <c r="J709" s="33">
        <v>1</v>
      </c>
      <c r="K709" s="34" t="s">
        <v>8</v>
      </c>
      <c r="L709" s="82">
        <v>49300</v>
      </c>
      <c r="M709" s="35">
        <v>9.4E-2</v>
      </c>
    </row>
    <row r="710" spans="1:13" x14ac:dyDescent="0.25">
      <c r="A710" s="26">
        <v>62</v>
      </c>
      <c r="B710" s="26">
        <v>674228</v>
      </c>
      <c r="C710" s="27" t="s">
        <v>266</v>
      </c>
      <c r="D710" s="27" t="str">
        <f t="shared" si="40"/>
        <v>SIKACERAM-130 PEGAENCHAPEPLUS BL.BG 50KG</v>
      </c>
      <c r="E710" s="28" t="s">
        <v>264</v>
      </c>
      <c r="F710" s="29"/>
      <c r="G710" s="30" t="s">
        <v>26</v>
      </c>
      <c r="H710" s="31">
        <v>50</v>
      </c>
      <c r="I710" s="32" t="s">
        <v>50</v>
      </c>
      <c r="J710" s="33">
        <v>1</v>
      </c>
      <c r="K710" s="34" t="s">
        <v>8</v>
      </c>
      <c r="L710" s="82">
        <v>91650</v>
      </c>
      <c r="M710" s="35">
        <v>9.4E-2</v>
      </c>
    </row>
    <row r="711" spans="1:13" x14ac:dyDescent="0.25">
      <c r="A711" s="26">
        <v>61</v>
      </c>
      <c r="B711" s="26">
        <v>674229</v>
      </c>
      <c r="C711" s="27" t="s">
        <v>265</v>
      </c>
      <c r="D711" s="27" t="str">
        <f t="shared" si="40"/>
        <v>SIKACERAM-130 PEGAENCHAPEPLUS GR.BG 25KG</v>
      </c>
      <c r="E711" s="28" t="s">
        <v>264</v>
      </c>
      <c r="F711" s="29"/>
      <c r="G711" s="30" t="s">
        <v>27</v>
      </c>
      <c r="H711" s="31">
        <v>25</v>
      </c>
      <c r="I711" s="32" t="s">
        <v>50</v>
      </c>
      <c r="J711" s="33">
        <v>1</v>
      </c>
      <c r="K711" s="34" t="s">
        <v>8</v>
      </c>
      <c r="L711" s="82">
        <v>40100</v>
      </c>
      <c r="M711" s="35">
        <v>9.4E-2</v>
      </c>
    </row>
    <row r="712" spans="1:13" x14ac:dyDescent="0.25">
      <c r="A712" s="26">
        <v>63</v>
      </c>
      <c r="B712" s="26">
        <v>674230</v>
      </c>
      <c r="C712" s="27" t="s">
        <v>267</v>
      </c>
      <c r="D712" s="27" t="str">
        <f t="shared" si="40"/>
        <v>SIKACERAM-130 PEGAENCHAPEPLUS GR.BG 50KG</v>
      </c>
      <c r="E712" s="28" t="s">
        <v>264</v>
      </c>
      <c r="F712" s="29"/>
      <c r="G712" s="30" t="s">
        <v>27</v>
      </c>
      <c r="H712" s="31">
        <v>50</v>
      </c>
      <c r="I712" s="32" t="s">
        <v>50</v>
      </c>
      <c r="J712" s="33">
        <v>1</v>
      </c>
      <c r="K712" s="34" t="s">
        <v>8</v>
      </c>
      <c r="L712" s="82">
        <v>74550</v>
      </c>
      <c r="M712" s="35">
        <v>9.4E-2</v>
      </c>
    </row>
    <row r="713" spans="1:13" x14ac:dyDescent="0.25">
      <c r="A713" s="26">
        <v>286</v>
      </c>
      <c r="B713" s="26">
        <v>677099</v>
      </c>
      <c r="C713" s="27" t="s">
        <v>595</v>
      </c>
      <c r="D713" s="27" t="str">
        <f t="shared" si="40"/>
        <v>SIKAPLAST MO             COL   CO 1100KG</v>
      </c>
      <c r="E713" s="28" t="s">
        <v>590</v>
      </c>
      <c r="F713" s="29"/>
      <c r="G713" s="30"/>
      <c r="H713" s="31">
        <v>1100</v>
      </c>
      <c r="I713" s="32" t="s">
        <v>50</v>
      </c>
      <c r="J713" s="33">
        <v>1</v>
      </c>
      <c r="K713" s="34" t="s">
        <v>8</v>
      </c>
      <c r="L713" s="82">
        <v>12293850</v>
      </c>
      <c r="M713" s="35">
        <v>6.9999999999999993E-2</v>
      </c>
    </row>
    <row r="714" spans="1:13" x14ac:dyDescent="0.25">
      <c r="A714" s="26">
        <v>175</v>
      </c>
      <c r="B714" s="26">
        <v>677100</v>
      </c>
      <c r="C714" s="27" t="s">
        <v>422</v>
      </c>
      <c r="D714" s="27" t="str">
        <f t="shared" si="40"/>
        <v>SIKAPLASTOCRETE DM       COL   CO 1100KG</v>
      </c>
      <c r="E714" s="28" t="s">
        <v>417</v>
      </c>
      <c r="F714" s="29"/>
      <c r="G714" s="30"/>
      <c r="H714" s="31">
        <v>1100</v>
      </c>
      <c r="I714" s="32" t="s">
        <v>50</v>
      </c>
      <c r="J714" s="33">
        <v>1</v>
      </c>
      <c r="K714" s="34" t="s">
        <v>8</v>
      </c>
      <c r="L714" s="82">
        <v>11467100</v>
      </c>
      <c r="M714" s="35">
        <v>6.9999999999999993E-2</v>
      </c>
    </row>
    <row r="715" spans="1:13" x14ac:dyDescent="0.25">
      <c r="A715" s="91">
        <v>131</v>
      </c>
      <c r="B715" s="91">
        <v>678040</v>
      </c>
      <c r="C715" s="92" t="s">
        <v>357</v>
      </c>
      <c r="D715" s="121" t="str">
        <f>CONCATENATE(UPPER(C715),$D$3)</f>
        <v>SIKAWALL-615 TX.DPR S.F.1.0 DARK BA.27KG "E"</v>
      </c>
      <c r="E715" s="93" t="s">
        <v>356</v>
      </c>
      <c r="F715" s="94"/>
      <c r="G715" s="95" t="s">
        <v>46</v>
      </c>
      <c r="H715" s="96">
        <v>27</v>
      </c>
      <c r="I715" s="97" t="s">
        <v>50</v>
      </c>
      <c r="J715" s="98">
        <v>1</v>
      </c>
      <c r="K715" s="99" t="s">
        <v>8</v>
      </c>
      <c r="L715" s="82">
        <v>456650</v>
      </c>
      <c r="M715" s="100">
        <v>6.4000000000000001E-2</v>
      </c>
    </row>
    <row r="716" spans="1:13" x14ac:dyDescent="0.25">
      <c r="A716" s="91">
        <v>126</v>
      </c>
      <c r="B716" s="91">
        <v>678124</v>
      </c>
      <c r="C716" s="92" t="s">
        <v>349</v>
      </c>
      <c r="D716" s="121" t="str">
        <f>CONCATENATE(UPPER(C716),$D$3)</f>
        <v>SIKAWALL-60 PRIMER DPR DARK BASE PL 25KG "E"</v>
      </c>
      <c r="E716" s="93" t="s">
        <v>350</v>
      </c>
      <c r="F716" s="94"/>
      <c r="G716" s="95" t="s">
        <v>46</v>
      </c>
      <c r="H716" s="96">
        <v>25</v>
      </c>
      <c r="I716" s="97" t="s">
        <v>50</v>
      </c>
      <c r="J716" s="98">
        <v>1</v>
      </c>
      <c r="K716" s="99" t="s">
        <v>8</v>
      </c>
      <c r="L716" s="82">
        <v>466650</v>
      </c>
      <c r="M716" s="100">
        <v>6.4000000000000001E-2</v>
      </c>
    </row>
    <row r="717" spans="1:13" x14ac:dyDescent="0.25">
      <c r="A717" s="91">
        <v>888</v>
      </c>
      <c r="B717" s="91">
        <v>679157</v>
      </c>
      <c r="C717" s="92" t="s">
        <v>1358</v>
      </c>
      <c r="D717" s="121" t="str">
        <f>CONCATENATE(UPPER(C717),$D$3)</f>
        <v>SIKA INJECTION-101 CO (AB)          22KG "E"</v>
      </c>
      <c r="E717" s="93" t="s">
        <v>1359</v>
      </c>
      <c r="F717" s="102"/>
      <c r="G717" s="95"/>
      <c r="H717" s="96">
        <v>22</v>
      </c>
      <c r="I717" s="97" t="s">
        <v>50</v>
      </c>
      <c r="J717" s="98">
        <v>1</v>
      </c>
      <c r="K717" s="99" t="s">
        <v>8</v>
      </c>
      <c r="L717" s="82">
        <v>5656800</v>
      </c>
      <c r="M717" s="100">
        <v>6.7000000000000004E-2</v>
      </c>
    </row>
    <row r="718" spans="1:13" x14ac:dyDescent="0.25">
      <c r="A718" s="91">
        <v>127</v>
      </c>
      <c r="B718" s="91">
        <v>679986</v>
      </c>
      <c r="C718" s="92" t="s">
        <v>351</v>
      </c>
      <c r="D718" s="121" t="str">
        <f>CONCATENATE(UPPER(C718),$D$3)</f>
        <v>SIKAWALL-60 PRIMER DPR LIGHT BAS.PL 25KG "E"</v>
      </c>
      <c r="E718" s="93" t="s">
        <v>350</v>
      </c>
      <c r="F718" s="94"/>
      <c r="G718" s="95" t="s">
        <v>47</v>
      </c>
      <c r="H718" s="96">
        <v>25</v>
      </c>
      <c r="I718" s="97" t="s">
        <v>50</v>
      </c>
      <c r="J718" s="98">
        <v>1</v>
      </c>
      <c r="K718" s="99" t="s">
        <v>8</v>
      </c>
      <c r="L718" s="82">
        <v>471550</v>
      </c>
      <c r="M718" s="100">
        <v>6.4000000000000001E-2</v>
      </c>
    </row>
    <row r="719" spans="1:13" x14ac:dyDescent="0.25">
      <c r="A719" s="91">
        <v>129</v>
      </c>
      <c r="B719" s="91">
        <v>680166</v>
      </c>
      <c r="C719" s="92" t="s">
        <v>354</v>
      </c>
      <c r="D719" s="121" t="str">
        <f>CONCATENATE(UPPER(C719),$D$3)</f>
        <v>SIKAWALL-615 TX.DPR S.0.7 LIGHT BA. 27KG "E"</v>
      </c>
      <c r="E719" s="93" t="s">
        <v>353</v>
      </c>
      <c r="F719" s="94"/>
      <c r="G719" s="95" t="s">
        <v>47</v>
      </c>
      <c r="H719" s="96">
        <v>27</v>
      </c>
      <c r="I719" s="97" t="s">
        <v>50</v>
      </c>
      <c r="J719" s="98">
        <v>1</v>
      </c>
      <c r="K719" s="99" t="s">
        <v>8</v>
      </c>
      <c r="L719" s="82">
        <v>452350</v>
      </c>
      <c r="M719" s="100">
        <v>5.4000000000000006E-2</v>
      </c>
    </row>
    <row r="720" spans="1:13" x14ac:dyDescent="0.25">
      <c r="A720" s="26">
        <v>249</v>
      </c>
      <c r="B720" s="26">
        <v>681465</v>
      </c>
      <c r="C720" s="27" t="s">
        <v>534</v>
      </c>
      <c r="D720" s="27" t="str">
        <f t="shared" ref="D720:D725" si="41">UPPER(C720)</f>
        <v>SIKACONTROL-75 CO              TANKER KG</v>
      </c>
      <c r="E720" s="28" t="s">
        <v>535</v>
      </c>
      <c r="F720" s="29"/>
      <c r="G720" s="30"/>
      <c r="H720" s="31">
        <v>1</v>
      </c>
      <c r="I720" s="32" t="s">
        <v>50</v>
      </c>
      <c r="J720" s="33">
        <v>500</v>
      </c>
      <c r="K720" s="34" t="s">
        <v>8</v>
      </c>
      <c r="L720" s="82">
        <v>45000</v>
      </c>
      <c r="M720" s="35">
        <v>0.03</v>
      </c>
    </row>
    <row r="721" spans="1:13" x14ac:dyDescent="0.25">
      <c r="A721" s="26">
        <v>252</v>
      </c>
      <c r="B721" s="26">
        <v>681467</v>
      </c>
      <c r="C721" s="27" t="s">
        <v>538</v>
      </c>
      <c r="D721" s="27" t="str">
        <f t="shared" si="41"/>
        <v>SIKACONTROL-75 CO               CO 950KG</v>
      </c>
      <c r="E721" s="28" t="s">
        <v>535</v>
      </c>
      <c r="F721" s="29"/>
      <c r="G721" s="30"/>
      <c r="H721" s="31">
        <v>950</v>
      </c>
      <c r="I721" s="32" t="s">
        <v>50</v>
      </c>
      <c r="J721" s="33">
        <v>1</v>
      </c>
      <c r="K721" s="34" t="s">
        <v>8</v>
      </c>
      <c r="L721" s="82">
        <v>46342650</v>
      </c>
      <c r="M721" s="35">
        <v>6.9999999999999993E-2</v>
      </c>
    </row>
    <row r="722" spans="1:13" x14ac:dyDescent="0.25">
      <c r="A722" s="26">
        <v>250</v>
      </c>
      <c r="B722" s="26">
        <v>681468</v>
      </c>
      <c r="C722" s="27" t="s">
        <v>536</v>
      </c>
      <c r="D722" s="27" t="str">
        <f t="shared" si="41"/>
        <v>SIKACONTROL-75 CO                PL 18KG</v>
      </c>
      <c r="E722" s="28" t="s">
        <v>535</v>
      </c>
      <c r="F722" s="29"/>
      <c r="G722" s="30"/>
      <c r="H722" s="31">
        <v>18</v>
      </c>
      <c r="I722" s="32" t="s">
        <v>50</v>
      </c>
      <c r="J722" s="33">
        <v>1</v>
      </c>
      <c r="K722" s="34" t="s">
        <v>8</v>
      </c>
      <c r="L722" s="82">
        <v>968450</v>
      </c>
      <c r="M722" s="35">
        <v>0.03</v>
      </c>
    </row>
    <row r="723" spans="1:13" x14ac:dyDescent="0.25">
      <c r="A723" s="26">
        <v>251</v>
      </c>
      <c r="B723" s="26">
        <v>681469</v>
      </c>
      <c r="C723" s="27" t="s">
        <v>537</v>
      </c>
      <c r="D723" s="27" t="str">
        <f t="shared" si="41"/>
        <v>SIKACONTROL-75 CO               DR 180KG</v>
      </c>
      <c r="E723" s="28" t="s">
        <v>535</v>
      </c>
      <c r="F723" s="29"/>
      <c r="G723" s="30"/>
      <c r="H723" s="31">
        <v>180</v>
      </c>
      <c r="I723" s="32" t="s">
        <v>50</v>
      </c>
      <c r="J723" s="33">
        <v>1</v>
      </c>
      <c r="K723" s="34" t="s">
        <v>8</v>
      </c>
      <c r="L723" s="82">
        <v>9045850</v>
      </c>
      <c r="M723" s="35">
        <v>6.9999999999999993E-2</v>
      </c>
    </row>
    <row r="724" spans="1:13" x14ac:dyDescent="0.25">
      <c r="A724" s="26">
        <v>320</v>
      </c>
      <c r="B724" s="26">
        <v>681528</v>
      </c>
      <c r="C724" s="27" t="s">
        <v>645</v>
      </c>
      <c r="D724" s="27" t="str">
        <f t="shared" si="41"/>
        <v>SIKATARD-938 LH                TANKER KG</v>
      </c>
      <c r="E724" s="28" t="s">
        <v>646</v>
      </c>
      <c r="F724" s="29"/>
      <c r="G724" s="30"/>
      <c r="H724" s="31">
        <v>0</v>
      </c>
      <c r="I724" s="32" t="s">
        <v>50</v>
      </c>
      <c r="J724" s="33">
        <v>1</v>
      </c>
      <c r="K724" s="34" t="s">
        <v>8</v>
      </c>
      <c r="L724" s="82">
        <v>4800</v>
      </c>
      <c r="M724" s="35">
        <v>0.08</v>
      </c>
    </row>
    <row r="725" spans="1:13" x14ac:dyDescent="0.25">
      <c r="A725" s="26">
        <v>893</v>
      </c>
      <c r="B725" s="26">
        <v>681823</v>
      </c>
      <c r="C725" s="27" t="s">
        <v>1366</v>
      </c>
      <c r="D725" s="27" t="str">
        <f t="shared" si="41"/>
        <v>SIKAPERMALASTIK PRO CO           PL 21KG</v>
      </c>
      <c r="E725" s="28" t="s">
        <v>1365</v>
      </c>
      <c r="F725" s="29"/>
      <c r="G725" s="30"/>
      <c r="H725" s="31">
        <v>21</v>
      </c>
      <c r="I725" s="32" t="s">
        <v>50</v>
      </c>
      <c r="J725" s="33">
        <v>1</v>
      </c>
      <c r="K725" s="34" t="s">
        <v>8</v>
      </c>
      <c r="L725" s="82">
        <v>418550</v>
      </c>
      <c r="M725" s="35">
        <v>6.7000000000000004E-2</v>
      </c>
    </row>
    <row r="726" spans="1:13" x14ac:dyDescent="0.25">
      <c r="A726" s="91">
        <v>130</v>
      </c>
      <c r="B726" s="91">
        <v>684695</v>
      </c>
      <c r="C726" s="92" t="s">
        <v>355</v>
      </c>
      <c r="D726" s="121" t="str">
        <f>CONCATENATE(UPPER(C726),$D$3)</f>
        <v>SIKAWALL-615 TX.DPR S.F.1.0 BA.CLA. 27KG "E"</v>
      </c>
      <c r="E726" s="93" t="s">
        <v>356</v>
      </c>
      <c r="F726" s="94"/>
      <c r="G726" s="95" t="s">
        <v>47</v>
      </c>
      <c r="H726" s="96">
        <v>27</v>
      </c>
      <c r="I726" s="97" t="s">
        <v>50</v>
      </c>
      <c r="J726" s="98">
        <v>1</v>
      </c>
      <c r="K726" s="99" t="s">
        <v>8</v>
      </c>
      <c r="L726" s="82">
        <v>456650</v>
      </c>
      <c r="M726" s="100">
        <v>6.4000000000000001E-2</v>
      </c>
    </row>
    <row r="727" spans="1:13" x14ac:dyDescent="0.25">
      <c r="A727" s="91">
        <v>128</v>
      </c>
      <c r="B727" s="91">
        <v>684720</v>
      </c>
      <c r="C727" s="92" t="s">
        <v>352</v>
      </c>
      <c r="D727" s="121" t="str">
        <f>CONCATENATE(UPPER(C727),$D$3)</f>
        <v>SIKAWALL-615 TX.DPR S.0.7 BASE OSC. 27KG "E"</v>
      </c>
      <c r="E727" s="93" t="s">
        <v>353</v>
      </c>
      <c r="F727" s="94"/>
      <c r="G727" s="95" t="s">
        <v>46</v>
      </c>
      <c r="H727" s="96">
        <v>27</v>
      </c>
      <c r="I727" s="97" t="s">
        <v>50</v>
      </c>
      <c r="J727" s="98">
        <v>1</v>
      </c>
      <c r="K727" s="99" t="s">
        <v>8</v>
      </c>
      <c r="L727" s="82">
        <v>452350</v>
      </c>
      <c r="M727" s="100">
        <v>5.4000000000000006E-2</v>
      </c>
    </row>
    <row r="728" spans="1:13" x14ac:dyDescent="0.25">
      <c r="A728" s="26">
        <v>147</v>
      </c>
      <c r="B728" s="26">
        <v>684878</v>
      </c>
      <c r="C728" s="27" t="s">
        <v>382</v>
      </c>
      <c r="D728" s="27" t="str">
        <f>UPPER(C728)</f>
        <v>SIKALIGHTCRETE         COL   CISTERNA KG</v>
      </c>
      <c r="E728" s="28" t="s">
        <v>383</v>
      </c>
      <c r="F728" s="29"/>
      <c r="G728" s="30"/>
      <c r="H728" s="31">
        <v>1</v>
      </c>
      <c r="I728" s="32" t="s">
        <v>50</v>
      </c>
      <c r="J728" s="33">
        <v>1</v>
      </c>
      <c r="K728" s="34" t="s">
        <v>8</v>
      </c>
      <c r="L728" s="82">
        <v>15900</v>
      </c>
      <c r="M728" s="35">
        <v>0.08</v>
      </c>
    </row>
    <row r="729" spans="1:13" x14ac:dyDescent="0.25">
      <c r="A729" s="26">
        <v>827</v>
      </c>
      <c r="B729" s="26">
        <v>685666</v>
      </c>
      <c r="C729" s="27" t="s">
        <v>1269</v>
      </c>
      <c r="D729" s="27" t="str">
        <f>UPPER(C729)</f>
        <v>SIKAFLEX-117 MET.FOR.L.GR.C5043/12CTR290</v>
      </c>
      <c r="E729" s="28" t="s">
        <v>1270</v>
      </c>
      <c r="F729" s="29"/>
      <c r="G729" s="30" t="s">
        <v>14</v>
      </c>
      <c r="H729" s="31">
        <v>290</v>
      </c>
      <c r="I729" s="32" t="s">
        <v>1445</v>
      </c>
      <c r="J729" s="33">
        <v>12</v>
      </c>
      <c r="K729" s="34" t="s">
        <v>8</v>
      </c>
      <c r="L729" s="82">
        <v>85950</v>
      </c>
      <c r="M729" s="35">
        <v>6.7000000000000004E-2</v>
      </c>
    </row>
    <row r="730" spans="1:13" x14ac:dyDescent="0.25">
      <c r="A730" s="26">
        <v>892</v>
      </c>
      <c r="B730" s="26">
        <v>686744</v>
      </c>
      <c r="C730" s="27" t="s">
        <v>1364</v>
      </c>
      <c r="D730" s="27" t="str">
        <f>UPPER(C730)</f>
        <v>SIKAPERMALASTIK PRO CO          /4X3,5KG</v>
      </c>
      <c r="E730" s="28" t="s">
        <v>1365</v>
      </c>
      <c r="F730" s="29"/>
      <c r="G730" s="30"/>
      <c r="H730" s="31">
        <v>3.5</v>
      </c>
      <c r="I730" s="32" t="s">
        <v>50</v>
      </c>
      <c r="J730" s="33">
        <v>4</v>
      </c>
      <c r="K730" s="34" t="s">
        <v>8</v>
      </c>
      <c r="L730" s="82">
        <v>94700</v>
      </c>
      <c r="M730" s="35">
        <v>6.7000000000000004E-2</v>
      </c>
    </row>
    <row r="731" spans="1:13" x14ac:dyDescent="0.25">
      <c r="A731" s="91">
        <v>781</v>
      </c>
      <c r="B731" s="91">
        <v>695382</v>
      </c>
      <c r="C731" s="92" t="s">
        <v>1210</v>
      </c>
      <c r="D731" s="121" t="str">
        <f>CONCATENATE(UPPER(C731),$D$3)</f>
        <v>SIKALASTIC-701 CO (AB) GREY       12,5KG "E"</v>
      </c>
      <c r="E731" s="93" t="s">
        <v>1209</v>
      </c>
      <c r="F731" s="102"/>
      <c r="G731" s="95"/>
      <c r="H731" s="96">
        <v>12.5</v>
      </c>
      <c r="I731" s="97" t="s">
        <v>50</v>
      </c>
      <c r="J731" s="98">
        <v>1</v>
      </c>
      <c r="K731" s="99" t="s">
        <v>8</v>
      </c>
      <c r="L731" s="82">
        <v>1280500</v>
      </c>
      <c r="M731" s="100">
        <v>7.2499999999999995E-2</v>
      </c>
    </row>
    <row r="732" spans="1:13" x14ac:dyDescent="0.25">
      <c r="A732" s="26">
        <v>124</v>
      </c>
      <c r="B732" s="26">
        <v>697102</v>
      </c>
      <c r="C732" s="27" t="s">
        <v>346</v>
      </c>
      <c r="D732" s="27" t="str">
        <f>UPPER(C732)</f>
        <v>SIKAWALL-330 ESTUKA ACRILIC.CO /16X1,5KG</v>
      </c>
      <c r="E732" s="28" t="s">
        <v>347</v>
      </c>
      <c r="F732" s="29"/>
      <c r="G732" s="30" t="s">
        <v>45</v>
      </c>
      <c r="H732" s="31">
        <v>1.5</v>
      </c>
      <c r="I732" s="32" t="s">
        <v>50</v>
      </c>
      <c r="J732" s="33">
        <v>16</v>
      </c>
      <c r="K732" s="34" t="s">
        <v>8</v>
      </c>
      <c r="L732" s="82">
        <v>9000</v>
      </c>
      <c r="M732" s="35">
        <v>9.4E-2</v>
      </c>
    </row>
    <row r="733" spans="1:13" x14ac:dyDescent="0.25">
      <c r="A733" s="91">
        <v>556</v>
      </c>
      <c r="B733" s="91">
        <v>703809</v>
      </c>
      <c r="C733" s="92" t="s">
        <v>960</v>
      </c>
      <c r="D733" s="121" t="str">
        <f>CONCATENATE(UPPER(C733),$D$3)</f>
        <v>SIKAFLOOR-510 (AB) RAL1015        4,87KG "E"</v>
      </c>
      <c r="E733" s="93" t="s">
        <v>961</v>
      </c>
      <c r="F733" s="94"/>
      <c r="G733" s="122"/>
      <c r="H733" s="96">
        <v>4.8</v>
      </c>
      <c r="I733" s="97" t="s">
        <v>50</v>
      </c>
      <c r="J733" s="98">
        <v>1</v>
      </c>
      <c r="K733" s="99" t="s">
        <v>8</v>
      </c>
      <c r="L733" s="82">
        <v>951550</v>
      </c>
      <c r="M733" s="100">
        <v>8.199999999999999E-2</v>
      </c>
    </row>
    <row r="734" spans="1:13" x14ac:dyDescent="0.25">
      <c r="A734" s="26">
        <v>185</v>
      </c>
      <c r="B734" s="26">
        <v>703902</v>
      </c>
      <c r="C734" s="27" t="s">
        <v>437</v>
      </c>
      <c r="D734" s="27" t="str">
        <f>UPPER(C734)</f>
        <v>SIKASEPAROL N             COL   CO 900KG</v>
      </c>
      <c r="E734" s="28" t="s">
        <v>438</v>
      </c>
      <c r="F734" s="29"/>
      <c r="G734" s="30"/>
      <c r="H734" s="31">
        <v>900</v>
      </c>
      <c r="I734" s="32" t="s">
        <v>50</v>
      </c>
      <c r="J734" s="33">
        <v>1</v>
      </c>
      <c r="K734" s="34" t="s">
        <v>8</v>
      </c>
      <c r="L734" s="82">
        <v>12419750</v>
      </c>
      <c r="M734" s="35">
        <v>9.9999999999999992E-2</v>
      </c>
    </row>
    <row r="735" spans="1:13" x14ac:dyDescent="0.25">
      <c r="A735" s="26">
        <v>207</v>
      </c>
      <c r="B735" s="26">
        <v>704021</v>
      </c>
      <c r="C735" s="27" t="s">
        <v>467</v>
      </c>
      <c r="D735" s="27" t="str">
        <f>UPPER(C735)</f>
        <v>SIKASIGUNIT 3405 AFL CO        TANKER KG</v>
      </c>
      <c r="E735" s="28" t="s">
        <v>468</v>
      </c>
      <c r="F735" s="29"/>
      <c r="G735" s="30"/>
      <c r="H735" s="31">
        <v>0</v>
      </c>
      <c r="I735" s="32" t="s">
        <v>50</v>
      </c>
      <c r="J735" s="33">
        <v>1</v>
      </c>
      <c r="K735" s="34" t="s">
        <v>8</v>
      </c>
      <c r="L735" s="82">
        <v>5650</v>
      </c>
      <c r="M735" s="35">
        <v>9.9999999999999992E-2</v>
      </c>
    </row>
    <row r="736" spans="1:13" x14ac:dyDescent="0.25">
      <c r="A736" s="26">
        <v>370</v>
      </c>
      <c r="B736" s="26">
        <v>704828</v>
      </c>
      <c r="C736" s="27" t="s">
        <v>715</v>
      </c>
      <c r="D736" s="27" t="str">
        <f>UPPER(C736)</f>
        <v>SIKADUR CRACK REPAIR KIT (AB) CO     SET</v>
      </c>
      <c r="E736" s="28" t="s">
        <v>716</v>
      </c>
      <c r="F736" s="29"/>
      <c r="G736" s="30"/>
      <c r="H736" s="31">
        <v>1</v>
      </c>
      <c r="I736" s="32" t="s">
        <v>1449</v>
      </c>
      <c r="J736" s="33">
        <v>1</v>
      </c>
      <c r="K736" s="34" t="s">
        <v>8</v>
      </c>
      <c r="L736" s="82">
        <v>1673150</v>
      </c>
      <c r="M736" s="35">
        <v>8.6999999999999994E-2</v>
      </c>
    </row>
    <row r="737" spans="1:13" x14ac:dyDescent="0.25">
      <c r="A737" s="91">
        <v>927</v>
      </c>
      <c r="B737" s="91">
        <v>706278</v>
      </c>
      <c r="C737" s="92" t="s">
        <v>1411</v>
      </c>
      <c r="D737" s="121" t="str">
        <f>CONCATENATE(UPPER(C737),$D$3)</f>
        <v>SIKABIT W-1 CO                   BG 20KG "E"</v>
      </c>
      <c r="E737" s="93" t="s">
        <v>1412</v>
      </c>
      <c r="F737" s="94"/>
      <c r="G737" s="95"/>
      <c r="H737" s="96">
        <v>20</v>
      </c>
      <c r="I737" s="97" t="s">
        <v>50</v>
      </c>
      <c r="J737" s="98">
        <v>20</v>
      </c>
      <c r="K737" s="99" t="s">
        <v>106</v>
      </c>
      <c r="L737" s="82">
        <v>115150</v>
      </c>
      <c r="M737" s="100">
        <v>6.7000000000000004E-2</v>
      </c>
    </row>
    <row r="738" spans="1:13" x14ac:dyDescent="0.25">
      <c r="A738" s="26">
        <v>156</v>
      </c>
      <c r="B738" s="26">
        <v>712261</v>
      </c>
      <c r="C738" s="27" t="s">
        <v>395</v>
      </c>
      <c r="D738" s="27" t="str">
        <f t="shared" ref="D738:D743" si="42">UPPER(C738)</f>
        <v>SIKAPLASTIMENT RI              CO 1100KG</v>
      </c>
      <c r="E738" s="28" t="s">
        <v>396</v>
      </c>
      <c r="F738" s="29"/>
      <c r="G738" s="30"/>
      <c r="H738" s="31">
        <v>0</v>
      </c>
      <c r="I738" s="32" t="s">
        <v>50</v>
      </c>
      <c r="J738" s="33">
        <v>1</v>
      </c>
      <c r="K738" s="34" t="s">
        <v>8</v>
      </c>
      <c r="L738" s="82">
        <v>7650</v>
      </c>
      <c r="M738" s="35">
        <v>0.09</v>
      </c>
    </row>
    <row r="739" spans="1:13" x14ac:dyDescent="0.25">
      <c r="A739" s="26">
        <v>295</v>
      </c>
      <c r="B739" s="26">
        <v>714090</v>
      </c>
      <c r="C739" s="27" t="s">
        <v>608</v>
      </c>
      <c r="D739" s="27" t="str">
        <f t="shared" si="42"/>
        <v>SIKAPLAST-385 CO               TANKER KG</v>
      </c>
      <c r="E739" s="28" t="s">
        <v>609</v>
      </c>
      <c r="F739" s="29"/>
      <c r="G739" s="30"/>
      <c r="H739" s="31">
        <v>0</v>
      </c>
      <c r="I739" s="32" t="s">
        <v>50</v>
      </c>
      <c r="J739" s="33">
        <v>1</v>
      </c>
      <c r="K739" s="34" t="s">
        <v>8</v>
      </c>
      <c r="L739" s="82">
        <v>14050</v>
      </c>
      <c r="M739" s="35">
        <v>0.08</v>
      </c>
    </row>
    <row r="740" spans="1:13" s="51" customFormat="1" ht="12.75" x14ac:dyDescent="0.2">
      <c r="A740" s="26">
        <v>212</v>
      </c>
      <c r="B740" s="26">
        <v>714221</v>
      </c>
      <c r="C740" s="27" t="s">
        <v>475</v>
      </c>
      <c r="D740" s="27" t="str">
        <f t="shared" si="42"/>
        <v>SIKASTABILIZER-15 WMR CO       TANKER KG</v>
      </c>
      <c r="E740" s="28" t="s">
        <v>476</v>
      </c>
      <c r="F740" s="29"/>
      <c r="G740" s="41"/>
      <c r="H740" s="31">
        <v>0</v>
      </c>
      <c r="I740" s="32" t="s">
        <v>50</v>
      </c>
      <c r="J740" s="33">
        <v>1</v>
      </c>
      <c r="K740" s="34" t="s">
        <v>8</v>
      </c>
      <c r="L740" s="82">
        <v>6650</v>
      </c>
      <c r="M740" s="35">
        <v>6.9999999999999993E-2</v>
      </c>
    </row>
    <row r="741" spans="1:13" x14ac:dyDescent="0.25">
      <c r="A741" s="26">
        <v>299</v>
      </c>
      <c r="B741" s="26">
        <v>715955</v>
      </c>
      <c r="C741" s="27" t="s">
        <v>615</v>
      </c>
      <c r="D741" s="27" t="str">
        <f t="shared" si="42"/>
        <v>SIKAPLAST-5950 CO              TANKER KG</v>
      </c>
      <c r="E741" s="28" t="s">
        <v>616</v>
      </c>
      <c r="F741" s="29"/>
      <c r="G741" s="30"/>
      <c r="H741" s="31">
        <v>0</v>
      </c>
      <c r="I741" s="32" t="s">
        <v>50</v>
      </c>
      <c r="J741" s="33">
        <v>1</v>
      </c>
      <c r="K741" s="34" t="s">
        <v>8</v>
      </c>
      <c r="L741" s="82">
        <v>16650</v>
      </c>
      <c r="M741" s="35">
        <v>0.08</v>
      </c>
    </row>
    <row r="742" spans="1:13" x14ac:dyDescent="0.25">
      <c r="A742" s="26">
        <v>316</v>
      </c>
      <c r="B742" s="38">
        <v>715982</v>
      </c>
      <c r="C742" s="39" t="s">
        <v>639</v>
      </c>
      <c r="D742" s="27" t="str">
        <f t="shared" si="42"/>
        <v>SIKATARD-929 CO                TANKER KG</v>
      </c>
      <c r="E742" s="40" t="s">
        <v>640</v>
      </c>
      <c r="F742" s="29"/>
      <c r="G742" s="41"/>
      <c r="H742" s="42">
        <v>0</v>
      </c>
      <c r="I742" s="43" t="s">
        <v>50</v>
      </c>
      <c r="J742" s="44">
        <v>1</v>
      </c>
      <c r="K742" s="45" t="s">
        <v>8</v>
      </c>
      <c r="L742" s="83">
        <v>5150</v>
      </c>
      <c r="M742" s="35">
        <v>0.08</v>
      </c>
    </row>
    <row r="743" spans="1:13" x14ac:dyDescent="0.25">
      <c r="A743" s="26">
        <v>151</v>
      </c>
      <c r="B743" s="26">
        <v>716000</v>
      </c>
      <c r="C743" s="27" t="s">
        <v>388</v>
      </c>
      <c r="D743" s="27" t="str">
        <f t="shared" si="42"/>
        <v>SIKAPLASTIMENT AD-30           CO 1300KG</v>
      </c>
      <c r="E743" s="28" t="s">
        <v>386</v>
      </c>
      <c r="F743" s="29"/>
      <c r="G743" s="30"/>
      <c r="H743" s="31">
        <v>1300</v>
      </c>
      <c r="I743" s="32" t="s">
        <v>50</v>
      </c>
      <c r="J743" s="33">
        <v>1</v>
      </c>
      <c r="K743" s="34" t="s">
        <v>8</v>
      </c>
      <c r="L743" s="82">
        <v>13295700</v>
      </c>
      <c r="M743" s="35">
        <v>0.19</v>
      </c>
    </row>
    <row r="744" spans="1:13" x14ac:dyDescent="0.25">
      <c r="A744" s="91">
        <v>782</v>
      </c>
      <c r="B744" s="91">
        <v>717134</v>
      </c>
      <c r="C744" s="92" t="s">
        <v>1211</v>
      </c>
      <c r="D744" s="121" t="str">
        <f>CONCATENATE(UPPER(C744),$D$3)</f>
        <v>SIKALASTIC-701 CO (AB) WHITE      12,5KG "E"</v>
      </c>
      <c r="E744" s="93" t="s">
        <v>1209</v>
      </c>
      <c r="F744" s="102"/>
      <c r="G744" s="95"/>
      <c r="H744" s="96">
        <v>12.5</v>
      </c>
      <c r="I744" s="97" t="s">
        <v>50</v>
      </c>
      <c r="J744" s="98">
        <v>1</v>
      </c>
      <c r="K744" s="99" t="s">
        <v>8</v>
      </c>
      <c r="L744" s="82">
        <v>1309350</v>
      </c>
      <c r="M744" s="100">
        <v>7.2499999999999995E-2</v>
      </c>
    </row>
    <row r="745" spans="1:13" x14ac:dyDescent="0.25">
      <c r="A745" s="91">
        <v>885</v>
      </c>
      <c r="B745" s="91">
        <v>717135</v>
      </c>
      <c r="C745" s="92" t="s">
        <v>1352</v>
      </c>
      <c r="D745" s="121" t="str">
        <f>CONCATENATE(UPPER(C745),$D$3)</f>
        <v>SIKAWATERBAR O-15 E CO YELLOW (20M/R)  M "E"</v>
      </c>
      <c r="E745" s="93" t="s">
        <v>1353</v>
      </c>
      <c r="F745" s="94"/>
      <c r="G745" s="95" t="s">
        <v>166</v>
      </c>
      <c r="H745" s="96">
        <v>20</v>
      </c>
      <c r="I745" s="97" t="s">
        <v>106</v>
      </c>
      <c r="J745" s="98">
        <v>20</v>
      </c>
      <c r="K745" s="99" t="s">
        <v>106</v>
      </c>
      <c r="L745" s="82">
        <v>984400</v>
      </c>
      <c r="M745" s="100">
        <v>6.7000000000000004E-2</v>
      </c>
    </row>
    <row r="746" spans="1:13" x14ac:dyDescent="0.25">
      <c r="A746" s="91">
        <v>886</v>
      </c>
      <c r="B746" s="91">
        <v>717136</v>
      </c>
      <c r="C746" s="92" t="s">
        <v>1354</v>
      </c>
      <c r="D746" s="121" t="str">
        <f>CONCATENATE(UPPER(C746),$D$3)</f>
        <v>SIKAWATERBAR O-20 E CO YELLOW (20M/R)  M "E"</v>
      </c>
      <c r="E746" s="93" t="s">
        <v>1355</v>
      </c>
      <c r="F746" s="94"/>
      <c r="G746" s="95" t="s">
        <v>166</v>
      </c>
      <c r="H746" s="96">
        <v>20</v>
      </c>
      <c r="I746" s="97" t="s">
        <v>106</v>
      </c>
      <c r="J746" s="98">
        <v>20</v>
      </c>
      <c r="K746" s="99" t="s">
        <v>106</v>
      </c>
      <c r="L746" s="82">
        <v>1220600</v>
      </c>
      <c r="M746" s="100">
        <v>6.7000000000000004E-2</v>
      </c>
    </row>
    <row r="747" spans="1:13" x14ac:dyDescent="0.25">
      <c r="A747" s="91">
        <v>887</v>
      </c>
      <c r="B747" s="91">
        <v>717137</v>
      </c>
      <c r="C747" s="92" t="s">
        <v>1356</v>
      </c>
      <c r="D747" s="121" t="str">
        <f>CONCATENATE(UPPER(C747),$D$3)</f>
        <v>SIKAWATERBAR O-22 E CO YELLOW (15M/R)  M "E"</v>
      </c>
      <c r="E747" s="93" t="s">
        <v>1357</v>
      </c>
      <c r="F747" s="94"/>
      <c r="G747" s="95" t="s">
        <v>167</v>
      </c>
      <c r="H747" s="96">
        <v>15</v>
      </c>
      <c r="I747" s="97" t="s">
        <v>106</v>
      </c>
      <c r="J747" s="98">
        <v>15</v>
      </c>
      <c r="K747" s="99" t="s">
        <v>106</v>
      </c>
      <c r="L747" s="82">
        <v>1044450</v>
      </c>
      <c r="M747" s="100">
        <v>6.7000000000000004E-2</v>
      </c>
    </row>
    <row r="748" spans="1:13" x14ac:dyDescent="0.25">
      <c r="A748" s="26">
        <v>775</v>
      </c>
      <c r="B748" s="26">
        <v>718289</v>
      </c>
      <c r="C748" s="27" t="s">
        <v>1200</v>
      </c>
      <c r="D748" s="27" t="str">
        <f>UPPER(C748)</f>
        <v>SIKALASTIC-560 PLUS CO           PL 25KG</v>
      </c>
      <c r="E748" s="28" t="s">
        <v>1201</v>
      </c>
      <c r="F748" s="29"/>
      <c r="G748" s="30"/>
      <c r="H748" s="31">
        <v>25</v>
      </c>
      <c r="I748" s="32" t="s">
        <v>50</v>
      </c>
      <c r="J748" s="33">
        <v>1</v>
      </c>
      <c r="K748" s="34" t="s">
        <v>8</v>
      </c>
      <c r="L748" s="82">
        <v>784300</v>
      </c>
      <c r="M748" s="35">
        <v>7.2499999999999995E-2</v>
      </c>
    </row>
    <row r="749" spans="1:13" x14ac:dyDescent="0.25">
      <c r="A749" s="91">
        <v>789</v>
      </c>
      <c r="B749" s="119">
        <v>720773</v>
      </c>
      <c r="C749" s="103" t="s">
        <v>151</v>
      </c>
      <c r="D749" s="121" t="str">
        <f>CONCATENATE(UPPER(C749),$D$3)</f>
        <v>SIKAROOF LAMINADRENAJE 20 CO (2M X 25M) "E"</v>
      </c>
      <c r="E749" s="103" t="s">
        <v>151</v>
      </c>
      <c r="F749" s="94"/>
      <c r="G749" s="103"/>
      <c r="H749" s="96">
        <v>50</v>
      </c>
      <c r="I749" s="97" t="s">
        <v>1446</v>
      </c>
      <c r="J749" s="98">
        <v>1</v>
      </c>
      <c r="K749" s="99" t="s">
        <v>8</v>
      </c>
      <c r="L749" s="82">
        <v>89000</v>
      </c>
      <c r="M749" s="100">
        <v>6.25E-2</v>
      </c>
    </row>
    <row r="750" spans="1:13" x14ac:dyDescent="0.25">
      <c r="A750" s="91">
        <v>678</v>
      </c>
      <c r="B750" s="91">
        <v>726245</v>
      </c>
      <c r="C750" s="92" t="s">
        <v>1082</v>
      </c>
      <c r="D750" s="121" t="str">
        <f>CONCATENATE(UPPER(C750),$D$3)</f>
        <v>SIKASCREED-140 MORTERO PISO      BG 40KG "E"</v>
      </c>
      <c r="E750" s="93" t="s">
        <v>1083</v>
      </c>
      <c r="F750" s="94"/>
      <c r="G750" s="95"/>
      <c r="H750" s="96">
        <v>40</v>
      </c>
      <c r="I750" s="97" t="s">
        <v>50</v>
      </c>
      <c r="J750" s="98">
        <v>1</v>
      </c>
      <c r="K750" s="99" t="s">
        <v>8</v>
      </c>
      <c r="L750" s="82">
        <v>38850</v>
      </c>
      <c r="M750" s="100">
        <v>0.157</v>
      </c>
    </row>
    <row r="751" spans="1:13" x14ac:dyDescent="0.25">
      <c r="A751" s="26">
        <v>815</v>
      </c>
      <c r="B751" s="26">
        <v>730969</v>
      </c>
      <c r="C751" s="27" t="s">
        <v>1250</v>
      </c>
      <c r="D751" s="27" t="str">
        <f t="shared" ref="D751:D760" si="43">UPPER(C751)</f>
        <v>SIKASELLO MULTIUSOS GREY      /12 CTR280</v>
      </c>
      <c r="E751" s="28" t="s">
        <v>1248</v>
      </c>
      <c r="F751" s="48"/>
      <c r="G751" s="30" t="s">
        <v>14</v>
      </c>
      <c r="H751" s="31">
        <v>280</v>
      </c>
      <c r="I751" s="32" t="s">
        <v>1445</v>
      </c>
      <c r="J751" s="33">
        <v>12</v>
      </c>
      <c r="K751" s="34" t="s">
        <v>8</v>
      </c>
      <c r="L751" s="82">
        <v>18950</v>
      </c>
      <c r="M751" s="35">
        <v>9.7000000000000003E-2</v>
      </c>
    </row>
    <row r="752" spans="1:13" x14ac:dyDescent="0.25">
      <c r="A752" s="26">
        <v>813</v>
      </c>
      <c r="B752" s="26">
        <v>730990</v>
      </c>
      <c r="C752" s="27" t="s">
        <v>1247</v>
      </c>
      <c r="D752" s="27" t="str">
        <f t="shared" si="43"/>
        <v>SIKASELLO MULTIUSOS BEIGE     /12 CTR280</v>
      </c>
      <c r="E752" s="28" t="s">
        <v>1248</v>
      </c>
      <c r="F752" s="48"/>
      <c r="G752" s="30" t="s">
        <v>30</v>
      </c>
      <c r="H752" s="31">
        <v>280</v>
      </c>
      <c r="I752" s="32" t="s">
        <v>1445</v>
      </c>
      <c r="J752" s="33">
        <v>12</v>
      </c>
      <c r="K752" s="34" t="s">
        <v>8</v>
      </c>
      <c r="L752" s="82">
        <v>18950</v>
      </c>
      <c r="M752" s="35">
        <v>9.7000000000000003E-2</v>
      </c>
    </row>
    <row r="753" spans="1:13" x14ac:dyDescent="0.25">
      <c r="A753" s="26">
        <v>814</v>
      </c>
      <c r="B753" s="26">
        <v>730991</v>
      </c>
      <c r="C753" s="27" t="s">
        <v>1249</v>
      </c>
      <c r="D753" s="27" t="str">
        <f t="shared" si="43"/>
        <v>SIKASELLO MULTIUSOS BLACK     /12 CTR280</v>
      </c>
      <c r="E753" s="28" t="s">
        <v>1248</v>
      </c>
      <c r="F753" s="48"/>
      <c r="G753" s="30" t="s">
        <v>31</v>
      </c>
      <c r="H753" s="31">
        <v>280</v>
      </c>
      <c r="I753" s="32" t="s">
        <v>1445</v>
      </c>
      <c r="J753" s="33">
        <v>12</v>
      </c>
      <c r="K753" s="34" t="s">
        <v>8</v>
      </c>
      <c r="L753" s="82">
        <v>19550</v>
      </c>
      <c r="M753" s="35">
        <v>9.7000000000000003E-2</v>
      </c>
    </row>
    <row r="754" spans="1:13" x14ac:dyDescent="0.25">
      <c r="A754" s="26">
        <v>776</v>
      </c>
      <c r="B754" s="26">
        <v>737244</v>
      </c>
      <c r="C754" s="27" t="s">
        <v>1202</v>
      </c>
      <c r="D754" s="27" t="str">
        <f t="shared" si="43"/>
        <v>SIKALASTIC-560 PLUS CO          DR 245KG</v>
      </c>
      <c r="E754" s="28" t="s">
        <v>1201</v>
      </c>
      <c r="F754" s="29"/>
      <c r="G754" s="30"/>
      <c r="H754" s="31">
        <v>245</v>
      </c>
      <c r="I754" s="32" t="s">
        <v>50</v>
      </c>
      <c r="J754" s="33">
        <v>1</v>
      </c>
      <c r="K754" s="34" t="s">
        <v>8</v>
      </c>
      <c r="L754" s="82">
        <v>7331100</v>
      </c>
      <c r="M754" s="35">
        <v>7.2499999999999995E-2</v>
      </c>
    </row>
    <row r="755" spans="1:13" x14ac:dyDescent="0.25">
      <c r="A755" s="26">
        <v>822</v>
      </c>
      <c r="B755" s="26">
        <v>738111</v>
      </c>
      <c r="C755" s="27" t="s">
        <v>1260</v>
      </c>
      <c r="D755" s="27" t="str">
        <f t="shared" si="43"/>
        <v>SIKAFLEX PRO-3 PURF.CON.GR.C5047/20UP600</v>
      </c>
      <c r="E755" s="28" t="s">
        <v>1261</v>
      </c>
      <c r="F755" s="29"/>
      <c r="G755" s="30" t="s">
        <v>14</v>
      </c>
      <c r="H755" s="31">
        <v>600</v>
      </c>
      <c r="I755" s="32" t="s">
        <v>1445</v>
      </c>
      <c r="J755" s="33">
        <v>20</v>
      </c>
      <c r="K755" s="34" t="s">
        <v>8</v>
      </c>
      <c r="L755" s="82">
        <v>222550</v>
      </c>
      <c r="M755" s="35">
        <v>6.7000000000000004E-2</v>
      </c>
    </row>
    <row r="756" spans="1:13" x14ac:dyDescent="0.25">
      <c r="A756" s="26">
        <v>120</v>
      </c>
      <c r="B756" s="26">
        <v>739371</v>
      </c>
      <c r="C756" s="27" t="s">
        <v>340</v>
      </c>
      <c r="D756" s="27" t="str">
        <f t="shared" si="43"/>
        <v>SIKAWALL-190 ESTUKADOS PRO       BG 40KG</v>
      </c>
      <c r="E756" s="28" t="s">
        <v>339</v>
      </c>
      <c r="F756" s="29"/>
      <c r="G756" s="36"/>
      <c r="H756" s="31">
        <v>40</v>
      </c>
      <c r="I756" s="32" t="s">
        <v>50</v>
      </c>
      <c r="J756" s="46">
        <v>1</v>
      </c>
      <c r="K756" s="37" t="s">
        <v>8</v>
      </c>
      <c r="L756" s="82">
        <v>73300</v>
      </c>
      <c r="M756" s="35">
        <v>6.4000000000000001E-2</v>
      </c>
    </row>
    <row r="757" spans="1:13" x14ac:dyDescent="0.25">
      <c r="A757" s="26">
        <v>119</v>
      </c>
      <c r="B757" s="26">
        <v>739372</v>
      </c>
      <c r="C757" s="27" t="s">
        <v>338</v>
      </c>
      <c r="D757" s="27" t="str">
        <f t="shared" si="43"/>
        <v>SIKAWALL-190 ESTUKADOS PRO       BG 25KG</v>
      </c>
      <c r="E757" s="28" t="s">
        <v>339</v>
      </c>
      <c r="F757" s="29"/>
      <c r="G757" s="36"/>
      <c r="H757" s="31">
        <v>25</v>
      </c>
      <c r="I757" s="32" t="s">
        <v>50</v>
      </c>
      <c r="J757" s="46">
        <v>1</v>
      </c>
      <c r="K757" s="37" t="s">
        <v>8</v>
      </c>
      <c r="L757" s="82">
        <v>48750</v>
      </c>
      <c r="M757" s="35">
        <v>6.4000000000000001E-2</v>
      </c>
    </row>
    <row r="758" spans="1:13" x14ac:dyDescent="0.25">
      <c r="A758" s="26">
        <v>298</v>
      </c>
      <c r="B758" s="26">
        <v>739602</v>
      </c>
      <c r="C758" s="27" t="s">
        <v>613</v>
      </c>
      <c r="D758" s="27" t="str">
        <f t="shared" si="43"/>
        <v>SIKAPLAST-5230 CO              TANKER KG</v>
      </c>
      <c r="E758" s="28" t="s">
        <v>614</v>
      </c>
      <c r="F758" s="29"/>
      <c r="G758" s="30"/>
      <c r="H758" s="31">
        <v>0</v>
      </c>
      <c r="I758" s="32" t="s">
        <v>50</v>
      </c>
      <c r="J758" s="33">
        <v>1</v>
      </c>
      <c r="K758" s="34" t="s">
        <v>8</v>
      </c>
      <c r="L758" s="82">
        <v>13500</v>
      </c>
      <c r="M758" s="35">
        <v>0.08</v>
      </c>
    </row>
    <row r="759" spans="1:13" x14ac:dyDescent="0.25">
      <c r="A759" s="26">
        <v>939</v>
      </c>
      <c r="B759" s="26">
        <v>739707</v>
      </c>
      <c r="C759" s="27" t="s">
        <v>1433</v>
      </c>
      <c r="D759" s="27" t="str">
        <f t="shared" si="43"/>
        <v>SSH E44 S/HDPE PRE MX 2MM 1,00/20    ROL</v>
      </c>
      <c r="E759" s="28" t="s">
        <v>1434</v>
      </c>
      <c r="F759" s="29" t="s">
        <v>170</v>
      </c>
      <c r="G759" s="36"/>
      <c r="H759" s="31">
        <v>20</v>
      </c>
      <c r="I759" s="32" t="s">
        <v>135</v>
      </c>
      <c r="J759" s="33">
        <v>1</v>
      </c>
      <c r="K759" s="34" t="s">
        <v>8</v>
      </c>
      <c r="L759" s="82">
        <v>1409650</v>
      </c>
      <c r="M759" s="35">
        <v>6.7000000000000004E-2</v>
      </c>
    </row>
    <row r="760" spans="1:13" x14ac:dyDescent="0.25">
      <c r="A760" s="26">
        <v>938</v>
      </c>
      <c r="B760" s="26">
        <v>739822</v>
      </c>
      <c r="C760" s="27" t="s">
        <v>1431</v>
      </c>
      <c r="D760" s="27" t="str">
        <f t="shared" si="43"/>
        <v>SSH E44 HDPE SA MX 1,5MM 1,00/20     ROL</v>
      </c>
      <c r="E760" s="28" t="s">
        <v>1432</v>
      </c>
      <c r="F760" s="29" t="s">
        <v>170</v>
      </c>
      <c r="G760" s="36"/>
      <c r="H760" s="31">
        <v>20</v>
      </c>
      <c r="I760" s="32" t="s">
        <v>135</v>
      </c>
      <c r="J760" s="33">
        <v>1</v>
      </c>
      <c r="K760" s="34" t="s">
        <v>8</v>
      </c>
      <c r="L760" s="82">
        <v>1409650</v>
      </c>
      <c r="M760" s="35">
        <v>6.7000000000000004E-2</v>
      </c>
    </row>
    <row r="761" spans="1:13" x14ac:dyDescent="0.25">
      <c r="A761" s="91">
        <v>791</v>
      </c>
      <c r="B761" s="119">
        <v>739953</v>
      </c>
      <c r="C761" s="103" t="s">
        <v>154</v>
      </c>
      <c r="D761" s="121" t="str">
        <f>CONCATENATE(UPPER(C761),$D$3)</f>
        <v>SSH P45 S MX 3 MM SMOOTH 1,00/10     ROL "E"</v>
      </c>
      <c r="E761" s="103" t="s">
        <v>155</v>
      </c>
      <c r="F761" s="94"/>
      <c r="G761" s="103"/>
      <c r="H761" s="96">
        <v>10</v>
      </c>
      <c r="I761" s="97" t="s">
        <v>1446</v>
      </c>
      <c r="J761" s="98">
        <v>1</v>
      </c>
      <c r="K761" s="99" t="s">
        <v>8</v>
      </c>
      <c r="L761" s="82">
        <v>427250</v>
      </c>
      <c r="M761" s="100">
        <v>7.2499999999999995E-2</v>
      </c>
    </row>
    <row r="762" spans="1:13" x14ac:dyDescent="0.25">
      <c r="A762" s="91">
        <v>790</v>
      </c>
      <c r="B762" s="119">
        <v>739969</v>
      </c>
      <c r="C762" s="103" t="s">
        <v>152</v>
      </c>
      <c r="D762" s="121" t="str">
        <f>CONCATENATE(UPPER(C762),$D$3)</f>
        <v>SSH P45 MG MX 3,5 MM WHITE 1,00/10   ROL "E"</v>
      </c>
      <c r="E762" s="103" t="s">
        <v>153</v>
      </c>
      <c r="F762" s="94"/>
      <c r="G762" s="103"/>
      <c r="H762" s="96">
        <v>10</v>
      </c>
      <c r="I762" s="97" t="s">
        <v>1446</v>
      </c>
      <c r="J762" s="98">
        <v>1</v>
      </c>
      <c r="K762" s="99" t="s">
        <v>8</v>
      </c>
      <c r="L762" s="82">
        <v>455600</v>
      </c>
      <c r="M762" s="100">
        <v>7.2499999999999995E-2</v>
      </c>
    </row>
    <row r="763" spans="1:13" x14ac:dyDescent="0.25">
      <c r="A763" s="26">
        <v>910</v>
      </c>
      <c r="B763" s="26">
        <v>742342</v>
      </c>
      <c r="C763" s="27" t="s">
        <v>1392</v>
      </c>
      <c r="D763" s="27" t="str">
        <f t="shared" ref="D763:D799" si="44">UPPER(C763)</f>
        <v>SIKA-100 MORTERO IMPERMEABLE WHI./20X2KG</v>
      </c>
      <c r="E763" s="28" t="s">
        <v>1391</v>
      </c>
      <c r="F763" s="48"/>
      <c r="G763" s="30" t="s">
        <v>15</v>
      </c>
      <c r="H763" s="31">
        <v>2</v>
      </c>
      <c r="I763" s="32" t="s">
        <v>50</v>
      </c>
      <c r="J763" s="33">
        <v>20</v>
      </c>
      <c r="K763" s="34" t="s">
        <v>8</v>
      </c>
      <c r="L763" s="82">
        <v>15450</v>
      </c>
      <c r="M763" s="35">
        <v>9.7000000000000003E-2</v>
      </c>
    </row>
    <row r="764" spans="1:13" x14ac:dyDescent="0.25">
      <c r="A764" s="26">
        <v>909</v>
      </c>
      <c r="B764" s="26">
        <v>742343</v>
      </c>
      <c r="C764" s="27" t="s">
        <v>1390</v>
      </c>
      <c r="D764" s="27" t="str">
        <f t="shared" si="44"/>
        <v>SIKA-100 MORTERO IMPERMEABLE GRE./20X2KG</v>
      </c>
      <c r="E764" s="28" t="s">
        <v>1391</v>
      </c>
      <c r="F764" s="48"/>
      <c r="G764" s="30" t="s">
        <v>14</v>
      </c>
      <c r="H764" s="31">
        <v>2</v>
      </c>
      <c r="I764" s="32" t="s">
        <v>50</v>
      </c>
      <c r="J764" s="33">
        <v>20</v>
      </c>
      <c r="K764" s="34" t="s">
        <v>8</v>
      </c>
      <c r="L764" s="82">
        <v>12050</v>
      </c>
      <c r="M764" s="35">
        <v>9.7000000000000003E-2</v>
      </c>
    </row>
    <row r="765" spans="1:13" x14ac:dyDescent="0.25">
      <c r="A765" s="26">
        <v>912</v>
      </c>
      <c r="B765" s="26">
        <v>742344</v>
      </c>
      <c r="C765" s="27" t="s">
        <v>1394</v>
      </c>
      <c r="D765" s="27" t="str">
        <f t="shared" si="44"/>
        <v>SIKA-100 MORTERO IMPERMEABLE WHI./3X10KG</v>
      </c>
      <c r="E765" s="28" t="s">
        <v>1391</v>
      </c>
      <c r="F765" s="48"/>
      <c r="G765" s="30" t="s">
        <v>15</v>
      </c>
      <c r="H765" s="31">
        <v>10</v>
      </c>
      <c r="I765" s="32" t="s">
        <v>50</v>
      </c>
      <c r="J765" s="33">
        <v>3</v>
      </c>
      <c r="K765" s="34" t="s">
        <v>8</v>
      </c>
      <c r="L765" s="82">
        <v>50750</v>
      </c>
      <c r="M765" s="35">
        <v>9.7000000000000003E-2</v>
      </c>
    </row>
    <row r="766" spans="1:13" x14ac:dyDescent="0.25">
      <c r="A766" s="26">
        <v>911</v>
      </c>
      <c r="B766" s="26">
        <v>742345</v>
      </c>
      <c r="C766" s="27" t="s">
        <v>1393</v>
      </c>
      <c r="D766" s="27" t="str">
        <f t="shared" si="44"/>
        <v>SIKA-100 MORTERO IMPERMEABLE GRE./3X10KG</v>
      </c>
      <c r="E766" s="28" t="s">
        <v>1391</v>
      </c>
      <c r="F766" s="48"/>
      <c r="G766" s="30" t="s">
        <v>14</v>
      </c>
      <c r="H766" s="31">
        <v>10</v>
      </c>
      <c r="I766" s="32" t="s">
        <v>50</v>
      </c>
      <c r="J766" s="33">
        <v>3</v>
      </c>
      <c r="K766" s="34" t="s">
        <v>8</v>
      </c>
      <c r="L766" s="82">
        <v>44300</v>
      </c>
      <c r="M766" s="35">
        <v>9.7000000000000003E-2</v>
      </c>
    </row>
    <row r="767" spans="1:13" x14ac:dyDescent="0.25">
      <c r="A767" s="26">
        <v>913</v>
      </c>
      <c r="B767" s="26">
        <v>742346</v>
      </c>
      <c r="C767" s="27" t="s">
        <v>1395</v>
      </c>
      <c r="D767" s="27" t="str">
        <f t="shared" si="44"/>
        <v>SIKA-100 MORTERO IMPERMEABLE GRE.BG 25KG</v>
      </c>
      <c r="E767" s="28" t="s">
        <v>1391</v>
      </c>
      <c r="F767" s="48"/>
      <c r="G767" s="30" t="s">
        <v>14</v>
      </c>
      <c r="H767" s="31">
        <v>25</v>
      </c>
      <c r="I767" s="32" t="s">
        <v>50</v>
      </c>
      <c r="J767" s="33">
        <v>1</v>
      </c>
      <c r="K767" s="34" t="s">
        <v>8</v>
      </c>
      <c r="L767" s="82">
        <v>79400</v>
      </c>
      <c r="M767" s="35">
        <v>9.7000000000000003E-2</v>
      </c>
    </row>
    <row r="768" spans="1:13" x14ac:dyDescent="0.25">
      <c r="A768" s="26">
        <v>914</v>
      </c>
      <c r="B768" s="26">
        <v>742347</v>
      </c>
      <c r="C768" s="27" t="s">
        <v>1396</v>
      </c>
      <c r="D768" s="27" t="str">
        <f t="shared" si="44"/>
        <v>SIKA-100 MORTERO IMPERMEABLE WHI.BG 25KG</v>
      </c>
      <c r="E768" s="28" t="s">
        <v>1391</v>
      </c>
      <c r="F768" s="48"/>
      <c r="G768" s="30" t="s">
        <v>15</v>
      </c>
      <c r="H768" s="31">
        <v>25</v>
      </c>
      <c r="I768" s="32" t="s">
        <v>50</v>
      </c>
      <c r="J768" s="33">
        <v>1</v>
      </c>
      <c r="K768" s="34" t="s">
        <v>8</v>
      </c>
      <c r="L768" s="82">
        <v>89650</v>
      </c>
      <c r="M768" s="35">
        <v>9.7000000000000003E-2</v>
      </c>
    </row>
    <row r="769" spans="1:13" x14ac:dyDescent="0.25">
      <c r="A769" s="26">
        <v>321</v>
      </c>
      <c r="B769" s="26">
        <v>743726</v>
      </c>
      <c r="C769" s="27" t="s">
        <v>647</v>
      </c>
      <c r="D769" s="27" t="str">
        <f t="shared" si="44"/>
        <v>SIKAFIBER ENDURO MIRAGE 54MM    /6X1,8KG</v>
      </c>
      <c r="E769" s="28" t="s">
        <v>648</v>
      </c>
      <c r="F769" s="29"/>
      <c r="G769" s="30"/>
      <c r="H769" s="31">
        <v>1.8</v>
      </c>
      <c r="I769" s="32" t="s">
        <v>50</v>
      </c>
      <c r="J769" s="33">
        <v>1</v>
      </c>
      <c r="K769" s="34" t="s">
        <v>8</v>
      </c>
      <c r="L769" s="82">
        <v>123800</v>
      </c>
      <c r="M769" s="35">
        <v>0.16</v>
      </c>
    </row>
    <row r="770" spans="1:13" x14ac:dyDescent="0.25">
      <c r="A770" s="26">
        <v>213</v>
      </c>
      <c r="B770" s="26">
        <v>744112</v>
      </c>
      <c r="C770" s="27" t="s">
        <v>477</v>
      </c>
      <c r="D770" s="27" t="str">
        <f t="shared" si="44"/>
        <v>SIKASTABILIZER-15 WMR CO       CO 1100KG</v>
      </c>
      <c r="E770" s="28" t="s">
        <v>476</v>
      </c>
      <c r="F770" s="29"/>
      <c r="G770" s="30"/>
      <c r="H770" s="31">
        <v>1100</v>
      </c>
      <c r="I770" s="32" t="s">
        <v>50</v>
      </c>
      <c r="J770" s="33">
        <v>1</v>
      </c>
      <c r="K770" s="34" t="s">
        <v>8</v>
      </c>
      <c r="L770" s="82">
        <v>7884200</v>
      </c>
      <c r="M770" s="35">
        <v>0.09</v>
      </c>
    </row>
    <row r="771" spans="1:13" x14ac:dyDescent="0.25">
      <c r="A771" s="26">
        <v>296</v>
      </c>
      <c r="B771" s="26">
        <v>744195</v>
      </c>
      <c r="C771" s="27" t="s">
        <v>610</v>
      </c>
      <c r="D771" s="27" t="str">
        <f t="shared" si="44"/>
        <v>SIKAPLAST-385 CO               CO 1100KG</v>
      </c>
      <c r="E771" s="28" t="s">
        <v>609</v>
      </c>
      <c r="F771" s="29"/>
      <c r="G771" s="30"/>
      <c r="H771" s="31">
        <v>1100</v>
      </c>
      <c r="I771" s="32" t="s">
        <v>50</v>
      </c>
      <c r="J771" s="33">
        <v>1</v>
      </c>
      <c r="K771" s="34" t="s">
        <v>8</v>
      </c>
      <c r="L771" s="82">
        <v>15406050</v>
      </c>
      <c r="M771" s="35">
        <v>6.9999999999999993E-2</v>
      </c>
    </row>
    <row r="772" spans="1:13" x14ac:dyDescent="0.25">
      <c r="A772" s="26">
        <v>915</v>
      </c>
      <c r="B772" s="26">
        <v>747415</v>
      </c>
      <c r="C772" s="27" t="s">
        <v>1397</v>
      </c>
      <c r="D772" s="27" t="str">
        <f t="shared" si="44"/>
        <v>SIKA-100 MORTERO IMPERMEABLE GRI.BG 50KG</v>
      </c>
      <c r="E772" s="28" t="s">
        <v>1391</v>
      </c>
      <c r="F772" s="29"/>
      <c r="G772" s="30" t="s">
        <v>14</v>
      </c>
      <c r="H772" s="31">
        <v>50</v>
      </c>
      <c r="I772" s="32" t="s">
        <v>50</v>
      </c>
      <c r="J772" s="33">
        <v>1</v>
      </c>
      <c r="K772" s="34" t="s">
        <v>8</v>
      </c>
      <c r="L772" s="82">
        <v>128050</v>
      </c>
      <c r="M772" s="35">
        <v>9.7000000000000003E-2</v>
      </c>
    </row>
    <row r="773" spans="1:13" x14ac:dyDescent="0.25">
      <c r="A773" s="26">
        <v>916</v>
      </c>
      <c r="B773" s="26">
        <v>747416</v>
      </c>
      <c r="C773" s="27" t="s">
        <v>1398</v>
      </c>
      <c r="D773" s="27" t="str">
        <f t="shared" si="44"/>
        <v>SIKA-100 MORTERO IMPERMEABLE WHI.BG 50KG</v>
      </c>
      <c r="E773" s="28" t="s">
        <v>1391</v>
      </c>
      <c r="F773" s="29"/>
      <c r="G773" s="30" t="s">
        <v>15</v>
      </c>
      <c r="H773" s="31">
        <v>50</v>
      </c>
      <c r="I773" s="32" t="s">
        <v>50</v>
      </c>
      <c r="J773" s="33">
        <v>1</v>
      </c>
      <c r="K773" s="34" t="s">
        <v>8</v>
      </c>
      <c r="L773" s="82">
        <v>172800</v>
      </c>
      <c r="M773" s="35">
        <v>9.7000000000000003E-2</v>
      </c>
    </row>
    <row r="774" spans="1:13" x14ac:dyDescent="0.25">
      <c r="A774" s="26">
        <v>123</v>
      </c>
      <c r="B774" s="26">
        <v>747702</v>
      </c>
      <c r="C774" s="27" t="s">
        <v>345</v>
      </c>
      <c r="D774" s="27" t="str">
        <f t="shared" si="44"/>
        <v>SIKAWALL-250 ESTUKA FACIL PRO    BG 40KG</v>
      </c>
      <c r="E774" s="28" t="s">
        <v>344</v>
      </c>
      <c r="F774" s="29"/>
      <c r="G774" s="30"/>
      <c r="H774" s="31">
        <v>40</v>
      </c>
      <c r="I774" s="32" t="s">
        <v>50</v>
      </c>
      <c r="J774" s="33">
        <v>1</v>
      </c>
      <c r="K774" s="34" t="s">
        <v>8</v>
      </c>
      <c r="L774" s="82">
        <v>77200</v>
      </c>
      <c r="M774" s="35">
        <v>9.4E-2</v>
      </c>
    </row>
    <row r="775" spans="1:13" x14ac:dyDescent="0.25">
      <c r="A775" s="26">
        <v>122</v>
      </c>
      <c r="B775" s="26">
        <v>747909</v>
      </c>
      <c r="C775" s="27" t="s">
        <v>343</v>
      </c>
      <c r="D775" s="27" t="str">
        <f t="shared" si="44"/>
        <v>SIKAWALL-250 ESTUKA FACIL PRO    BG 25KG</v>
      </c>
      <c r="E775" s="28" t="s">
        <v>344</v>
      </c>
      <c r="F775" s="29"/>
      <c r="G775" s="30"/>
      <c r="H775" s="31">
        <v>25</v>
      </c>
      <c r="I775" s="32" t="s">
        <v>50</v>
      </c>
      <c r="J775" s="33">
        <v>1</v>
      </c>
      <c r="K775" s="34" t="s">
        <v>8</v>
      </c>
      <c r="L775" s="82">
        <v>61650</v>
      </c>
      <c r="M775" s="35">
        <v>9.4E-2</v>
      </c>
    </row>
    <row r="776" spans="1:13" x14ac:dyDescent="0.25">
      <c r="A776" s="26">
        <v>227</v>
      </c>
      <c r="B776" s="26">
        <v>751287</v>
      </c>
      <c r="C776" s="27" t="s">
        <v>499</v>
      </c>
      <c r="D776" s="27" t="str">
        <f t="shared" si="44"/>
        <v>SIKAVISCOCRETE-2025 CO         TANKER KG</v>
      </c>
      <c r="E776" s="28" t="s">
        <v>500</v>
      </c>
      <c r="F776" s="29"/>
      <c r="G776" s="30"/>
      <c r="H776" s="31">
        <v>0</v>
      </c>
      <c r="I776" s="32" t="s">
        <v>50</v>
      </c>
      <c r="J776" s="33">
        <v>1</v>
      </c>
      <c r="K776" s="34" t="s">
        <v>8</v>
      </c>
      <c r="L776" s="82">
        <v>16800</v>
      </c>
      <c r="M776" s="35">
        <v>0.08</v>
      </c>
    </row>
    <row r="777" spans="1:13" x14ac:dyDescent="0.25">
      <c r="A777" s="26">
        <v>297</v>
      </c>
      <c r="B777" s="26">
        <v>753832</v>
      </c>
      <c r="C777" s="27" t="s">
        <v>611</v>
      </c>
      <c r="D777" s="27" t="str">
        <f t="shared" si="44"/>
        <v>SIKAPLAST-387                  TANKER KG</v>
      </c>
      <c r="E777" s="28" t="s">
        <v>612</v>
      </c>
      <c r="F777" s="29"/>
      <c r="G777" s="30"/>
      <c r="H777" s="31">
        <v>0</v>
      </c>
      <c r="I777" s="32" t="s">
        <v>50</v>
      </c>
      <c r="J777" s="33">
        <v>1</v>
      </c>
      <c r="K777" s="34" t="s">
        <v>8</v>
      </c>
      <c r="L777" s="82">
        <v>14850</v>
      </c>
      <c r="M777" s="35">
        <v>0.08</v>
      </c>
    </row>
    <row r="778" spans="1:13" x14ac:dyDescent="0.25">
      <c r="A778" s="26">
        <v>837</v>
      </c>
      <c r="B778" s="26">
        <v>767993</v>
      </c>
      <c r="C778" s="27" t="s">
        <v>1283</v>
      </c>
      <c r="D778" s="27" t="str">
        <f t="shared" si="44"/>
        <v>SIKAFLEX-415 UNIVERSAL WHI.C5048/20UP300</v>
      </c>
      <c r="E778" s="28" t="s">
        <v>1284</v>
      </c>
      <c r="F778" s="29" t="s">
        <v>165</v>
      </c>
      <c r="G778" s="30" t="s">
        <v>26</v>
      </c>
      <c r="H778" s="31">
        <v>300</v>
      </c>
      <c r="I778" s="32" t="s">
        <v>1445</v>
      </c>
      <c r="J778" s="33">
        <v>20</v>
      </c>
      <c r="K778" s="34" t="s">
        <v>8</v>
      </c>
      <c r="L778" s="82">
        <v>25700</v>
      </c>
      <c r="M778" s="35">
        <v>6.7000000000000004E-2</v>
      </c>
    </row>
    <row r="779" spans="1:13" x14ac:dyDescent="0.25">
      <c r="A779" s="26">
        <v>838</v>
      </c>
      <c r="B779" s="26">
        <v>767994</v>
      </c>
      <c r="C779" s="27" t="s">
        <v>1285</v>
      </c>
      <c r="D779" s="27" t="str">
        <f t="shared" si="44"/>
        <v>SIKAFLEX-415 UNIVERSAL C.G.C5048/20UP300</v>
      </c>
      <c r="E779" s="28" t="s">
        <v>1284</v>
      </c>
      <c r="F779" s="29" t="s">
        <v>165</v>
      </c>
      <c r="G779" s="36" t="s">
        <v>14</v>
      </c>
      <c r="H779" s="31">
        <v>300</v>
      </c>
      <c r="I779" s="32" t="s">
        <v>1445</v>
      </c>
      <c r="J779" s="33">
        <v>20</v>
      </c>
      <c r="K779" s="34" t="s">
        <v>8</v>
      </c>
      <c r="L779" s="82">
        <v>25700</v>
      </c>
      <c r="M779" s="35">
        <v>6.7000000000000004E-2</v>
      </c>
    </row>
    <row r="780" spans="1:13" x14ac:dyDescent="0.25">
      <c r="A780" s="26">
        <v>907</v>
      </c>
      <c r="B780" s="26">
        <v>771595</v>
      </c>
      <c r="C780" s="27" t="s">
        <v>1388</v>
      </c>
      <c r="D780" s="27" t="str">
        <f t="shared" si="44"/>
        <v>SIKA-1 UNIVERSAL                 /12X2KG</v>
      </c>
      <c r="E780" s="28" t="s">
        <v>1387</v>
      </c>
      <c r="F780" s="48"/>
      <c r="G780" s="30"/>
      <c r="H780" s="31">
        <v>2</v>
      </c>
      <c r="I780" s="32" t="s">
        <v>50</v>
      </c>
      <c r="J780" s="33">
        <v>12</v>
      </c>
      <c r="K780" s="34" t="s">
        <v>8</v>
      </c>
      <c r="L780" s="82">
        <v>43350</v>
      </c>
      <c r="M780" s="35">
        <v>8.6999999999999994E-2</v>
      </c>
    </row>
    <row r="781" spans="1:13" x14ac:dyDescent="0.25">
      <c r="A781" s="26">
        <v>908</v>
      </c>
      <c r="B781" s="26">
        <v>771596</v>
      </c>
      <c r="C781" s="27" t="s">
        <v>1389</v>
      </c>
      <c r="D781" s="27" t="str">
        <f t="shared" si="44"/>
        <v>SIKA-1 UNIVERSAL                  /6X4KG</v>
      </c>
      <c r="E781" s="28" t="s">
        <v>1387</v>
      </c>
      <c r="F781" s="48"/>
      <c r="G781" s="30"/>
      <c r="H781" s="31">
        <v>4</v>
      </c>
      <c r="I781" s="32" t="s">
        <v>50</v>
      </c>
      <c r="J781" s="33">
        <v>6</v>
      </c>
      <c r="K781" s="34" t="s">
        <v>8</v>
      </c>
      <c r="L781" s="82">
        <v>86450</v>
      </c>
      <c r="M781" s="35">
        <v>8.6999999999999994E-2</v>
      </c>
    </row>
    <row r="782" spans="1:13" x14ac:dyDescent="0.25">
      <c r="A782" s="26">
        <v>755</v>
      </c>
      <c r="B782" s="26">
        <v>771597</v>
      </c>
      <c r="C782" s="27" t="s">
        <v>1178</v>
      </c>
      <c r="D782" s="27" t="str">
        <f t="shared" si="44"/>
        <v>SIKAFILL-50 UNIVERSAL GREY      /4X4,5KG</v>
      </c>
      <c r="E782" s="28" t="s">
        <v>1179</v>
      </c>
      <c r="F782" s="48"/>
      <c r="G782" s="30" t="s">
        <v>14</v>
      </c>
      <c r="H782" s="31">
        <v>4.2</v>
      </c>
      <c r="I782" s="32" t="s">
        <v>50</v>
      </c>
      <c r="J782" s="33">
        <v>4</v>
      </c>
      <c r="K782" s="34" t="s">
        <v>8</v>
      </c>
      <c r="L782" s="82">
        <v>75550</v>
      </c>
      <c r="M782" s="35">
        <v>7.2499999999999995E-2</v>
      </c>
    </row>
    <row r="783" spans="1:13" x14ac:dyDescent="0.25">
      <c r="A783" s="26">
        <v>756</v>
      </c>
      <c r="B783" s="26">
        <v>771598</v>
      </c>
      <c r="C783" s="27" t="s">
        <v>1180</v>
      </c>
      <c r="D783" s="27" t="str">
        <f t="shared" si="44"/>
        <v>SIKAFILL-50 UNIVERSAL WHITE     /4X4,5KG</v>
      </c>
      <c r="E783" s="28" t="s">
        <v>1179</v>
      </c>
      <c r="F783" s="48"/>
      <c r="G783" s="30" t="s">
        <v>15</v>
      </c>
      <c r="H783" s="31">
        <v>4.2</v>
      </c>
      <c r="I783" s="32" t="s">
        <v>50</v>
      </c>
      <c r="J783" s="33">
        <v>4</v>
      </c>
      <c r="K783" s="34" t="s">
        <v>8</v>
      </c>
      <c r="L783" s="82">
        <v>75550</v>
      </c>
      <c r="M783" s="35">
        <v>7.2499999999999995E-2</v>
      </c>
    </row>
    <row r="784" spans="1:13" x14ac:dyDescent="0.25">
      <c r="A784" s="26">
        <v>757</v>
      </c>
      <c r="B784" s="26">
        <v>771599</v>
      </c>
      <c r="C784" s="27" t="s">
        <v>1181</v>
      </c>
      <c r="D784" s="27" t="str">
        <f t="shared" si="44"/>
        <v>SIKAFILL-50 UNIVERSAL  GREY      PL 22KG</v>
      </c>
      <c r="E784" s="28" t="s">
        <v>1179</v>
      </c>
      <c r="F784" s="48"/>
      <c r="G784" s="30" t="s">
        <v>14</v>
      </c>
      <c r="H784" s="31">
        <v>22</v>
      </c>
      <c r="I784" s="32" t="s">
        <v>50</v>
      </c>
      <c r="J784" s="33">
        <v>1</v>
      </c>
      <c r="K784" s="34" t="s">
        <v>8</v>
      </c>
      <c r="L784" s="82">
        <v>302450</v>
      </c>
      <c r="M784" s="35">
        <v>7.2499999999999995E-2</v>
      </c>
    </row>
    <row r="785" spans="1:13" x14ac:dyDescent="0.25">
      <c r="A785" s="26">
        <v>906</v>
      </c>
      <c r="B785" s="26">
        <v>771641</v>
      </c>
      <c r="C785" s="27" t="s">
        <v>1386</v>
      </c>
      <c r="D785" s="27" t="str">
        <f t="shared" si="44"/>
        <v>SIKA-1 UNIVERSAL                 /20X1KG</v>
      </c>
      <c r="E785" s="28" t="s">
        <v>1387</v>
      </c>
      <c r="F785" s="48"/>
      <c r="G785" s="30"/>
      <c r="H785" s="31">
        <v>1</v>
      </c>
      <c r="I785" s="32" t="s">
        <v>50</v>
      </c>
      <c r="J785" s="33">
        <v>20</v>
      </c>
      <c r="K785" s="34" t="s">
        <v>8</v>
      </c>
      <c r="L785" s="82">
        <v>21800</v>
      </c>
      <c r="M785" s="35">
        <v>8.6999999999999994E-2</v>
      </c>
    </row>
    <row r="786" spans="1:13" x14ac:dyDescent="0.25">
      <c r="A786" s="26">
        <v>758</v>
      </c>
      <c r="B786" s="26">
        <v>771660</v>
      </c>
      <c r="C786" s="27" t="s">
        <v>1182</v>
      </c>
      <c r="D786" s="27" t="str">
        <f t="shared" si="44"/>
        <v>SIKAFILL-50 UNIVERSAL WHITE      PL 22KG</v>
      </c>
      <c r="E786" s="28" t="s">
        <v>1179</v>
      </c>
      <c r="F786" s="48"/>
      <c r="G786" s="30" t="s">
        <v>15</v>
      </c>
      <c r="H786" s="31">
        <v>22</v>
      </c>
      <c r="I786" s="32" t="s">
        <v>50</v>
      </c>
      <c r="J786" s="33">
        <v>1</v>
      </c>
      <c r="K786" s="34" t="s">
        <v>8</v>
      </c>
      <c r="L786" s="82">
        <v>302450</v>
      </c>
      <c r="M786" s="35">
        <v>7.2499999999999995E-2</v>
      </c>
    </row>
    <row r="787" spans="1:13" x14ac:dyDescent="0.25">
      <c r="A787" s="26">
        <v>287</v>
      </c>
      <c r="B787" s="26">
        <v>772639</v>
      </c>
      <c r="C787" s="27" t="s">
        <v>596</v>
      </c>
      <c r="D787" s="27" t="str">
        <f t="shared" si="44"/>
        <v>SIKAPLAST-123 UNIVERSAL        /12X2,2KG</v>
      </c>
      <c r="E787" s="28" t="s">
        <v>597</v>
      </c>
      <c r="F787" s="48"/>
      <c r="G787" s="30"/>
      <c r="H787" s="31">
        <v>2.2000000000000002</v>
      </c>
      <c r="I787" s="32" t="s">
        <v>50</v>
      </c>
      <c r="J787" s="33">
        <v>12</v>
      </c>
      <c r="K787" s="34" t="s">
        <v>8</v>
      </c>
      <c r="L787" s="82">
        <v>40750</v>
      </c>
      <c r="M787" s="35">
        <v>6.9999999999999993E-2</v>
      </c>
    </row>
    <row r="788" spans="1:13" x14ac:dyDescent="0.25">
      <c r="A788" s="26">
        <v>288</v>
      </c>
      <c r="B788" s="26">
        <v>772690</v>
      </c>
      <c r="C788" s="27" t="s">
        <v>598</v>
      </c>
      <c r="D788" s="27" t="str">
        <f t="shared" si="44"/>
        <v>SIKAPLAST-123 UNIVERSAL           /6X5KG</v>
      </c>
      <c r="E788" s="28" t="s">
        <v>597</v>
      </c>
      <c r="F788" s="48"/>
      <c r="G788" s="30"/>
      <c r="H788" s="31">
        <v>5</v>
      </c>
      <c r="I788" s="32" t="s">
        <v>50</v>
      </c>
      <c r="J788" s="33">
        <v>6</v>
      </c>
      <c r="K788" s="34" t="s">
        <v>8</v>
      </c>
      <c r="L788" s="82">
        <v>85250</v>
      </c>
      <c r="M788" s="35">
        <v>6.9999999999999993E-2</v>
      </c>
    </row>
    <row r="789" spans="1:13" x14ac:dyDescent="0.25">
      <c r="A789" s="26">
        <v>289</v>
      </c>
      <c r="B789" s="26">
        <v>772691</v>
      </c>
      <c r="C789" s="27" t="s">
        <v>599</v>
      </c>
      <c r="D789" s="27" t="str">
        <f t="shared" si="44"/>
        <v>SIKAPLAST-123 UNIVERSAL          PL 20KG</v>
      </c>
      <c r="E789" s="28" t="s">
        <v>597</v>
      </c>
      <c r="F789" s="48"/>
      <c r="G789" s="30"/>
      <c r="H789" s="31">
        <v>20</v>
      </c>
      <c r="I789" s="32" t="s">
        <v>50</v>
      </c>
      <c r="J789" s="33">
        <v>1</v>
      </c>
      <c r="K789" s="34" t="s">
        <v>8</v>
      </c>
      <c r="L789" s="82">
        <v>303350</v>
      </c>
      <c r="M789" s="35">
        <v>6.9999999999999993E-2</v>
      </c>
    </row>
    <row r="790" spans="1:13" x14ac:dyDescent="0.25">
      <c r="A790" s="26">
        <v>179</v>
      </c>
      <c r="B790" s="26">
        <v>772700</v>
      </c>
      <c r="C790" s="27" t="s">
        <v>429</v>
      </c>
      <c r="D790" s="27" t="str">
        <f t="shared" si="44"/>
        <v>SIKAPLASTOCRETE-123 UNIVERSAL   /6X4,5KG</v>
      </c>
      <c r="E790" s="28" t="s">
        <v>428</v>
      </c>
      <c r="F790" s="48"/>
      <c r="G790" s="30"/>
      <c r="H790" s="31">
        <v>4.5</v>
      </c>
      <c r="I790" s="32" t="s">
        <v>50</v>
      </c>
      <c r="J790" s="33">
        <v>6</v>
      </c>
      <c r="K790" s="34" t="s">
        <v>8</v>
      </c>
      <c r="L790" s="82">
        <v>90900</v>
      </c>
      <c r="M790" s="35">
        <v>6.9999999999999993E-2</v>
      </c>
    </row>
    <row r="791" spans="1:13" x14ac:dyDescent="0.25">
      <c r="A791" s="26">
        <v>180</v>
      </c>
      <c r="B791" s="26">
        <v>772702</v>
      </c>
      <c r="C791" s="27" t="s">
        <v>430</v>
      </c>
      <c r="D791" s="27" t="str">
        <f t="shared" si="44"/>
        <v>SIKAPLASTOCRETE-123 UNIVERSAL    PL 20KG</v>
      </c>
      <c r="E791" s="28" t="s">
        <v>428</v>
      </c>
      <c r="F791" s="48"/>
      <c r="G791" s="30"/>
      <c r="H791" s="31">
        <v>20</v>
      </c>
      <c r="I791" s="32" t="s">
        <v>50</v>
      </c>
      <c r="J791" s="33">
        <v>1</v>
      </c>
      <c r="K791" s="34" t="s">
        <v>8</v>
      </c>
      <c r="L791" s="82">
        <v>368900</v>
      </c>
      <c r="M791" s="35">
        <v>6.9999999999999993E-2</v>
      </c>
    </row>
    <row r="792" spans="1:13" x14ac:dyDescent="0.25">
      <c r="A792" s="26">
        <v>178</v>
      </c>
      <c r="B792" s="26">
        <v>772703</v>
      </c>
      <c r="C792" s="27" t="s">
        <v>427</v>
      </c>
      <c r="D792" s="27" t="str">
        <f t="shared" si="44"/>
        <v>SIKAPLASTOCRETE-123 UNIVERSAL  /12X2,3KG</v>
      </c>
      <c r="E792" s="28" t="s">
        <v>428</v>
      </c>
      <c r="F792" s="48"/>
      <c r="G792" s="30"/>
      <c r="H792" s="31">
        <v>2.2999999999999998</v>
      </c>
      <c r="I792" s="32" t="s">
        <v>50</v>
      </c>
      <c r="J792" s="33">
        <v>12</v>
      </c>
      <c r="K792" s="34" t="s">
        <v>8</v>
      </c>
      <c r="L792" s="82">
        <v>49450</v>
      </c>
      <c r="M792" s="35">
        <v>6.9999999999999993E-2</v>
      </c>
    </row>
    <row r="793" spans="1:13" x14ac:dyDescent="0.25">
      <c r="A793" s="26">
        <v>311</v>
      </c>
      <c r="B793" s="26">
        <v>772710</v>
      </c>
      <c r="C793" s="27" t="s">
        <v>632</v>
      </c>
      <c r="D793" s="27" t="str">
        <f t="shared" si="44"/>
        <v>SIKASET-123 UNIVERSAL          /12X2,6KG</v>
      </c>
      <c r="E793" s="28" t="s">
        <v>633</v>
      </c>
      <c r="F793" s="48"/>
      <c r="G793" s="30"/>
      <c r="H793" s="31">
        <v>2.6</v>
      </c>
      <c r="I793" s="32" t="s">
        <v>50</v>
      </c>
      <c r="J793" s="33">
        <v>12</v>
      </c>
      <c r="K793" s="34" t="s">
        <v>8</v>
      </c>
      <c r="L793" s="82">
        <v>57200</v>
      </c>
      <c r="M793" s="35">
        <v>6.9999999999999993E-2</v>
      </c>
    </row>
    <row r="794" spans="1:13" x14ac:dyDescent="0.25">
      <c r="A794" s="26">
        <v>312</v>
      </c>
      <c r="B794" s="26">
        <v>772711</v>
      </c>
      <c r="C794" s="27" t="s">
        <v>634</v>
      </c>
      <c r="D794" s="27" t="str">
        <f t="shared" si="44"/>
        <v>SIKASET-123 UNIVERSAL             /6X5KG</v>
      </c>
      <c r="E794" s="28" t="s">
        <v>633</v>
      </c>
      <c r="F794" s="48"/>
      <c r="G794" s="30"/>
      <c r="H794" s="31">
        <v>5</v>
      </c>
      <c r="I794" s="32" t="s">
        <v>50</v>
      </c>
      <c r="J794" s="33">
        <v>6</v>
      </c>
      <c r="K794" s="34" t="s">
        <v>8</v>
      </c>
      <c r="L794" s="82">
        <v>99900</v>
      </c>
      <c r="M794" s="35">
        <v>6.9999999999999993E-2</v>
      </c>
    </row>
    <row r="795" spans="1:13" x14ac:dyDescent="0.25">
      <c r="A795" s="26">
        <v>313</v>
      </c>
      <c r="B795" s="26">
        <v>772712</v>
      </c>
      <c r="C795" s="27" t="s">
        <v>635</v>
      </c>
      <c r="D795" s="27" t="str">
        <f t="shared" si="44"/>
        <v>SIKASET-123 UNIVERSAL            PL 25KG</v>
      </c>
      <c r="E795" s="28" t="s">
        <v>633</v>
      </c>
      <c r="F795" s="48"/>
      <c r="G795" s="30"/>
      <c r="H795" s="31">
        <v>25</v>
      </c>
      <c r="I795" s="32" t="s">
        <v>50</v>
      </c>
      <c r="J795" s="33">
        <v>1</v>
      </c>
      <c r="K795" s="34" t="s">
        <v>8</v>
      </c>
      <c r="L795" s="82">
        <v>438700</v>
      </c>
      <c r="M795" s="35">
        <v>6.9999999999999993E-2</v>
      </c>
    </row>
    <row r="796" spans="1:13" x14ac:dyDescent="0.25">
      <c r="A796" s="26">
        <v>830</v>
      </c>
      <c r="B796" s="26">
        <v>772912</v>
      </c>
      <c r="C796" s="27" t="s">
        <v>1275</v>
      </c>
      <c r="D796" s="27" t="str">
        <f t="shared" si="44"/>
        <v>SIKAFLEX-1A PLUS PURF.C.GR.C5048/20UP600</v>
      </c>
      <c r="E796" s="28" t="s">
        <v>1274</v>
      </c>
      <c r="F796" s="29"/>
      <c r="G796" s="30" t="s">
        <v>14</v>
      </c>
      <c r="H796" s="31">
        <v>600</v>
      </c>
      <c r="I796" s="32" t="s">
        <v>1445</v>
      </c>
      <c r="J796" s="33">
        <v>20</v>
      </c>
      <c r="K796" s="34" t="s">
        <v>8</v>
      </c>
      <c r="L796" s="82">
        <v>81700</v>
      </c>
      <c r="M796" s="35">
        <v>6.7000000000000004E-2</v>
      </c>
    </row>
    <row r="797" spans="1:13" x14ac:dyDescent="0.25">
      <c r="A797" s="26">
        <v>825</v>
      </c>
      <c r="B797" s="26">
        <v>775050</v>
      </c>
      <c r="C797" s="27" t="s">
        <v>1265</v>
      </c>
      <c r="D797" s="27" t="str">
        <f t="shared" si="44"/>
        <v>SIKAFLEX-11FC PURFORM WHI.C5051/12CTR300</v>
      </c>
      <c r="E797" s="28" t="s">
        <v>1266</v>
      </c>
      <c r="F797" s="29"/>
      <c r="G797" s="30"/>
      <c r="H797" s="31">
        <v>300</v>
      </c>
      <c r="I797" s="32" t="s">
        <v>1445</v>
      </c>
      <c r="J797" s="33">
        <v>12</v>
      </c>
      <c r="K797" s="34" t="s">
        <v>8</v>
      </c>
      <c r="L797" s="82">
        <v>42100</v>
      </c>
      <c r="M797" s="35">
        <v>6.7000000000000004E-2</v>
      </c>
    </row>
    <row r="798" spans="1:13" x14ac:dyDescent="0.25">
      <c r="A798" s="26">
        <v>278</v>
      </c>
      <c r="B798" s="26">
        <v>776987</v>
      </c>
      <c r="C798" s="27" t="s">
        <v>583</v>
      </c>
      <c r="D798" s="27" t="str">
        <f t="shared" si="44"/>
        <v>SIKAPLAST GL 340               TANKER KG</v>
      </c>
      <c r="E798" s="28" t="s">
        <v>584</v>
      </c>
      <c r="F798" s="47"/>
      <c r="G798" s="30"/>
      <c r="H798" s="31">
        <v>0</v>
      </c>
      <c r="I798" s="32" t="s">
        <v>50</v>
      </c>
      <c r="J798" s="33">
        <v>1</v>
      </c>
      <c r="K798" s="34" t="s">
        <v>8</v>
      </c>
      <c r="L798" s="82">
        <v>12600</v>
      </c>
      <c r="M798" s="35">
        <v>0.08</v>
      </c>
    </row>
    <row r="799" spans="1:13" x14ac:dyDescent="0.25">
      <c r="A799" s="26">
        <v>254</v>
      </c>
      <c r="B799" s="26">
        <v>776997</v>
      </c>
      <c r="C799" s="27" t="s">
        <v>540</v>
      </c>
      <c r="D799" s="27" t="str">
        <f t="shared" si="44"/>
        <v>SIKACONTROL-920 AER             TANKER KG</v>
      </c>
      <c r="E799" s="28" t="s">
        <v>541</v>
      </c>
      <c r="F799" s="29"/>
      <c r="G799" s="30"/>
      <c r="H799" s="31">
        <v>1</v>
      </c>
      <c r="I799" s="32" t="s">
        <v>50</v>
      </c>
      <c r="J799" s="33">
        <v>1</v>
      </c>
      <c r="K799" s="34" t="s">
        <v>8</v>
      </c>
      <c r="L799" s="82">
        <v>3600</v>
      </c>
      <c r="M799" s="35">
        <v>0.08</v>
      </c>
    </row>
    <row r="800" spans="1:13" x14ac:dyDescent="0.25">
      <c r="A800" s="91">
        <v>393</v>
      </c>
      <c r="B800" s="91">
        <v>776998</v>
      </c>
      <c r="C800" s="92" t="s">
        <v>743</v>
      </c>
      <c r="D800" s="121" t="str">
        <f>CONCATENATE(UPPER(C800),$D$3)</f>
        <v>SIKAEMACO S 488 V2        COL    BG 25KG "E"</v>
      </c>
      <c r="E800" s="93" t="s">
        <v>744</v>
      </c>
      <c r="F800" s="102"/>
      <c r="G800" s="103"/>
      <c r="H800" s="96">
        <v>25</v>
      </c>
      <c r="I800" s="97" t="s">
        <v>50</v>
      </c>
      <c r="J800" s="104">
        <v>4</v>
      </c>
      <c r="K800" s="105" t="s">
        <v>8</v>
      </c>
      <c r="L800" s="82">
        <v>117100</v>
      </c>
      <c r="M800" s="100">
        <v>8.199999999999999E-2</v>
      </c>
    </row>
    <row r="801" spans="1:13" x14ac:dyDescent="0.25">
      <c r="A801" s="26">
        <v>303</v>
      </c>
      <c r="B801" s="26">
        <v>777010</v>
      </c>
      <c r="C801" s="27" t="s">
        <v>622</v>
      </c>
      <c r="D801" s="27" t="str">
        <f t="shared" ref="D801:D811" si="45">UPPER(C801)</f>
        <v>SIKARAPID AC 122 V1       COL  CO 1335KG</v>
      </c>
      <c r="E801" s="28" t="s">
        <v>620</v>
      </c>
      <c r="F801" s="47"/>
      <c r="G801" s="30"/>
      <c r="H801" s="31">
        <v>1335</v>
      </c>
      <c r="I801" s="32" t="s">
        <v>50</v>
      </c>
      <c r="J801" s="33">
        <v>1</v>
      </c>
      <c r="K801" s="34" t="s">
        <v>8</v>
      </c>
      <c r="L801" s="82">
        <v>9748750</v>
      </c>
      <c r="M801" s="35">
        <v>0.08</v>
      </c>
    </row>
    <row r="802" spans="1:13" x14ac:dyDescent="0.25">
      <c r="A802" s="26">
        <v>210</v>
      </c>
      <c r="B802" s="26">
        <v>777011</v>
      </c>
      <c r="C802" s="27" t="s">
        <v>473</v>
      </c>
      <c r="D802" s="27" t="str">
        <f t="shared" si="45"/>
        <v>SIKASTABILIZER DELVO     COL  DR 223,6KG</v>
      </c>
      <c r="E802" s="28" t="s">
        <v>472</v>
      </c>
      <c r="F802" s="47"/>
      <c r="G802" s="30"/>
      <c r="H802" s="31">
        <v>223.6</v>
      </c>
      <c r="I802" s="32" t="s">
        <v>50</v>
      </c>
      <c r="J802" s="33">
        <v>1</v>
      </c>
      <c r="K802" s="34" t="s">
        <v>8</v>
      </c>
      <c r="L802" s="82">
        <v>1796450</v>
      </c>
      <c r="M802" s="35">
        <v>0.08</v>
      </c>
    </row>
    <row r="803" spans="1:13" x14ac:dyDescent="0.25">
      <c r="A803" s="26">
        <v>154</v>
      </c>
      <c r="B803" s="26">
        <v>777013</v>
      </c>
      <c r="C803" s="27" t="s">
        <v>392</v>
      </c>
      <c r="D803" s="27" t="str">
        <f t="shared" si="45"/>
        <v>SIKAPLASTIMENT R 790           TANKER KG</v>
      </c>
      <c r="E803" s="28" t="s">
        <v>393</v>
      </c>
      <c r="F803" s="47"/>
      <c r="G803" s="30"/>
      <c r="H803" s="31">
        <v>0</v>
      </c>
      <c r="I803" s="32" t="s">
        <v>50</v>
      </c>
      <c r="J803" s="33">
        <v>1</v>
      </c>
      <c r="K803" s="34" t="s">
        <v>8</v>
      </c>
      <c r="L803" s="82">
        <v>7100</v>
      </c>
      <c r="M803" s="35">
        <v>6.9999999999999993E-2</v>
      </c>
    </row>
    <row r="804" spans="1:13" x14ac:dyDescent="0.25">
      <c r="A804" s="26">
        <v>221</v>
      </c>
      <c r="B804" s="26">
        <v>777283</v>
      </c>
      <c r="C804" s="27" t="s">
        <v>491</v>
      </c>
      <c r="D804" s="27" t="str">
        <f t="shared" si="45"/>
        <v>SIKAVISCOCRETE GL 357          TANKER KG</v>
      </c>
      <c r="E804" s="28" t="s">
        <v>492</v>
      </c>
      <c r="F804" s="47"/>
      <c r="G804" s="30"/>
      <c r="H804" s="31">
        <v>0</v>
      </c>
      <c r="I804" s="32" t="s">
        <v>50</v>
      </c>
      <c r="J804" s="33">
        <v>1</v>
      </c>
      <c r="K804" s="34" t="s">
        <v>8</v>
      </c>
      <c r="L804" s="82">
        <v>14250</v>
      </c>
      <c r="M804" s="35">
        <v>6.0000000000000005E-2</v>
      </c>
    </row>
    <row r="805" spans="1:13" x14ac:dyDescent="0.25">
      <c r="A805" s="26">
        <v>279</v>
      </c>
      <c r="B805" s="26">
        <v>777288</v>
      </c>
      <c r="C805" s="27" t="s">
        <v>585</v>
      </c>
      <c r="D805" s="27" t="str">
        <f t="shared" si="45"/>
        <v>SIKAPLAST GL 7975              TANKER KG</v>
      </c>
      <c r="E805" s="28" t="s">
        <v>586</v>
      </c>
      <c r="F805" s="47"/>
      <c r="G805" s="30"/>
      <c r="H805" s="31">
        <v>0</v>
      </c>
      <c r="I805" s="32" t="s">
        <v>50</v>
      </c>
      <c r="J805" s="33">
        <v>1</v>
      </c>
      <c r="K805" s="34" t="s">
        <v>8</v>
      </c>
      <c r="L805" s="82">
        <v>17800</v>
      </c>
      <c r="M805" s="35">
        <v>0.08</v>
      </c>
    </row>
    <row r="806" spans="1:13" x14ac:dyDescent="0.25">
      <c r="A806" s="26">
        <v>280</v>
      </c>
      <c r="B806" s="26">
        <v>777300</v>
      </c>
      <c r="C806" s="27" t="s">
        <v>587</v>
      </c>
      <c r="D806" s="27" t="str">
        <f t="shared" si="45"/>
        <v>SIKAPLAST GL 9040              TANKER KG</v>
      </c>
      <c r="E806" s="28" t="s">
        <v>588</v>
      </c>
      <c r="F806" s="47"/>
      <c r="G806" s="30"/>
      <c r="H806" s="31">
        <v>0</v>
      </c>
      <c r="I806" s="32" t="s">
        <v>50</v>
      </c>
      <c r="J806" s="33">
        <v>1</v>
      </c>
      <c r="K806" s="34" t="s">
        <v>8</v>
      </c>
      <c r="L806" s="82">
        <v>19200</v>
      </c>
      <c r="M806" s="35">
        <v>0.08</v>
      </c>
    </row>
    <row r="807" spans="1:13" s="54" customFormat="1" ht="12.75" x14ac:dyDescent="0.2">
      <c r="A807" s="26">
        <v>217</v>
      </c>
      <c r="B807" s="26">
        <v>777302</v>
      </c>
      <c r="C807" s="27" t="s">
        <v>484</v>
      </c>
      <c r="D807" s="27" t="str">
        <f t="shared" si="45"/>
        <v>SIKAVISCOCRETE ACE 310         TANKER KG</v>
      </c>
      <c r="E807" s="28" t="s">
        <v>485</v>
      </c>
      <c r="F807" s="47"/>
      <c r="G807" s="41"/>
      <c r="H807" s="31">
        <v>0</v>
      </c>
      <c r="I807" s="32" t="s">
        <v>50</v>
      </c>
      <c r="J807" s="33">
        <v>1</v>
      </c>
      <c r="K807" s="34" t="s">
        <v>8</v>
      </c>
      <c r="L807" s="82">
        <v>20350</v>
      </c>
      <c r="M807" s="35">
        <v>0.03</v>
      </c>
    </row>
    <row r="808" spans="1:13" s="51" customFormat="1" ht="12.75" x14ac:dyDescent="0.2">
      <c r="A808" s="26">
        <v>219</v>
      </c>
      <c r="B808" s="26">
        <v>777303</v>
      </c>
      <c r="C808" s="27" t="s">
        <v>487</v>
      </c>
      <c r="D808" s="27" t="str">
        <f t="shared" si="45"/>
        <v>SIKAVISCOCRETE ACE 45          TANKER KG</v>
      </c>
      <c r="E808" s="28" t="s">
        <v>488</v>
      </c>
      <c r="F808" s="47"/>
      <c r="G808" s="41"/>
      <c r="H808" s="31">
        <v>0</v>
      </c>
      <c r="I808" s="32" t="s">
        <v>50</v>
      </c>
      <c r="J808" s="33">
        <v>1</v>
      </c>
      <c r="K808" s="34" t="s">
        <v>8</v>
      </c>
      <c r="L808" s="82">
        <v>22200</v>
      </c>
      <c r="M808" s="35">
        <v>0.04</v>
      </c>
    </row>
    <row r="809" spans="1:13" x14ac:dyDescent="0.25">
      <c r="A809" s="26">
        <v>264</v>
      </c>
      <c r="B809" s="26">
        <v>777304</v>
      </c>
      <c r="C809" s="27" t="s">
        <v>559</v>
      </c>
      <c r="D809" s="27" t="str">
        <f t="shared" si="45"/>
        <v>SIKAMENT PH 2040               TANKER KG</v>
      </c>
      <c r="E809" s="28" t="s">
        <v>560</v>
      </c>
      <c r="F809" s="47"/>
      <c r="G809" s="30"/>
      <c r="H809" s="31">
        <v>0</v>
      </c>
      <c r="I809" s="32" t="s">
        <v>50</v>
      </c>
      <c r="J809" s="33">
        <v>1</v>
      </c>
      <c r="K809" s="34" t="s">
        <v>8</v>
      </c>
      <c r="L809" s="82">
        <v>6400</v>
      </c>
      <c r="M809" s="35">
        <v>0.08</v>
      </c>
    </row>
    <row r="810" spans="1:13" x14ac:dyDescent="0.25">
      <c r="A810" s="26">
        <v>177</v>
      </c>
      <c r="B810" s="26">
        <v>777305</v>
      </c>
      <c r="C810" s="27" t="s">
        <v>425</v>
      </c>
      <c r="D810" s="27" t="str">
        <f t="shared" si="45"/>
        <v>SIKAPLASTOCRETE PH 753         TANKER KG</v>
      </c>
      <c r="E810" s="28" t="s">
        <v>426</v>
      </c>
      <c r="F810" s="47"/>
      <c r="G810" s="30"/>
      <c r="H810" s="31">
        <v>0</v>
      </c>
      <c r="I810" s="32" t="s">
        <v>50</v>
      </c>
      <c r="J810" s="33">
        <v>1</v>
      </c>
      <c r="K810" s="34" t="s">
        <v>8</v>
      </c>
      <c r="L810" s="82">
        <v>4900</v>
      </c>
      <c r="M810" s="35">
        <v>0.08</v>
      </c>
    </row>
    <row r="811" spans="1:13" x14ac:dyDescent="0.25">
      <c r="A811" s="26">
        <v>268</v>
      </c>
      <c r="B811" s="26">
        <v>777306</v>
      </c>
      <c r="C811" s="27" t="s">
        <v>567</v>
      </c>
      <c r="D811" s="27" t="str">
        <f t="shared" si="45"/>
        <v>SIKAMENT PH 853                TANKER KG</v>
      </c>
      <c r="E811" s="28" t="s">
        <v>568</v>
      </c>
      <c r="F811" s="47"/>
      <c r="G811" s="30"/>
      <c r="H811" s="31">
        <v>0</v>
      </c>
      <c r="I811" s="32" t="s">
        <v>50</v>
      </c>
      <c r="J811" s="33">
        <v>1</v>
      </c>
      <c r="K811" s="34" t="s">
        <v>8</v>
      </c>
      <c r="L811" s="82">
        <v>5150</v>
      </c>
      <c r="M811" s="35">
        <v>0.08</v>
      </c>
    </row>
    <row r="812" spans="1:13" x14ac:dyDescent="0.25">
      <c r="A812" s="91">
        <v>392</v>
      </c>
      <c r="B812" s="91">
        <v>777370</v>
      </c>
      <c r="C812" s="92" t="s">
        <v>741</v>
      </c>
      <c r="D812" s="121" t="str">
        <f>CONCATENATE(UPPER(C812),$D$3)</f>
        <v>SIKAEMACO S 469                  BG 25KG "E"</v>
      </c>
      <c r="E812" s="93" t="s">
        <v>742</v>
      </c>
      <c r="F812" s="102"/>
      <c r="G812" s="103"/>
      <c r="H812" s="96">
        <v>25</v>
      </c>
      <c r="I812" s="97" t="s">
        <v>50</v>
      </c>
      <c r="J812" s="104">
        <v>3</v>
      </c>
      <c r="K812" s="105" t="s">
        <v>8</v>
      </c>
      <c r="L812" s="82">
        <v>81950</v>
      </c>
      <c r="M812" s="100">
        <v>8.199999999999999E-2</v>
      </c>
    </row>
    <row r="813" spans="1:13" x14ac:dyDescent="0.25">
      <c r="A813" s="26">
        <v>191</v>
      </c>
      <c r="B813" s="26">
        <v>777983</v>
      </c>
      <c r="C813" s="27" t="s">
        <v>446</v>
      </c>
      <c r="D813" s="27" t="str">
        <f t="shared" ref="D813:D821" si="46">UPPER(C813)</f>
        <v>SIKASEPAROL RL 250              DR 180KG</v>
      </c>
      <c r="E813" s="28" t="s">
        <v>445</v>
      </c>
      <c r="F813" s="47"/>
      <c r="G813" s="30"/>
      <c r="H813" s="31">
        <v>180</v>
      </c>
      <c r="I813" s="32" t="s">
        <v>50</v>
      </c>
      <c r="J813" s="33">
        <v>1</v>
      </c>
      <c r="K813" s="34" t="s">
        <v>8</v>
      </c>
      <c r="L813" s="82">
        <v>2078450</v>
      </c>
      <c r="M813" s="35">
        <v>0.09</v>
      </c>
    </row>
    <row r="814" spans="1:13" s="55" customFormat="1" ht="18.75" x14ac:dyDescent="0.25">
      <c r="A814" s="26">
        <v>193</v>
      </c>
      <c r="B814" s="26">
        <v>777984</v>
      </c>
      <c r="C814" s="27" t="s">
        <v>449</v>
      </c>
      <c r="D814" s="27" t="str">
        <f t="shared" si="46"/>
        <v>SIKASEPAROL RL 258              DR 170KG</v>
      </c>
      <c r="E814" s="28" t="s">
        <v>448</v>
      </c>
      <c r="F814" s="86"/>
      <c r="G814" s="30"/>
      <c r="H814" s="31">
        <v>170</v>
      </c>
      <c r="I814" s="32" t="s">
        <v>50</v>
      </c>
      <c r="J814" s="33">
        <v>1</v>
      </c>
      <c r="K814" s="34" t="s">
        <v>8</v>
      </c>
      <c r="L814" s="82">
        <v>3033900</v>
      </c>
      <c r="M814" s="35">
        <v>0.04</v>
      </c>
    </row>
    <row r="815" spans="1:13" x14ac:dyDescent="0.25">
      <c r="A815" s="26">
        <v>194</v>
      </c>
      <c r="B815" s="26">
        <v>777985</v>
      </c>
      <c r="C815" s="27" t="s">
        <v>450</v>
      </c>
      <c r="D815" s="27" t="str">
        <f t="shared" si="46"/>
        <v>SIKASEPAROL RL 280              DR 180KG</v>
      </c>
      <c r="E815" s="28" t="s">
        <v>451</v>
      </c>
      <c r="F815" s="47"/>
      <c r="G815" s="30"/>
      <c r="H815" s="31">
        <v>180</v>
      </c>
      <c r="I815" s="32" t="s">
        <v>50</v>
      </c>
      <c r="J815" s="33">
        <v>1</v>
      </c>
      <c r="K815" s="34" t="s">
        <v>8</v>
      </c>
      <c r="L815" s="82">
        <v>2393200</v>
      </c>
      <c r="M815" s="35">
        <v>6.9999999999999993E-2</v>
      </c>
    </row>
    <row r="816" spans="1:13" x14ac:dyDescent="0.25">
      <c r="A816" s="26">
        <v>218</v>
      </c>
      <c r="B816" s="26">
        <v>778053</v>
      </c>
      <c r="C816" s="27" t="s">
        <v>486</v>
      </c>
      <c r="D816" s="27" t="str">
        <f t="shared" si="46"/>
        <v>SIKAVISCOCRETE ACE 310         CO 1080KG</v>
      </c>
      <c r="E816" s="28" t="s">
        <v>485</v>
      </c>
      <c r="F816" s="47"/>
      <c r="G816" s="30"/>
      <c r="H816" s="31">
        <v>1080</v>
      </c>
      <c r="I816" s="32" t="s">
        <v>50</v>
      </c>
      <c r="J816" s="33">
        <v>1</v>
      </c>
      <c r="K816" s="34" t="s">
        <v>8</v>
      </c>
      <c r="L816" s="82">
        <v>23106700</v>
      </c>
      <c r="M816" s="35">
        <v>0.03</v>
      </c>
    </row>
    <row r="817" spans="1:13" x14ac:dyDescent="0.25">
      <c r="A817" s="26">
        <v>246</v>
      </c>
      <c r="B817" s="26">
        <v>778186</v>
      </c>
      <c r="C817" s="27" t="s">
        <v>528</v>
      </c>
      <c r="D817" s="27" t="str">
        <f t="shared" si="46"/>
        <v>SIKACONTROL-100 D                BG 20KG</v>
      </c>
      <c r="E817" s="28" t="s">
        <v>529</v>
      </c>
      <c r="F817" s="47"/>
      <c r="G817" s="30"/>
      <c r="H817" s="31">
        <v>20</v>
      </c>
      <c r="I817" s="32" t="s">
        <v>50</v>
      </c>
      <c r="J817" s="33">
        <v>1</v>
      </c>
      <c r="K817" s="34" t="s">
        <v>8</v>
      </c>
      <c r="L817" s="82">
        <v>165100</v>
      </c>
      <c r="M817" s="35">
        <v>6.0000000000000005E-2</v>
      </c>
    </row>
    <row r="818" spans="1:13" s="50" customFormat="1" ht="12.75" x14ac:dyDescent="0.2">
      <c r="A818" s="26">
        <v>192</v>
      </c>
      <c r="B818" s="26">
        <v>781341</v>
      </c>
      <c r="C818" s="27" t="s">
        <v>447</v>
      </c>
      <c r="D818" s="27" t="str">
        <f t="shared" si="46"/>
        <v>SIKASEPAROL RL 258               KA 15KG</v>
      </c>
      <c r="E818" s="28" t="s">
        <v>448</v>
      </c>
      <c r="F818" s="29"/>
      <c r="G818" s="30"/>
      <c r="H818" s="31">
        <v>0</v>
      </c>
      <c r="I818" s="32" t="s">
        <v>50</v>
      </c>
      <c r="J818" s="33">
        <v>1</v>
      </c>
      <c r="K818" s="34" t="s">
        <v>8</v>
      </c>
      <c r="L818" s="82">
        <v>368600</v>
      </c>
      <c r="M818" s="35">
        <v>0.04</v>
      </c>
    </row>
    <row r="819" spans="1:13" x14ac:dyDescent="0.25">
      <c r="A819" s="26">
        <v>223</v>
      </c>
      <c r="B819" s="26">
        <v>781368</v>
      </c>
      <c r="C819" s="27" t="s">
        <v>494</v>
      </c>
      <c r="D819" s="27" t="str">
        <f t="shared" si="46"/>
        <v>SIKAVISCOCRETE GL 357          CO 1065KG</v>
      </c>
      <c r="E819" s="28" t="s">
        <v>492</v>
      </c>
      <c r="F819" s="47"/>
      <c r="G819" s="30"/>
      <c r="H819" s="31">
        <v>1065</v>
      </c>
      <c r="I819" s="32" t="s">
        <v>50</v>
      </c>
      <c r="J819" s="33">
        <v>1</v>
      </c>
      <c r="K819" s="34" t="s">
        <v>8</v>
      </c>
      <c r="L819" s="82">
        <v>14823750</v>
      </c>
      <c r="M819" s="35">
        <v>6.0000000000000005E-2</v>
      </c>
    </row>
    <row r="820" spans="1:13" x14ac:dyDescent="0.25">
      <c r="A820" s="26">
        <v>222</v>
      </c>
      <c r="B820" s="26">
        <v>781420</v>
      </c>
      <c r="C820" s="27" t="s">
        <v>493</v>
      </c>
      <c r="D820" s="27" t="str">
        <f t="shared" si="46"/>
        <v>SIKAVISCOCRETE GL 357         DR 221,5KG</v>
      </c>
      <c r="E820" s="28" t="s">
        <v>492</v>
      </c>
      <c r="F820" s="47"/>
      <c r="G820" s="30"/>
      <c r="H820" s="31">
        <v>221.5</v>
      </c>
      <c r="I820" s="32" t="s">
        <v>50</v>
      </c>
      <c r="J820" s="33">
        <v>1</v>
      </c>
      <c r="K820" s="34" t="s">
        <v>8</v>
      </c>
      <c r="L820" s="82">
        <v>3455100</v>
      </c>
      <c r="M820" s="35">
        <v>0.08</v>
      </c>
    </row>
    <row r="821" spans="1:13" x14ac:dyDescent="0.25">
      <c r="A821" s="26">
        <v>182</v>
      </c>
      <c r="B821" s="26">
        <v>782025</v>
      </c>
      <c r="C821" s="27" t="s">
        <v>433</v>
      </c>
      <c r="D821" s="27" t="str">
        <f t="shared" si="46"/>
        <v>SIKARETARDER R 780             CO 1229KG</v>
      </c>
      <c r="E821" s="28" t="s">
        <v>432</v>
      </c>
      <c r="F821" s="47"/>
      <c r="G821" s="30"/>
      <c r="H821" s="31">
        <v>1229</v>
      </c>
      <c r="I821" s="32" t="s">
        <v>50</v>
      </c>
      <c r="J821" s="33">
        <v>1</v>
      </c>
      <c r="K821" s="34" t="s">
        <v>8</v>
      </c>
      <c r="L821" s="82">
        <v>10523400</v>
      </c>
      <c r="M821" s="35">
        <v>0.09</v>
      </c>
    </row>
    <row r="822" spans="1:13" x14ac:dyDescent="0.25">
      <c r="A822" s="91">
        <v>653</v>
      </c>
      <c r="B822" s="91">
        <v>782144</v>
      </c>
      <c r="C822" s="92" t="s">
        <v>1053</v>
      </c>
      <c r="D822" s="121" t="str">
        <f>CONCATENATE(UPPER(C822),$D$3)</f>
        <v>SIKAGARD-1146 (AB) WHITE          /3X5KG "E"</v>
      </c>
      <c r="E822" s="93" t="s">
        <v>1054</v>
      </c>
      <c r="F822" s="102"/>
      <c r="G822" s="103"/>
      <c r="H822" s="96">
        <v>3.5</v>
      </c>
      <c r="I822" s="97" t="s">
        <v>50</v>
      </c>
      <c r="J822" s="104">
        <v>14</v>
      </c>
      <c r="K822" s="105" t="s">
        <v>8</v>
      </c>
      <c r="L822" s="82">
        <v>397900</v>
      </c>
      <c r="M822" s="100">
        <v>8.199999999999999E-2</v>
      </c>
    </row>
    <row r="823" spans="1:13" x14ac:dyDescent="0.25">
      <c r="A823" s="91">
        <v>780</v>
      </c>
      <c r="B823" s="91">
        <v>784226</v>
      </c>
      <c r="C823" s="92" t="s">
        <v>1208</v>
      </c>
      <c r="D823" s="121" t="str">
        <f>CONCATENATE(UPPER(C823),$D$3)</f>
        <v>SIKALASTIC-701 CO (AB) DARK GREY  12,5KG "E"</v>
      </c>
      <c r="E823" s="93" t="s">
        <v>1209</v>
      </c>
      <c r="F823" s="102"/>
      <c r="G823" s="95"/>
      <c r="H823" s="96">
        <v>12.5</v>
      </c>
      <c r="I823" s="97" t="s">
        <v>50</v>
      </c>
      <c r="J823" s="98">
        <v>1</v>
      </c>
      <c r="K823" s="99" t="s">
        <v>8</v>
      </c>
      <c r="L823" s="82">
        <v>1301900</v>
      </c>
      <c r="M823" s="100">
        <v>7.2499999999999995E-2</v>
      </c>
    </row>
    <row r="824" spans="1:13" x14ac:dyDescent="0.25">
      <c r="A824" s="26">
        <v>769</v>
      </c>
      <c r="B824" s="26">
        <v>784503</v>
      </c>
      <c r="C824" s="27" t="s">
        <v>1194</v>
      </c>
      <c r="D824" s="27" t="str">
        <f t="shared" ref="D824:D832" si="47">UPPER(C824)</f>
        <v>SIKAFILL-7 POWER CO RED          PL 22KG</v>
      </c>
      <c r="E824" s="28" t="s">
        <v>1184</v>
      </c>
      <c r="F824" s="29"/>
      <c r="G824" s="30" t="s">
        <v>48</v>
      </c>
      <c r="H824" s="31">
        <v>22</v>
      </c>
      <c r="I824" s="32" t="s">
        <v>50</v>
      </c>
      <c r="J824" s="33">
        <v>1</v>
      </c>
      <c r="K824" s="34" t="s">
        <v>8</v>
      </c>
      <c r="L824" s="82">
        <v>327450</v>
      </c>
      <c r="M824" s="35">
        <v>1.2500000000000001E-2</v>
      </c>
    </row>
    <row r="825" spans="1:13" x14ac:dyDescent="0.25">
      <c r="A825" s="26">
        <v>740</v>
      </c>
      <c r="B825" s="26">
        <v>784504</v>
      </c>
      <c r="C825" s="27" t="s">
        <v>1160</v>
      </c>
      <c r="D825" s="27" t="str">
        <f t="shared" si="47"/>
        <v>SIKAFILL-12 POWER GREY           PL 22KG</v>
      </c>
      <c r="E825" s="28" t="s">
        <v>1155</v>
      </c>
      <c r="F825" s="29"/>
      <c r="G825" s="30" t="s">
        <v>14</v>
      </c>
      <c r="H825" s="31">
        <v>22</v>
      </c>
      <c r="I825" s="32" t="s">
        <v>50</v>
      </c>
      <c r="J825" s="33">
        <v>1</v>
      </c>
      <c r="K825" s="34" t="s">
        <v>8</v>
      </c>
      <c r="L825" s="82">
        <v>475800</v>
      </c>
      <c r="M825" s="35">
        <v>6.25E-2</v>
      </c>
    </row>
    <row r="826" spans="1:13" x14ac:dyDescent="0.25">
      <c r="A826" s="26">
        <v>768</v>
      </c>
      <c r="B826" s="26">
        <v>784588</v>
      </c>
      <c r="C826" s="27" t="s">
        <v>1193</v>
      </c>
      <c r="D826" s="27" t="str">
        <f t="shared" si="47"/>
        <v>SIKAFILL-7 POWER CO GREY         PL 22KG</v>
      </c>
      <c r="E826" s="28" t="s">
        <v>1184</v>
      </c>
      <c r="F826" s="29"/>
      <c r="G826" s="30" t="s">
        <v>14</v>
      </c>
      <c r="H826" s="31">
        <v>22</v>
      </c>
      <c r="I826" s="32" t="s">
        <v>50</v>
      </c>
      <c r="J826" s="33">
        <v>1</v>
      </c>
      <c r="K826" s="34" t="s">
        <v>8</v>
      </c>
      <c r="L826" s="82">
        <v>327450</v>
      </c>
      <c r="M826" s="35">
        <v>1.2500000000000001E-2</v>
      </c>
    </row>
    <row r="827" spans="1:13" x14ac:dyDescent="0.25">
      <c r="A827" s="26">
        <v>742</v>
      </c>
      <c r="B827" s="26">
        <v>784594</v>
      </c>
      <c r="C827" s="27" t="s">
        <v>1162</v>
      </c>
      <c r="D827" s="27" t="str">
        <f t="shared" si="47"/>
        <v>SIKAFILL-12 POWER WHITE          PL 22KG</v>
      </c>
      <c r="E827" s="28" t="s">
        <v>1155</v>
      </c>
      <c r="F827" s="29"/>
      <c r="G827" s="30" t="s">
        <v>15</v>
      </c>
      <c r="H827" s="31">
        <v>22</v>
      </c>
      <c r="I827" s="32" t="s">
        <v>50</v>
      </c>
      <c r="J827" s="33">
        <v>1</v>
      </c>
      <c r="K827" s="34" t="s">
        <v>8</v>
      </c>
      <c r="L827" s="82">
        <v>483000</v>
      </c>
      <c r="M827" s="35">
        <v>6.25E-2</v>
      </c>
    </row>
    <row r="828" spans="1:13" x14ac:dyDescent="0.25">
      <c r="A828" s="26">
        <v>739</v>
      </c>
      <c r="B828" s="26">
        <v>784595</v>
      </c>
      <c r="C828" s="27" t="s">
        <v>1159</v>
      </c>
      <c r="D828" s="27" t="str">
        <f t="shared" si="47"/>
        <v>SIKAFILL-12 POWER GREEN          PL 22KG</v>
      </c>
      <c r="E828" s="28" t="s">
        <v>1155</v>
      </c>
      <c r="F828" s="29"/>
      <c r="G828" s="30" t="s">
        <v>110</v>
      </c>
      <c r="H828" s="31">
        <v>22</v>
      </c>
      <c r="I828" s="32" t="s">
        <v>50</v>
      </c>
      <c r="J828" s="33">
        <v>1</v>
      </c>
      <c r="K828" s="34" t="s">
        <v>8</v>
      </c>
      <c r="L828" s="82">
        <v>483000</v>
      </c>
      <c r="M828" s="35">
        <v>6.25E-2</v>
      </c>
    </row>
    <row r="829" spans="1:13" x14ac:dyDescent="0.25">
      <c r="A829" s="26">
        <v>770</v>
      </c>
      <c r="B829" s="26">
        <v>784625</v>
      </c>
      <c r="C829" s="27" t="s">
        <v>1195</v>
      </c>
      <c r="D829" s="27" t="str">
        <f t="shared" si="47"/>
        <v>SIKAFILL-7 POWER CO WHITE        PL 22KG</v>
      </c>
      <c r="E829" s="28" t="s">
        <v>1184</v>
      </c>
      <c r="F829" s="29"/>
      <c r="G829" s="30" t="s">
        <v>15</v>
      </c>
      <c r="H829" s="31">
        <v>22</v>
      </c>
      <c r="I829" s="32" t="s">
        <v>50</v>
      </c>
      <c r="J829" s="33">
        <v>1</v>
      </c>
      <c r="K829" s="34" t="s">
        <v>8</v>
      </c>
      <c r="L829" s="82">
        <v>327450</v>
      </c>
      <c r="M829" s="35">
        <v>1.2500000000000001E-2</v>
      </c>
    </row>
    <row r="830" spans="1:13" x14ac:dyDescent="0.25">
      <c r="A830" s="26">
        <v>767</v>
      </c>
      <c r="B830" s="26">
        <v>784626</v>
      </c>
      <c r="C830" s="27" t="s">
        <v>1192</v>
      </c>
      <c r="D830" s="27" t="str">
        <f t="shared" si="47"/>
        <v>SIKAFILL-7 POWER CO GREEN        PL 22KG</v>
      </c>
      <c r="E830" s="28" t="s">
        <v>1184</v>
      </c>
      <c r="F830" s="29"/>
      <c r="G830" s="30" t="s">
        <v>110</v>
      </c>
      <c r="H830" s="31">
        <v>22</v>
      </c>
      <c r="I830" s="32" t="s">
        <v>50</v>
      </c>
      <c r="J830" s="33">
        <v>1</v>
      </c>
      <c r="K830" s="34" t="s">
        <v>8</v>
      </c>
      <c r="L830" s="82">
        <v>327450</v>
      </c>
      <c r="M830" s="35">
        <v>1.2500000000000001E-2</v>
      </c>
    </row>
    <row r="831" spans="1:13" x14ac:dyDescent="0.25">
      <c r="A831" s="26">
        <v>741</v>
      </c>
      <c r="B831" s="26">
        <v>784666</v>
      </c>
      <c r="C831" s="27" t="s">
        <v>1161</v>
      </c>
      <c r="D831" s="27" t="str">
        <f t="shared" si="47"/>
        <v>SIKAFILL-12 POWER RED            PL 22KG</v>
      </c>
      <c r="E831" s="28" t="s">
        <v>1155</v>
      </c>
      <c r="F831" s="29"/>
      <c r="G831" s="30" t="s">
        <v>48</v>
      </c>
      <c r="H831" s="31">
        <v>22</v>
      </c>
      <c r="I831" s="32" t="s">
        <v>50</v>
      </c>
      <c r="J831" s="33">
        <v>1</v>
      </c>
      <c r="K831" s="34" t="s">
        <v>8</v>
      </c>
      <c r="L831" s="82">
        <v>483000</v>
      </c>
      <c r="M831" s="35">
        <v>6.25E-2</v>
      </c>
    </row>
    <row r="832" spans="1:13" x14ac:dyDescent="0.25">
      <c r="A832" s="26">
        <v>883</v>
      </c>
      <c r="B832" s="26">
        <v>784839</v>
      </c>
      <c r="C832" s="27" t="s">
        <v>1349</v>
      </c>
      <c r="D832" s="27" t="str">
        <f t="shared" si="47"/>
        <v>SIKAMONOTOP-123 WALLS             /4X4KG</v>
      </c>
      <c r="E832" s="28" t="s">
        <v>1348</v>
      </c>
      <c r="F832" s="29"/>
      <c r="G832" s="30"/>
      <c r="H832" s="31">
        <v>16</v>
      </c>
      <c r="I832" s="32" t="s">
        <v>50</v>
      </c>
      <c r="J832" s="33">
        <v>4</v>
      </c>
      <c r="K832" s="34" t="s">
        <v>8</v>
      </c>
      <c r="L832" s="82">
        <v>70050</v>
      </c>
      <c r="M832" s="35">
        <v>8.6999999999999994E-2</v>
      </c>
    </row>
    <row r="833" spans="1:13" x14ac:dyDescent="0.25">
      <c r="A833" s="91">
        <v>215</v>
      </c>
      <c r="B833" s="91">
        <v>789517</v>
      </c>
      <c r="C833" s="92" t="s">
        <v>480</v>
      </c>
      <c r="D833" s="121" t="str">
        <f>CONCATENATE(UPPER(C833),$D$3)</f>
        <v>SIKASTABILIZER-3910 VMC         TANKER KG "E"</v>
      </c>
      <c r="E833" s="93" t="s">
        <v>481</v>
      </c>
      <c r="F833" s="94"/>
      <c r="G833" s="95"/>
      <c r="H833" s="96">
        <v>1</v>
      </c>
      <c r="I833" s="97" t="s">
        <v>50</v>
      </c>
      <c r="J833" s="98">
        <v>1</v>
      </c>
      <c r="K833" s="99" t="s">
        <v>8</v>
      </c>
      <c r="L833" s="82">
        <v>21250</v>
      </c>
      <c r="M833" s="100">
        <v>0.09</v>
      </c>
    </row>
    <row r="834" spans="1:13" x14ac:dyDescent="0.25">
      <c r="A834" s="26">
        <v>155</v>
      </c>
      <c r="B834" s="26">
        <v>795551</v>
      </c>
      <c r="C834" s="27" t="s">
        <v>394</v>
      </c>
      <c r="D834" s="27" t="str">
        <f t="shared" ref="D834:D842" si="48">UPPER(C834)</f>
        <v>SIKAPLASTIMENT R 790           CO 1182KG</v>
      </c>
      <c r="E834" s="28" t="s">
        <v>393</v>
      </c>
      <c r="F834" s="47"/>
      <c r="G834" s="30"/>
      <c r="H834" s="31">
        <v>1182</v>
      </c>
      <c r="I834" s="32" t="s">
        <v>50</v>
      </c>
      <c r="J834" s="33">
        <v>1</v>
      </c>
      <c r="K834" s="34" t="s">
        <v>8</v>
      </c>
      <c r="L834" s="82">
        <v>9134000</v>
      </c>
      <c r="M834" s="35">
        <v>0.12</v>
      </c>
    </row>
    <row r="835" spans="1:13" x14ac:dyDescent="0.25">
      <c r="A835" s="26">
        <v>211</v>
      </c>
      <c r="B835" s="26">
        <v>795558</v>
      </c>
      <c r="C835" s="27" t="s">
        <v>474</v>
      </c>
      <c r="D835" s="27" t="str">
        <f t="shared" si="48"/>
        <v>SIKASTABILIZER DELVO           CO 1075KG</v>
      </c>
      <c r="E835" s="28" t="s">
        <v>472</v>
      </c>
      <c r="F835" s="29"/>
      <c r="G835" s="30"/>
      <c r="H835" s="31">
        <v>1075</v>
      </c>
      <c r="I835" s="32" t="s">
        <v>50</v>
      </c>
      <c r="J835" s="33">
        <v>1</v>
      </c>
      <c r="K835" s="34" t="s">
        <v>8</v>
      </c>
      <c r="L835" s="82">
        <v>7355300</v>
      </c>
      <c r="M835" s="35">
        <v>9.9999999999999992E-2</v>
      </c>
    </row>
    <row r="836" spans="1:13" x14ac:dyDescent="0.25">
      <c r="A836" s="26">
        <v>301</v>
      </c>
      <c r="B836" s="26">
        <v>795561</v>
      </c>
      <c r="C836" s="27" t="s">
        <v>619</v>
      </c>
      <c r="D836" s="27" t="str">
        <f t="shared" si="48"/>
        <v>SIKARAPID AC 122             DR 277,68KG</v>
      </c>
      <c r="E836" s="28" t="s">
        <v>620</v>
      </c>
      <c r="F836" s="29"/>
      <c r="G836" s="30"/>
      <c r="H836" s="31">
        <v>0</v>
      </c>
      <c r="I836" s="32" t="s">
        <v>50</v>
      </c>
      <c r="J836" s="33">
        <v>1</v>
      </c>
      <c r="K836" s="34" t="s">
        <v>8</v>
      </c>
      <c r="L836" s="82">
        <v>2408700</v>
      </c>
      <c r="M836" s="35">
        <v>0.09</v>
      </c>
    </row>
    <row r="837" spans="1:13" x14ac:dyDescent="0.25">
      <c r="A837" s="26">
        <v>266</v>
      </c>
      <c r="B837" s="26">
        <v>798933</v>
      </c>
      <c r="C837" s="27" t="s">
        <v>563</v>
      </c>
      <c r="D837" s="27" t="str">
        <f t="shared" si="48"/>
        <v>SIKAMENT PH 7000               TANKER KG</v>
      </c>
      <c r="E837" s="28" t="s">
        <v>564</v>
      </c>
      <c r="F837" s="47"/>
      <c r="G837" s="30"/>
      <c r="H837" s="31">
        <v>0</v>
      </c>
      <c r="I837" s="32" t="s">
        <v>50</v>
      </c>
      <c r="J837" s="33">
        <v>1</v>
      </c>
      <c r="K837" s="34" t="s">
        <v>8</v>
      </c>
      <c r="L837" s="82">
        <v>7300</v>
      </c>
      <c r="M837" s="35">
        <v>0.08</v>
      </c>
    </row>
    <row r="838" spans="1:13" x14ac:dyDescent="0.25">
      <c r="A838" s="26">
        <v>265</v>
      </c>
      <c r="B838" s="26">
        <v>798934</v>
      </c>
      <c r="C838" s="27" t="s">
        <v>561</v>
      </c>
      <c r="D838" s="27" t="str">
        <f t="shared" si="48"/>
        <v>SIKAMENT PH 2050               TANKER KG</v>
      </c>
      <c r="E838" s="28" t="s">
        <v>562</v>
      </c>
      <c r="F838" s="47"/>
      <c r="G838" s="30"/>
      <c r="H838" s="31">
        <v>0</v>
      </c>
      <c r="I838" s="32" t="s">
        <v>50</v>
      </c>
      <c r="J838" s="33">
        <v>1</v>
      </c>
      <c r="K838" s="34" t="s">
        <v>8</v>
      </c>
      <c r="L838" s="82">
        <v>7300</v>
      </c>
      <c r="M838" s="35">
        <v>0.08</v>
      </c>
    </row>
    <row r="839" spans="1:13" x14ac:dyDescent="0.25">
      <c r="A839" s="26">
        <v>267</v>
      </c>
      <c r="B839" s="26">
        <v>798941</v>
      </c>
      <c r="C839" s="27" t="s">
        <v>565</v>
      </c>
      <c r="D839" s="27" t="str">
        <f t="shared" si="48"/>
        <v>SIKAMENT PH 7995               TANKER KG</v>
      </c>
      <c r="E839" s="28" t="s">
        <v>566</v>
      </c>
      <c r="F839" s="47"/>
      <c r="G839" s="30"/>
      <c r="H839" s="31">
        <v>0</v>
      </c>
      <c r="I839" s="32" t="s">
        <v>50</v>
      </c>
      <c r="J839" s="33">
        <v>1</v>
      </c>
      <c r="K839" s="34" t="s">
        <v>8</v>
      </c>
      <c r="L839" s="82">
        <v>7400</v>
      </c>
      <c r="M839" s="35">
        <v>0.08</v>
      </c>
    </row>
    <row r="840" spans="1:13" x14ac:dyDescent="0.25">
      <c r="A840" s="26">
        <v>209</v>
      </c>
      <c r="B840" s="26">
        <v>800136</v>
      </c>
      <c r="C840" s="27" t="s">
        <v>471</v>
      </c>
      <c r="D840" s="27" t="str">
        <f t="shared" si="48"/>
        <v>SIKASTABILIZER DELVO           TANKER KG</v>
      </c>
      <c r="E840" s="28" t="s">
        <v>472</v>
      </c>
      <c r="F840" s="47"/>
      <c r="G840" s="30"/>
      <c r="H840" s="31">
        <v>0</v>
      </c>
      <c r="I840" s="32" t="s">
        <v>50</v>
      </c>
      <c r="J840" s="33">
        <v>1</v>
      </c>
      <c r="K840" s="34" t="s">
        <v>8</v>
      </c>
      <c r="L840" s="82">
        <v>6300</v>
      </c>
      <c r="M840" s="35">
        <v>6.9999999999999993E-2</v>
      </c>
    </row>
    <row r="841" spans="1:13" x14ac:dyDescent="0.25">
      <c r="A841" s="26">
        <v>302</v>
      </c>
      <c r="B841" s="26">
        <v>800137</v>
      </c>
      <c r="C841" s="27" t="s">
        <v>621</v>
      </c>
      <c r="D841" s="27" t="str">
        <f t="shared" si="48"/>
        <v>SIKARAPID AC 122 V1     (MX)   TANKER KG</v>
      </c>
      <c r="E841" s="28" t="s">
        <v>620</v>
      </c>
      <c r="F841" s="47"/>
      <c r="G841" s="30"/>
      <c r="H841" s="31">
        <v>0</v>
      </c>
      <c r="I841" s="32" t="s">
        <v>50</v>
      </c>
      <c r="J841" s="33">
        <v>1</v>
      </c>
      <c r="K841" s="34" t="s">
        <v>8</v>
      </c>
      <c r="L841" s="82">
        <v>6350</v>
      </c>
      <c r="M841" s="35">
        <v>0.08</v>
      </c>
    </row>
    <row r="842" spans="1:13" x14ac:dyDescent="0.25">
      <c r="A842" s="26">
        <v>220</v>
      </c>
      <c r="B842" s="26">
        <v>800140</v>
      </c>
      <c r="C842" s="27" t="s">
        <v>489</v>
      </c>
      <c r="D842" s="27" t="str">
        <f t="shared" si="48"/>
        <v>SIKAVISCOCRETE GL 355 C        TANKER KG</v>
      </c>
      <c r="E842" s="28" t="s">
        <v>490</v>
      </c>
      <c r="F842" s="47"/>
      <c r="G842" s="30"/>
      <c r="H842" s="31">
        <v>0</v>
      </c>
      <c r="I842" s="32" t="s">
        <v>50</v>
      </c>
      <c r="J842" s="33">
        <v>1</v>
      </c>
      <c r="K842" s="34" t="s">
        <v>8</v>
      </c>
      <c r="L842" s="82">
        <v>13500</v>
      </c>
      <c r="M842" s="35">
        <v>6.0000000000000005E-2</v>
      </c>
    </row>
    <row r="843" spans="1:13" x14ac:dyDescent="0.25">
      <c r="A843" s="91">
        <v>391</v>
      </c>
      <c r="B843" s="91">
        <v>800152</v>
      </c>
      <c r="C843" s="92" t="s">
        <v>739</v>
      </c>
      <c r="D843" s="121" t="str">
        <f>CONCATENATE(UPPER(C843),$D$3)</f>
        <v>SIKAEMACO N 370                  BG 20KG "E"</v>
      </c>
      <c r="E843" s="93" t="s">
        <v>740</v>
      </c>
      <c r="F843" s="102"/>
      <c r="G843" s="103"/>
      <c r="H843" s="96">
        <v>20</v>
      </c>
      <c r="I843" s="97" t="s">
        <v>50</v>
      </c>
      <c r="J843" s="104">
        <v>2</v>
      </c>
      <c r="K843" s="105" t="s">
        <v>8</v>
      </c>
      <c r="L843" s="82">
        <v>79450</v>
      </c>
      <c r="M843" s="100">
        <v>8.199999999999999E-2</v>
      </c>
    </row>
    <row r="844" spans="1:13" x14ac:dyDescent="0.25">
      <c r="A844" s="91">
        <v>395</v>
      </c>
      <c r="B844" s="91">
        <v>800391</v>
      </c>
      <c r="C844" s="92" t="s">
        <v>747</v>
      </c>
      <c r="D844" s="121" t="str">
        <f>CONCATENATE(UPPER(C844),$D$3)</f>
        <v>SIKAEMACO-488 CI                 BG 25KG "E"</v>
      </c>
      <c r="E844" s="93" t="s">
        <v>748</v>
      </c>
      <c r="F844" s="102"/>
      <c r="G844" s="103"/>
      <c r="H844" s="96">
        <v>25</v>
      </c>
      <c r="I844" s="97" t="s">
        <v>50</v>
      </c>
      <c r="J844" s="104">
        <v>6</v>
      </c>
      <c r="K844" s="105" t="s">
        <v>8</v>
      </c>
      <c r="L844" s="82">
        <v>141800</v>
      </c>
      <c r="M844" s="100">
        <v>8.199999999999999E-2</v>
      </c>
    </row>
    <row r="845" spans="1:13" x14ac:dyDescent="0.25">
      <c r="A845" s="26">
        <v>181</v>
      </c>
      <c r="B845" s="26">
        <v>800897</v>
      </c>
      <c r="C845" s="27" t="s">
        <v>431</v>
      </c>
      <c r="D845" s="27" t="str">
        <f>UPPER(C845)</f>
        <v>SIKARETARDER R 780             TANKER KG</v>
      </c>
      <c r="E845" s="28" t="s">
        <v>432</v>
      </c>
      <c r="F845" s="47"/>
      <c r="G845" s="30"/>
      <c r="H845" s="31">
        <v>0</v>
      </c>
      <c r="I845" s="32" t="s">
        <v>50</v>
      </c>
      <c r="J845" s="33">
        <v>1</v>
      </c>
      <c r="K845" s="34" t="s">
        <v>8</v>
      </c>
      <c r="L845" s="82">
        <v>8050</v>
      </c>
      <c r="M845" s="35">
        <v>0.08</v>
      </c>
    </row>
    <row r="846" spans="1:13" x14ac:dyDescent="0.25">
      <c r="A846" s="26">
        <v>841</v>
      </c>
      <c r="B846" s="26">
        <v>802427</v>
      </c>
      <c r="C846" s="27" t="s">
        <v>1289</v>
      </c>
      <c r="D846" s="27" t="str">
        <f>UPPER(C846)</f>
        <v>SIKAFLEX-416 CONSTR.WHITE C5048 /20UP600</v>
      </c>
      <c r="E846" s="28" t="s">
        <v>1287</v>
      </c>
      <c r="F846" s="29"/>
      <c r="G846" s="36"/>
      <c r="H846" s="31">
        <v>600</v>
      </c>
      <c r="I846" s="32" t="s">
        <v>1445</v>
      </c>
      <c r="J846" s="33">
        <v>20</v>
      </c>
      <c r="K846" s="34" t="s">
        <v>8</v>
      </c>
      <c r="L846" s="82">
        <v>51400</v>
      </c>
      <c r="M846" s="35">
        <v>6.7000000000000004E-2</v>
      </c>
    </row>
    <row r="847" spans="1:13" x14ac:dyDescent="0.25">
      <c r="A847" s="26">
        <v>842</v>
      </c>
      <c r="B847" s="26">
        <v>802463</v>
      </c>
      <c r="C847" s="27" t="s">
        <v>1290</v>
      </c>
      <c r="D847" s="27" t="str">
        <f>UPPER(C847)</f>
        <v>SIKAFLEX-416 CONSTR.CO.GRE.C5048/20UP600</v>
      </c>
      <c r="E847" s="28" t="s">
        <v>1287</v>
      </c>
      <c r="F847" s="29"/>
      <c r="G847" s="36"/>
      <c r="H847" s="31">
        <v>600</v>
      </c>
      <c r="I847" s="32" t="s">
        <v>1445</v>
      </c>
      <c r="J847" s="33">
        <v>20</v>
      </c>
      <c r="K847" s="34" t="s">
        <v>8</v>
      </c>
      <c r="L847" s="82">
        <v>51400</v>
      </c>
      <c r="M847" s="35">
        <v>6.7000000000000004E-2</v>
      </c>
    </row>
    <row r="848" spans="1:13" x14ac:dyDescent="0.25">
      <c r="A848" s="91">
        <v>931</v>
      </c>
      <c r="B848" s="91">
        <v>802656</v>
      </c>
      <c r="C848" s="92" t="s">
        <v>1417</v>
      </c>
      <c r="D848" s="121" t="str">
        <f>CONCATENATE(UPPER(C848),$D$3)</f>
        <v>SIKALASTIC HLM 5000 R            PL 24KG "E"</v>
      </c>
      <c r="E848" s="93" t="s">
        <v>1418</v>
      </c>
      <c r="F848" s="102"/>
      <c r="G848" s="95"/>
      <c r="H848" s="96">
        <v>24</v>
      </c>
      <c r="I848" s="97" t="s">
        <v>50</v>
      </c>
      <c r="J848" s="98">
        <v>1</v>
      </c>
      <c r="K848" s="99" t="s">
        <v>8</v>
      </c>
      <c r="L848" s="82">
        <v>1100300</v>
      </c>
      <c r="M848" s="100">
        <v>6.7000000000000004E-2</v>
      </c>
    </row>
    <row r="849" spans="1:13" x14ac:dyDescent="0.25">
      <c r="A849" s="26">
        <v>26</v>
      </c>
      <c r="B849" s="26">
        <v>804817</v>
      </c>
      <c r="C849" s="27" t="s">
        <v>217</v>
      </c>
      <c r="D849" s="27" t="str">
        <f t="shared" ref="D849:D861" si="49">UPPER(C849)</f>
        <v>SIKAMASTIC INTERIOR CO           PL 28KG</v>
      </c>
      <c r="E849" s="28" t="s">
        <v>213</v>
      </c>
      <c r="F849" s="29"/>
      <c r="G849" s="30"/>
      <c r="H849" s="31">
        <v>28</v>
      </c>
      <c r="I849" s="32" t="s">
        <v>50</v>
      </c>
      <c r="J849" s="33">
        <v>1</v>
      </c>
      <c r="K849" s="34" t="s">
        <v>8</v>
      </c>
      <c r="L849" s="82">
        <v>64000</v>
      </c>
      <c r="M849" s="35">
        <v>9.4E-2</v>
      </c>
    </row>
    <row r="850" spans="1:13" x14ac:dyDescent="0.25">
      <c r="A850" s="26">
        <v>21</v>
      </c>
      <c r="B850" s="26">
        <v>804843</v>
      </c>
      <c r="C850" s="27" t="s">
        <v>211</v>
      </c>
      <c r="D850" s="27" t="str">
        <f t="shared" si="49"/>
        <v>SIKAJOINT COMPOUND CO            PL 28KG</v>
      </c>
      <c r="E850" s="28" t="s">
        <v>210</v>
      </c>
      <c r="F850" s="29"/>
      <c r="G850" s="30" t="s">
        <v>19</v>
      </c>
      <c r="H850" s="31">
        <v>28</v>
      </c>
      <c r="I850" s="32" t="s">
        <v>50</v>
      </c>
      <c r="J850" s="33">
        <v>1</v>
      </c>
      <c r="K850" s="34" t="s">
        <v>8</v>
      </c>
      <c r="L850" s="82">
        <v>64000</v>
      </c>
      <c r="M850" s="35">
        <v>9.4E-2</v>
      </c>
    </row>
    <row r="851" spans="1:13" x14ac:dyDescent="0.25">
      <c r="A851" s="26">
        <v>852</v>
      </c>
      <c r="B851" s="26">
        <v>805087</v>
      </c>
      <c r="C851" s="27" t="s">
        <v>1307</v>
      </c>
      <c r="D851" s="27" t="str">
        <f t="shared" si="49"/>
        <v>SIKASEAL-171 WHITE     C5054  /12 CTR280</v>
      </c>
      <c r="E851" s="28" t="s">
        <v>1308</v>
      </c>
      <c r="F851" s="29" t="s">
        <v>129</v>
      </c>
      <c r="G851" s="30" t="s">
        <v>15</v>
      </c>
      <c r="H851" s="31">
        <v>280</v>
      </c>
      <c r="I851" s="32" t="s">
        <v>1445</v>
      </c>
      <c r="J851" s="33">
        <v>12</v>
      </c>
      <c r="K851" s="34" t="s">
        <v>8</v>
      </c>
      <c r="L851" s="82">
        <v>16950</v>
      </c>
      <c r="M851" s="35">
        <v>6.9400630914826511E-2</v>
      </c>
    </row>
    <row r="852" spans="1:13" x14ac:dyDescent="0.25">
      <c r="A852" s="26">
        <v>854</v>
      </c>
      <c r="B852" s="26">
        <v>805088</v>
      </c>
      <c r="C852" s="27" t="s">
        <v>1310</v>
      </c>
      <c r="D852" s="27" t="str">
        <f t="shared" si="49"/>
        <v>SIKASEAL-171 TRANSPARENT C5054/12 CTR280</v>
      </c>
      <c r="E852" s="28" t="s">
        <v>1308</v>
      </c>
      <c r="F852" s="29" t="s">
        <v>129</v>
      </c>
      <c r="G852" s="30" t="s">
        <v>25</v>
      </c>
      <c r="H852" s="31">
        <v>280</v>
      </c>
      <c r="I852" s="32" t="s">
        <v>1445</v>
      </c>
      <c r="J852" s="33">
        <v>12</v>
      </c>
      <c r="K852" s="34" t="s">
        <v>8</v>
      </c>
      <c r="L852" s="82">
        <v>16950</v>
      </c>
      <c r="M852" s="35">
        <v>6.9400630914826511E-2</v>
      </c>
    </row>
    <row r="853" spans="1:13" x14ac:dyDescent="0.25">
      <c r="A853" s="26">
        <v>833</v>
      </c>
      <c r="B853" s="26">
        <v>805131</v>
      </c>
      <c r="C853" s="27" t="s">
        <v>1278</v>
      </c>
      <c r="D853" s="27" t="str">
        <f t="shared" si="49"/>
        <v>SIKAFLEX-1A PLUS PURF.WHIT.C5048/20UP600</v>
      </c>
      <c r="E853" s="28" t="s">
        <v>1274</v>
      </c>
      <c r="F853" s="29"/>
      <c r="G853" s="30" t="s">
        <v>15</v>
      </c>
      <c r="H853" s="31">
        <v>600</v>
      </c>
      <c r="I853" s="32" t="s">
        <v>1445</v>
      </c>
      <c r="J853" s="33">
        <v>20</v>
      </c>
      <c r="K853" s="34" t="s">
        <v>8</v>
      </c>
      <c r="L853" s="82">
        <v>81700</v>
      </c>
      <c r="M853" s="35">
        <v>6.7000000000000004E-2</v>
      </c>
    </row>
    <row r="854" spans="1:13" ht="18.75" x14ac:dyDescent="0.25">
      <c r="A854" s="26">
        <v>851</v>
      </c>
      <c r="B854" s="26">
        <v>805334</v>
      </c>
      <c r="C854" s="27" t="s">
        <v>1305</v>
      </c>
      <c r="D854" s="27" t="str">
        <f t="shared" si="49"/>
        <v>SIKASEAL-174 TRANSPARENT C5054/12 CTR280</v>
      </c>
      <c r="E854" s="28" t="s">
        <v>1306</v>
      </c>
      <c r="F854" s="87"/>
      <c r="G854" s="30" t="s">
        <v>25</v>
      </c>
      <c r="H854" s="31">
        <v>280</v>
      </c>
      <c r="I854" s="32" t="s">
        <v>1445</v>
      </c>
      <c r="J854" s="33">
        <v>12</v>
      </c>
      <c r="K854" s="34" t="s">
        <v>8</v>
      </c>
      <c r="L854" s="82">
        <v>32000</v>
      </c>
      <c r="M854" s="35" t="e">
        <v>#N/A</v>
      </c>
    </row>
    <row r="855" spans="1:13" x14ac:dyDescent="0.25">
      <c r="A855" s="26">
        <v>247</v>
      </c>
      <c r="B855" s="26">
        <v>809337</v>
      </c>
      <c r="C855" s="27" t="s">
        <v>530</v>
      </c>
      <c r="D855" s="27" t="str">
        <f t="shared" si="49"/>
        <v>SIKACONTROL-5 ASR                BG 25KG</v>
      </c>
      <c r="E855" s="28" t="s">
        <v>531</v>
      </c>
      <c r="F855" s="29"/>
      <c r="G855" s="30"/>
      <c r="H855" s="31">
        <v>0</v>
      </c>
      <c r="I855" s="32" t="s">
        <v>50</v>
      </c>
      <c r="J855" s="33">
        <v>1</v>
      </c>
      <c r="K855" s="34" t="s">
        <v>8</v>
      </c>
      <c r="L855" s="82">
        <v>90950</v>
      </c>
      <c r="M855" s="35">
        <v>0.04</v>
      </c>
    </row>
    <row r="856" spans="1:13" x14ac:dyDescent="0.25">
      <c r="A856" s="26">
        <v>840</v>
      </c>
      <c r="B856" s="26">
        <v>809888</v>
      </c>
      <c r="C856" s="27" t="s">
        <v>1288</v>
      </c>
      <c r="D856" s="27" t="str">
        <f t="shared" si="49"/>
        <v>SIKAFLEX-416 CONSTR.WHITE C5048/12CTR300</v>
      </c>
      <c r="E856" s="28" t="s">
        <v>1287</v>
      </c>
      <c r="F856" s="29"/>
      <c r="G856" s="30" t="s">
        <v>15</v>
      </c>
      <c r="H856" s="31">
        <v>300</v>
      </c>
      <c r="I856" s="32" t="s">
        <v>1445</v>
      </c>
      <c r="J856" s="33">
        <v>12</v>
      </c>
      <c r="K856" s="34" t="s">
        <v>8</v>
      </c>
      <c r="L856" s="82">
        <v>41950</v>
      </c>
      <c r="M856" s="35">
        <v>6.7000000000000004E-2</v>
      </c>
    </row>
    <row r="857" spans="1:13" x14ac:dyDescent="0.25">
      <c r="A857" s="26">
        <v>839</v>
      </c>
      <c r="B857" s="26">
        <v>809889</v>
      </c>
      <c r="C857" s="27" t="s">
        <v>1286</v>
      </c>
      <c r="D857" s="27" t="str">
        <f t="shared" si="49"/>
        <v>SIKAFLEX-416 CONSTR.C.GRE.C5048/12CTR300</v>
      </c>
      <c r="E857" s="28" t="s">
        <v>1287</v>
      </c>
      <c r="F857" s="29"/>
      <c r="G857" s="30" t="s">
        <v>14</v>
      </c>
      <c r="H857" s="31">
        <v>300</v>
      </c>
      <c r="I857" s="32" t="s">
        <v>1445</v>
      </c>
      <c r="J857" s="33">
        <v>12</v>
      </c>
      <c r="K857" s="34" t="s">
        <v>8</v>
      </c>
      <c r="L857" s="82">
        <v>41950</v>
      </c>
      <c r="M857" s="35">
        <v>6.7000000000000004E-2</v>
      </c>
    </row>
    <row r="858" spans="1:13" x14ac:dyDescent="0.25">
      <c r="A858" s="26">
        <v>829</v>
      </c>
      <c r="B858" s="26">
        <v>809913</v>
      </c>
      <c r="C858" s="27" t="s">
        <v>1273</v>
      </c>
      <c r="D858" s="27" t="str">
        <f t="shared" si="49"/>
        <v>SIKAFLEX-1A PLUS PURF.BLA.C5048/12CTR300</v>
      </c>
      <c r="E858" s="28" t="s">
        <v>1274</v>
      </c>
      <c r="F858" s="29"/>
      <c r="G858" s="30" t="s">
        <v>31</v>
      </c>
      <c r="H858" s="31">
        <v>300</v>
      </c>
      <c r="I858" s="32" t="s">
        <v>1445</v>
      </c>
      <c r="J858" s="33">
        <v>12</v>
      </c>
      <c r="K858" s="34" t="s">
        <v>8</v>
      </c>
      <c r="L858" s="82">
        <v>58650</v>
      </c>
      <c r="M858" s="35">
        <v>6.7000000000000004E-2</v>
      </c>
    </row>
    <row r="859" spans="1:13" x14ac:dyDescent="0.25">
      <c r="A859" s="26">
        <v>831</v>
      </c>
      <c r="B859" s="26">
        <v>809936</v>
      </c>
      <c r="C859" s="27" t="s">
        <v>1276</v>
      </c>
      <c r="D859" s="27" t="str">
        <f t="shared" si="49"/>
        <v>SIKAFLEX-1A PLUS PURF.L.G.C5048/12CTR300</v>
      </c>
      <c r="E859" s="28" t="s">
        <v>1274</v>
      </c>
      <c r="F859" s="29"/>
      <c r="G859" s="30" t="s">
        <v>14</v>
      </c>
      <c r="H859" s="31">
        <v>300</v>
      </c>
      <c r="I859" s="32" t="s">
        <v>1445</v>
      </c>
      <c r="J859" s="33">
        <v>12</v>
      </c>
      <c r="K859" s="34" t="s">
        <v>8</v>
      </c>
      <c r="L859" s="82">
        <v>58650</v>
      </c>
      <c r="M859" s="35">
        <v>6.7000000000000004E-2</v>
      </c>
    </row>
    <row r="860" spans="1:13" x14ac:dyDescent="0.25">
      <c r="A860" s="26">
        <v>832</v>
      </c>
      <c r="B860" s="26">
        <v>809937</v>
      </c>
      <c r="C860" s="27" t="s">
        <v>1277</v>
      </c>
      <c r="D860" s="27" t="str">
        <f t="shared" si="49"/>
        <v>SIKAFLEX-1A PLUS PURF.WHI.C5048/12CTR300</v>
      </c>
      <c r="E860" s="28" t="s">
        <v>1274</v>
      </c>
      <c r="F860" s="29"/>
      <c r="G860" s="30" t="s">
        <v>15</v>
      </c>
      <c r="H860" s="31">
        <v>300</v>
      </c>
      <c r="I860" s="32" t="s">
        <v>1445</v>
      </c>
      <c r="J860" s="33">
        <v>12</v>
      </c>
      <c r="K860" s="34" t="s">
        <v>8</v>
      </c>
      <c r="L860" s="82">
        <v>58650</v>
      </c>
      <c r="M860" s="35">
        <v>6.7000000000000004E-2</v>
      </c>
    </row>
    <row r="861" spans="1:13" x14ac:dyDescent="0.25">
      <c r="A861" s="26">
        <v>255</v>
      </c>
      <c r="B861" s="26">
        <v>811450</v>
      </c>
      <c r="C861" s="27" t="s">
        <v>542</v>
      </c>
      <c r="D861" s="27" t="str">
        <f t="shared" si="49"/>
        <v>SIKAFIBER-540 TWIST              /10X1KG</v>
      </c>
      <c r="E861" s="28" t="s">
        <v>543</v>
      </c>
      <c r="F861" s="29"/>
      <c r="G861" s="30"/>
      <c r="H861" s="31">
        <v>0</v>
      </c>
      <c r="I861" s="32" t="s">
        <v>50</v>
      </c>
      <c r="J861" s="33">
        <v>1</v>
      </c>
      <c r="K861" s="34" t="s">
        <v>8</v>
      </c>
      <c r="L861" s="82">
        <v>45700</v>
      </c>
      <c r="M861" s="35">
        <v>0.03</v>
      </c>
    </row>
    <row r="862" spans="1:13" x14ac:dyDescent="0.25">
      <c r="A862" s="91">
        <v>934</v>
      </c>
      <c r="B862" s="91">
        <v>812219</v>
      </c>
      <c r="C862" s="92" t="s">
        <v>1423</v>
      </c>
      <c r="D862" s="121" t="str">
        <f t="shared" ref="D862:D870" si="50">CONCATENATE(UPPER(C862),$D$3)</f>
        <v>SIKALASTIC-850 M (AB)             26,5KG "E"</v>
      </c>
      <c r="E862" s="93" t="s">
        <v>1424</v>
      </c>
      <c r="F862" s="102"/>
      <c r="G862" s="95"/>
      <c r="H862" s="96">
        <v>26.5</v>
      </c>
      <c r="I862" s="97" t="s">
        <v>50</v>
      </c>
      <c r="J862" s="98">
        <v>1</v>
      </c>
      <c r="K862" s="99" t="s">
        <v>8</v>
      </c>
      <c r="L862" s="82">
        <v>2028250</v>
      </c>
      <c r="M862" s="100">
        <v>6.7000000000000004E-2</v>
      </c>
    </row>
    <row r="863" spans="1:13" x14ac:dyDescent="0.25">
      <c r="A863" s="91">
        <v>394</v>
      </c>
      <c r="B863" s="91">
        <v>812316</v>
      </c>
      <c r="C863" s="92" t="s">
        <v>745</v>
      </c>
      <c r="D863" s="121" t="str">
        <f t="shared" si="50"/>
        <v>SIKAEMACO S 490 (AB)                23KG "E"</v>
      </c>
      <c r="E863" s="93" t="s">
        <v>746</v>
      </c>
      <c r="F863" s="102"/>
      <c r="G863" s="103"/>
      <c r="H863" s="96">
        <v>23</v>
      </c>
      <c r="I863" s="97" t="s">
        <v>50</v>
      </c>
      <c r="J863" s="104">
        <v>5</v>
      </c>
      <c r="K863" s="105" t="s">
        <v>8</v>
      </c>
      <c r="L863" s="82">
        <v>141950</v>
      </c>
      <c r="M863" s="100">
        <v>8.199999999999999E-2</v>
      </c>
    </row>
    <row r="864" spans="1:13" x14ac:dyDescent="0.25">
      <c r="A864" s="91">
        <v>565</v>
      </c>
      <c r="B864" s="91">
        <v>812318</v>
      </c>
      <c r="C864" s="92" t="s">
        <v>973</v>
      </c>
      <c r="D864" s="121" t="str">
        <f t="shared" si="50"/>
        <v>SIKAFLOOR-P 202 (AB)                 5KG "E"</v>
      </c>
      <c r="E864" s="93" t="s">
        <v>974</v>
      </c>
      <c r="F864" s="116"/>
      <c r="G864" s="116"/>
      <c r="H864" s="96">
        <v>5</v>
      </c>
      <c r="I864" s="97" t="s">
        <v>50</v>
      </c>
      <c r="J864" s="98">
        <v>2</v>
      </c>
      <c r="K864" s="99" t="s">
        <v>8</v>
      </c>
      <c r="L864" s="82">
        <v>578400</v>
      </c>
      <c r="M864" s="100">
        <v>8.199999999999999E-2</v>
      </c>
    </row>
    <row r="865" spans="1:13" x14ac:dyDescent="0.25">
      <c r="A865" s="91">
        <v>567</v>
      </c>
      <c r="B865" s="106">
        <v>812459</v>
      </c>
      <c r="C865" s="92" t="s">
        <v>977</v>
      </c>
      <c r="D865" s="121" t="str">
        <f t="shared" si="50"/>
        <v>SIKAFLOOR P 216 (AB) WHITE          25KG "E"</v>
      </c>
      <c r="E865" s="93" t="s">
        <v>976</v>
      </c>
      <c r="F865" s="102"/>
      <c r="G865" s="117"/>
      <c r="H865" s="96">
        <v>25</v>
      </c>
      <c r="I865" s="97" t="s">
        <v>50</v>
      </c>
      <c r="J865" s="104">
        <v>8</v>
      </c>
      <c r="K865" s="105" t="s">
        <v>8</v>
      </c>
      <c r="L865" s="82">
        <v>1560850</v>
      </c>
      <c r="M865" s="100">
        <v>8.6999999999999994E-2</v>
      </c>
    </row>
    <row r="866" spans="1:13" x14ac:dyDescent="0.25">
      <c r="A866" s="91">
        <v>568</v>
      </c>
      <c r="B866" s="106">
        <v>812507</v>
      </c>
      <c r="C866" s="107" t="s">
        <v>978</v>
      </c>
      <c r="D866" s="121" t="str">
        <f t="shared" si="50"/>
        <v>SIKAFLOOR P 216 (AB) LIGHT GREY     25KG "E"</v>
      </c>
      <c r="E866" s="108" t="s">
        <v>976</v>
      </c>
      <c r="F866" s="102"/>
      <c r="G866" s="117"/>
      <c r="H866" s="96">
        <v>25</v>
      </c>
      <c r="I866" s="97" t="s">
        <v>50</v>
      </c>
      <c r="J866" s="104">
        <v>9</v>
      </c>
      <c r="K866" s="105" t="s">
        <v>8</v>
      </c>
      <c r="L866" s="82">
        <v>1560850</v>
      </c>
      <c r="M866" s="100">
        <v>8.6999999999999994E-2</v>
      </c>
    </row>
    <row r="867" spans="1:13" x14ac:dyDescent="0.25">
      <c r="A867" s="91">
        <v>569</v>
      </c>
      <c r="B867" s="106">
        <v>812566</v>
      </c>
      <c r="C867" s="107" t="s">
        <v>979</v>
      </c>
      <c r="D867" s="121" t="str">
        <f t="shared" si="50"/>
        <v>SIKAFLOOR P 216 (AB) BLUE           25KG "E"</v>
      </c>
      <c r="E867" s="108" t="s">
        <v>976</v>
      </c>
      <c r="F867" s="102"/>
      <c r="G867" s="117"/>
      <c r="H867" s="96">
        <v>25</v>
      </c>
      <c r="I867" s="97" t="s">
        <v>50</v>
      </c>
      <c r="J867" s="104">
        <v>10</v>
      </c>
      <c r="K867" s="105" t="s">
        <v>8</v>
      </c>
      <c r="L867" s="82">
        <v>1688350</v>
      </c>
      <c r="M867" s="100">
        <v>8.6999999999999994E-2</v>
      </c>
    </row>
    <row r="868" spans="1:13" x14ac:dyDescent="0.25">
      <c r="A868" s="91">
        <v>571</v>
      </c>
      <c r="B868" s="106">
        <v>812610</v>
      </c>
      <c r="C868" s="107" t="s">
        <v>981</v>
      </c>
      <c r="D868" s="121" t="str">
        <f t="shared" si="50"/>
        <v>SIKAFLOOR P 216 (AB) LIGHT GREEN    25KG "E"</v>
      </c>
      <c r="E868" s="108" t="s">
        <v>976</v>
      </c>
      <c r="F868" s="102"/>
      <c r="G868" s="117"/>
      <c r="H868" s="96">
        <v>25</v>
      </c>
      <c r="I868" s="97" t="s">
        <v>50</v>
      </c>
      <c r="J868" s="104">
        <v>12</v>
      </c>
      <c r="K868" s="105" t="s">
        <v>8</v>
      </c>
      <c r="L868" s="82">
        <v>1560850</v>
      </c>
      <c r="M868" s="100">
        <v>8.6999999999999994E-2</v>
      </c>
    </row>
    <row r="869" spans="1:13" x14ac:dyDescent="0.25">
      <c r="A869" s="91">
        <v>570</v>
      </c>
      <c r="B869" s="106">
        <v>812611</v>
      </c>
      <c r="C869" s="107" t="s">
        <v>980</v>
      </c>
      <c r="D869" s="121" t="str">
        <f t="shared" si="50"/>
        <v>SIKAFLOOR P 216 (AB) SAFETY YELLOW  25KG "E"</v>
      </c>
      <c r="E869" s="108" t="s">
        <v>976</v>
      </c>
      <c r="F869" s="102"/>
      <c r="G869" s="117"/>
      <c r="H869" s="96">
        <v>25</v>
      </c>
      <c r="I869" s="97" t="s">
        <v>50</v>
      </c>
      <c r="J869" s="104">
        <v>11</v>
      </c>
      <c r="K869" s="105" t="s">
        <v>8</v>
      </c>
      <c r="L869" s="82">
        <v>1560850</v>
      </c>
      <c r="M869" s="100">
        <v>8.6999999999999994E-2</v>
      </c>
    </row>
    <row r="870" spans="1:13" x14ac:dyDescent="0.25">
      <c r="A870" s="91">
        <v>566</v>
      </c>
      <c r="B870" s="106">
        <v>812612</v>
      </c>
      <c r="C870" s="107" t="s">
        <v>975</v>
      </c>
      <c r="D870" s="121" t="str">
        <f t="shared" si="50"/>
        <v>SIKAFLOOR P 216 (AB) SILVER GREY    25KG "E"</v>
      </c>
      <c r="E870" s="108" t="s">
        <v>976</v>
      </c>
      <c r="F870" s="102"/>
      <c r="G870" s="117"/>
      <c r="H870" s="96">
        <v>25</v>
      </c>
      <c r="I870" s="97" t="s">
        <v>50</v>
      </c>
      <c r="J870" s="104">
        <v>7</v>
      </c>
      <c r="K870" s="105" t="s">
        <v>8</v>
      </c>
      <c r="L870" s="82">
        <v>1560850</v>
      </c>
      <c r="M870" s="100">
        <v>8.6999999999999994E-2</v>
      </c>
    </row>
    <row r="871" spans="1:13" x14ac:dyDescent="0.25">
      <c r="A871" s="26">
        <v>190</v>
      </c>
      <c r="B871" s="38">
        <v>816798</v>
      </c>
      <c r="C871" s="39" t="s">
        <v>444</v>
      </c>
      <c r="D871" s="27" t="str">
        <f>UPPER(C871)</f>
        <v>SIKASEPAROL RL 250               PL 20KG</v>
      </c>
      <c r="E871" s="40" t="s">
        <v>445</v>
      </c>
      <c r="F871" s="29"/>
      <c r="G871" s="41"/>
      <c r="H871" s="56">
        <v>0</v>
      </c>
      <c r="I871" s="57" t="s">
        <v>50</v>
      </c>
      <c r="J871" s="58">
        <v>1</v>
      </c>
      <c r="K871" s="59" t="s">
        <v>8</v>
      </c>
      <c r="L871" s="82">
        <v>347700</v>
      </c>
      <c r="M871" s="35">
        <v>0.09</v>
      </c>
    </row>
    <row r="872" spans="1:13" x14ac:dyDescent="0.25">
      <c r="A872" s="26">
        <v>853</v>
      </c>
      <c r="B872" s="38">
        <v>817585</v>
      </c>
      <c r="C872" s="39" t="s">
        <v>1309</v>
      </c>
      <c r="D872" s="27" t="str">
        <f>UPPER(C872)</f>
        <v>SIKASEAL-171 BLACK     C5054  /12 CTR280</v>
      </c>
      <c r="E872" s="40" t="s">
        <v>1308</v>
      </c>
      <c r="F872" s="29" t="s">
        <v>129</v>
      </c>
      <c r="G872" s="41" t="s">
        <v>31</v>
      </c>
      <c r="H872" s="42">
        <v>280</v>
      </c>
      <c r="I872" s="43" t="s">
        <v>1445</v>
      </c>
      <c r="J872" s="44">
        <v>12</v>
      </c>
      <c r="K872" s="45" t="s">
        <v>8</v>
      </c>
      <c r="L872" s="82">
        <v>16950</v>
      </c>
      <c r="M872" s="35">
        <v>6.9400630914826511E-2</v>
      </c>
    </row>
    <row r="873" spans="1:13" x14ac:dyDescent="0.25">
      <c r="A873" s="26">
        <v>855</v>
      </c>
      <c r="B873" s="38">
        <v>818621</v>
      </c>
      <c r="C873" s="39" t="s">
        <v>1311</v>
      </c>
      <c r="D873" s="27" t="str">
        <f>UPPER(C873)</f>
        <v>SIKASEAL-171 GRIS      C5054  /12 CTR280</v>
      </c>
      <c r="E873" s="40" t="s">
        <v>1308</v>
      </c>
      <c r="F873" s="29" t="s">
        <v>129</v>
      </c>
      <c r="G873" s="41" t="s">
        <v>14</v>
      </c>
      <c r="H873" s="42">
        <v>280</v>
      </c>
      <c r="I873" s="43" t="s">
        <v>1445</v>
      </c>
      <c r="J873" s="44">
        <v>12</v>
      </c>
      <c r="K873" s="45" t="s">
        <v>8</v>
      </c>
      <c r="L873" s="83">
        <v>16950</v>
      </c>
      <c r="M873" s="35">
        <v>6.9400630914826511E-2</v>
      </c>
    </row>
    <row r="874" spans="1:13" x14ac:dyDescent="0.25">
      <c r="A874" s="26">
        <v>237</v>
      </c>
      <c r="B874" s="38">
        <v>824421</v>
      </c>
      <c r="C874" s="39" t="s">
        <v>513</v>
      </c>
      <c r="D874" s="27" t="str">
        <f>UPPER(C874)</f>
        <v>SIKAVISCOCRETE-711 P             BG 20KG</v>
      </c>
      <c r="E874" s="40" t="s">
        <v>514</v>
      </c>
      <c r="F874" s="29"/>
      <c r="G874" s="41"/>
      <c r="H874" s="42">
        <v>20</v>
      </c>
      <c r="I874" s="43" t="s">
        <v>50</v>
      </c>
      <c r="J874" s="44">
        <v>1</v>
      </c>
      <c r="K874" s="45" t="s">
        <v>8</v>
      </c>
      <c r="L874" s="83">
        <v>244050</v>
      </c>
      <c r="M874" s="35">
        <v>0.04</v>
      </c>
    </row>
    <row r="875" spans="1:13" x14ac:dyDescent="0.25">
      <c r="A875" s="91">
        <v>216</v>
      </c>
      <c r="B875" s="106">
        <v>826871</v>
      </c>
      <c r="C875" s="107" t="s">
        <v>482</v>
      </c>
      <c r="D875" s="121" t="str">
        <f>CONCATENATE(UPPER(C875),$D$3)</f>
        <v>SIKASTABILIZER-3920 VMC         TANKER KG "E"</v>
      </c>
      <c r="E875" s="108" t="s">
        <v>483</v>
      </c>
      <c r="F875" s="94"/>
      <c r="G875" s="109"/>
      <c r="H875" s="110">
        <v>1</v>
      </c>
      <c r="I875" s="111" t="s">
        <v>50</v>
      </c>
      <c r="J875" s="112">
        <v>1</v>
      </c>
      <c r="K875" s="113" t="s">
        <v>8</v>
      </c>
      <c r="L875" s="83">
        <v>16300</v>
      </c>
      <c r="M875" s="100">
        <v>6.9999999999999993E-2</v>
      </c>
    </row>
    <row r="876" spans="1:13" x14ac:dyDescent="0.25">
      <c r="A876" s="26">
        <v>71</v>
      </c>
      <c r="B876" s="38">
        <v>834529</v>
      </c>
      <c r="C876" s="39" t="s">
        <v>278</v>
      </c>
      <c r="D876" s="27" t="str">
        <f t="shared" ref="D876:D897" si="51">UPPER(C876)</f>
        <v>SIKACERAM-280 C.GRUESA &amp; G.FORMA.BG 50KG</v>
      </c>
      <c r="E876" s="40" t="s">
        <v>277</v>
      </c>
      <c r="F876" s="29"/>
      <c r="G876" s="60"/>
      <c r="H876" s="42">
        <v>1</v>
      </c>
      <c r="I876" s="43" t="s">
        <v>50</v>
      </c>
      <c r="J876" s="125">
        <v>1</v>
      </c>
      <c r="K876" s="90" t="s">
        <v>8</v>
      </c>
      <c r="L876" s="83">
        <v>175600</v>
      </c>
      <c r="M876" s="35">
        <v>6.4000000000000001E-2</v>
      </c>
    </row>
    <row r="877" spans="1:13" x14ac:dyDescent="0.25">
      <c r="A877" s="26">
        <v>70</v>
      </c>
      <c r="B877" s="38">
        <v>834530</v>
      </c>
      <c r="C877" s="39" t="s">
        <v>276</v>
      </c>
      <c r="D877" s="27" t="str">
        <f t="shared" si="51"/>
        <v>SIKACERAM-280 C.GRUESA &amp; G.FORMA.BG 25KG</v>
      </c>
      <c r="E877" s="40" t="s">
        <v>277</v>
      </c>
      <c r="F877" s="29"/>
      <c r="G877" s="60"/>
      <c r="H877" s="42">
        <v>1</v>
      </c>
      <c r="I877" s="43" t="s">
        <v>50</v>
      </c>
      <c r="J877" s="125">
        <v>1</v>
      </c>
      <c r="K877" s="90" t="s">
        <v>8</v>
      </c>
      <c r="L877" s="83">
        <v>100800</v>
      </c>
      <c r="M877" s="35">
        <v>6.4000000000000001E-2</v>
      </c>
    </row>
    <row r="878" spans="1:13" x14ac:dyDescent="0.25">
      <c r="A878" s="26">
        <v>932</v>
      </c>
      <c r="B878" s="38">
        <v>842022</v>
      </c>
      <c r="C878" s="39" t="s">
        <v>1419</v>
      </c>
      <c r="D878" s="27" t="str">
        <f t="shared" si="51"/>
        <v>SIKALASTIC-1K ES GRIS CLARO C1433 SA</v>
      </c>
      <c r="E878" s="40" t="s">
        <v>1420</v>
      </c>
      <c r="F878" s="29"/>
      <c r="G878" s="41" t="s">
        <v>60</v>
      </c>
      <c r="H878" s="42">
        <v>20</v>
      </c>
      <c r="I878" s="43" t="s">
        <v>50</v>
      </c>
      <c r="J878" s="44">
        <v>1</v>
      </c>
      <c r="K878" s="45" t="s">
        <v>8</v>
      </c>
      <c r="L878" s="83">
        <v>581350</v>
      </c>
      <c r="M878" s="35">
        <v>8.6999999999999994E-2</v>
      </c>
    </row>
    <row r="879" spans="1:13" x14ac:dyDescent="0.25">
      <c r="A879" s="26">
        <v>859</v>
      </c>
      <c r="B879" s="38">
        <v>848427</v>
      </c>
      <c r="C879" s="39" t="s">
        <v>1316</v>
      </c>
      <c r="D879" s="27" t="str">
        <f t="shared" si="51"/>
        <v>SIKASEAL-130 TRANSPA.C5051(BLI.)/12X85ML</v>
      </c>
      <c r="E879" s="40" t="s">
        <v>1313</v>
      </c>
      <c r="F879" s="29"/>
      <c r="G879" s="60"/>
      <c r="H879" s="42">
        <v>85</v>
      </c>
      <c r="I879" s="43" t="s">
        <v>1445</v>
      </c>
      <c r="J879" s="89">
        <v>12</v>
      </c>
      <c r="K879" s="90" t="s">
        <v>8</v>
      </c>
      <c r="L879" s="83">
        <v>7650</v>
      </c>
      <c r="M879" s="35">
        <v>6.7000000000000004E-2</v>
      </c>
    </row>
    <row r="880" spans="1:13" x14ac:dyDescent="0.25">
      <c r="A880" s="26">
        <v>858</v>
      </c>
      <c r="B880" s="38">
        <v>848428</v>
      </c>
      <c r="C880" s="39" t="s">
        <v>1315</v>
      </c>
      <c r="D880" s="27" t="str">
        <f t="shared" si="51"/>
        <v>SIKASEAL-130 WHITE  C5051 (BLI.)/12X85ML</v>
      </c>
      <c r="E880" s="40" t="s">
        <v>1313</v>
      </c>
      <c r="F880" s="29"/>
      <c r="G880" s="60"/>
      <c r="H880" s="42">
        <v>85</v>
      </c>
      <c r="I880" s="43" t="s">
        <v>1445</v>
      </c>
      <c r="J880" s="89">
        <v>12</v>
      </c>
      <c r="K880" s="90" t="s">
        <v>8</v>
      </c>
      <c r="L880" s="83">
        <v>7650</v>
      </c>
      <c r="M880" s="35">
        <v>6.7000000000000004E-2</v>
      </c>
    </row>
    <row r="881" spans="1:13" x14ac:dyDescent="0.25">
      <c r="A881" s="26">
        <v>857</v>
      </c>
      <c r="B881" s="38">
        <v>848457</v>
      </c>
      <c r="C881" s="39" t="s">
        <v>1314</v>
      </c>
      <c r="D881" s="27" t="str">
        <f t="shared" si="51"/>
        <v>SIKASEAL-130 TRANSPAREN.C5051 /12 CTR280</v>
      </c>
      <c r="E881" s="40" t="s">
        <v>1313</v>
      </c>
      <c r="F881" s="29"/>
      <c r="G881" s="60"/>
      <c r="H881" s="42">
        <v>280</v>
      </c>
      <c r="I881" s="43" t="s">
        <v>1445</v>
      </c>
      <c r="J881" s="89">
        <v>12</v>
      </c>
      <c r="K881" s="90" t="s">
        <v>8</v>
      </c>
      <c r="L881" s="83">
        <v>12150</v>
      </c>
      <c r="M881" s="35">
        <v>6.7000000000000004E-2</v>
      </c>
    </row>
    <row r="882" spans="1:13" x14ac:dyDescent="0.25">
      <c r="A882" s="26">
        <v>856</v>
      </c>
      <c r="B882" s="38">
        <v>848504</v>
      </c>
      <c r="C882" s="39" t="s">
        <v>1312</v>
      </c>
      <c r="D882" s="27" t="str">
        <f t="shared" si="51"/>
        <v>SIKASEAL-130 WHITE     C5051  /12 CTR280</v>
      </c>
      <c r="E882" s="40" t="s">
        <v>1313</v>
      </c>
      <c r="F882" s="29"/>
      <c r="G882" s="60"/>
      <c r="H882" s="42">
        <v>280</v>
      </c>
      <c r="I882" s="43" t="s">
        <v>1445</v>
      </c>
      <c r="J882" s="89">
        <v>12</v>
      </c>
      <c r="K882" s="90" t="s">
        <v>8</v>
      </c>
      <c r="L882" s="83">
        <v>12150</v>
      </c>
      <c r="M882" s="35">
        <v>6.7000000000000004E-2</v>
      </c>
    </row>
    <row r="883" spans="1:13" x14ac:dyDescent="0.25">
      <c r="A883" s="26">
        <v>256</v>
      </c>
      <c r="B883" s="38">
        <v>861737</v>
      </c>
      <c r="C883" s="39" t="s">
        <v>544</v>
      </c>
      <c r="D883" s="27" t="str">
        <f t="shared" si="51"/>
        <v>SIKAFIBER-6 MICRO              /10X1,5KG</v>
      </c>
      <c r="E883" s="40" t="s">
        <v>545</v>
      </c>
      <c r="F883" s="29"/>
      <c r="G883" s="41"/>
      <c r="H883" s="42">
        <v>1.5</v>
      </c>
      <c r="I883" s="43" t="s">
        <v>50</v>
      </c>
      <c r="J883" s="44">
        <v>1</v>
      </c>
      <c r="K883" s="45" t="s">
        <v>8</v>
      </c>
      <c r="L883" s="83">
        <v>48050</v>
      </c>
      <c r="M883" s="35">
        <v>6.9999999999999993E-2</v>
      </c>
    </row>
    <row r="884" spans="1:13" x14ac:dyDescent="0.25">
      <c r="A884" s="26">
        <v>684</v>
      </c>
      <c r="B884" s="38">
        <v>861738</v>
      </c>
      <c r="C884" s="39" t="s">
        <v>1089</v>
      </c>
      <c r="D884" s="27" t="str">
        <f t="shared" si="51"/>
        <v>SIKAGARD-301 EP MATTE GREY</v>
      </c>
      <c r="E884" s="40" t="s">
        <v>1085</v>
      </c>
      <c r="F884" s="29" t="s">
        <v>129</v>
      </c>
      <c r="G884" s="41" t="s">
        <v>131</v>
      </c>
      <c r="H884" s="42">
        <v>1</v>
      </c>
      <c r="I884" s="43" t="s">
        <v>130</v>
      </c>
      <c r="J884" s="44">
        <v>1</v>
      </c>
      <c r="K884" s="45" t="s">
        <v>8</v>
      </c>
      <c r="L884" s="83">
        <v>114800</v>
      </c>
      <c r="M884" s="35">
        <v>9.286585678852799E-2</v>
      </c>
    </row>
    <row r="885" spans="1:13" x14ac:dyDescent="0.25">
      <c r="A885" s="26">
        <v>681</v>
      </c>
      <c r="B885" s="38">
        <v>861835</v>
      </c>
      <c r="C885" s="39" t="s">
        <v>1086</v>
      </c>
      <c r="D885" s="27" t="str">
        <f t="shared" si="51"/>
        <v>SIKAGARD-301 EP BLACK</v>
      </c>
      <c r="E885" s="40" t="s">
        <v>1085</v>
      </c>
      <c r="F885" s="29" t="s">
        <v>129</v>
      </c>
      <c r="G885" s="41" t="s">
        <v>31</v>
      </c>
      <c r="H885" s="42">
        <v>1</v>
      </c>
      <c r="I885" s="43" t="s">
        <v>130</v>
      </c>
      <c r="J885" s="44">
        <v>1</v>
      </c>
      <c r="K885" s="45" t="s">
        <v>8</v>
      </c>
      <c r="L885" s="83">
        <v>114800</v>
      </c>
      <c r="M885" s="35">
        <v>9.286585678852799E-2</v>
      </c>
    </row>
    <row r="886" spans="1:13" x14ac:dyDescent="0.25">
      <c r="A886" s="26">
        <v>680</v>
      </c>
      <c r="B886" s="38">
        <v>861837</v>
      </c>
      <c r="C886" s="39" t="s">
        <v>1084</v>
      </c>
      <c r="D886" s="27" t="str">
        <f t="shared" si="51"/>
        <v>SIKAGARD-301 EP WHITE</v>
      </c>
      <c r="E886" s="40" t="s">
        <v>1085</v>
      </c>
      <c r="F886" s="29" t="s">
        <v>129</v>
      </c>
      <c r="G886" s="41" t="s">
        <v>15</v>
      </c>
      <c r="H886" s="42">
        <v>1</v>
      </c>
      <c r="I886" s="43" t="s">
        <v>130</v>
      </c>
      <c r="J886" s="44">
        <v>1</v>
      </c>
      <c r="K886" s="45" t="s">
        <v>8</v>
      </c>
      <c r="L886" s="83">
        <v>114800</v>
      </c>
      <c r="M886" s="35">
        <v>9.286585678852799E-2</v>
      </c>
    </row>
    <row r="887" spans="1:13" x14ac:dyDescent="0.25">
      <c r="A887" s="26">
        <v>682</v>
      </c>
      <c r="B887" s="38">
        <v>861907</v>
      </c>
      <c r="C887" s="39" t="s">
        <v>1087</v>
      </c>
      <c r="D887" s="27" t="str">
        <f t="shared" si="51"/>
        <v>SIKAGARD-301 EP GREY</v>
      </c>
      <c r="E887" s="40" t="s">
        <v>1085</v>
      </c>
      <c r="F887" s="29" t="s">
        <v>129</v>
      </c>
      <c r="G887" s="41" t="s">
        <v>14</v>
      </c>
      <c r="H887" s="42">
        <v>1</v>
      </c>
      <c r="I887" s="43" t="s">
        <v>130</v>
      </c>
      <c r="J887" s="44">
        <v>1</v>
      </c>
      <c r="K887" s="45" t="s">
        <v>8</v>
      </c>
      <c r="L887" s="83">
        <v>114800</v>
      </c>
      <c r="M887" s="35">
        <v>9.286585678852799E-2</v>
      </c>
    </row>
    <row r="888" spans="1:13" x14ac:dyDescent="0.25">
      <c r="A888" s="26">
        <v>258</v>
      </c>
      <c r="B888" s="38">
        <v>861971</v>
      </c>
      <c r="C888" s="39" t="s">
        <v>548</v>
      </c>
      <c r="D888" s="27" t="str">
        <f t="shared" si="51"/>
        <v>SIKAFIBER-700 AD                /25X0,7KG</v>
      </c>
      <c r="E888" s="40" t="s">
        <v>549</v>
      </c>
      <c r="F888" s="29"/>
      <c r="G888" s="41"/>
      <c r="H888" s="42">
        <v>0.7</v>
      </c>
      <c r="I888" s="43" t="s">
        <v>50</v>
      </c>
      <c r="J888" s="44">
        <v>1</v>
      </c>
      <c r="K888" s="45" t="s">
        <v>8</v>
      </c>
      <c r="L888" s="83">
        <v>29150</v>
      </c>
      <c r="M888" s="35">
        <v>0.03</v>
      </c>
    </row>
    <row r="889" spans="1:13" x14ac:dyDescent="0.25">
      <c r="A889" s="26">
        <v>685</v>
      </c>
      <c r="B889" s="38">
        <v>861980</v>
      </c>
      <c r="C889" s="39" t="s">
        <v>1090</v>
      </c>
      <c r="D889" s="27" t="str">
        <f t="shared" si="51"/>
        <v>SIKAGARD-301 EP MATTE BLACK</v>
      </c>
      <c r="E889" s="40" t="s">
        <v>1085</v>
      </c>
      <c r="F889" s="29" t="s">
        <v>129</v>
      </c>
      <c r="G889" s="41" t="s">
        <v>132</v>
      </c>
      <c r="H889" s="42">
        <v>1</v>
      </c>
      <c r="I889" s="43" t="s">
        <v>130</v>
      </c>
      <c r="J889" s="44">
        <v>1</v>
      </c>
      <c r="K889" s="45" t="s">
        <v>8</v>
      </c>
      <c r="L889" s="83">
        <v>114800</v>
      </c>
      <c r="M889" s="35">
        <v>9.286585678852799E-2</v>
      </c>
    </row>
    <row r="890" spans="1:13" x14ac:dyDescent="0.25">
      <c r="A890" s="26">
        <v>683</v>
      </c>
      <c r="B890" s="38">
        <v>861982</v>
      </c>
      <c r="C890" s="39" t="s">
        <v>1088</v>
      </c>
      <c r="D890" s="27" t="str">
        <f t="shared" si="51"/>
        <v>SIKAGARD-301 EP MATTE WHITE</v>
      </c>
      <c r="E890" s="40" t="s">
        <v>1085</v>
      </c>
      <c r="F890" s="29" t="s">
        <v>129</v>
      </c>
      <c r="G890" s="41" t="s">
        <v>123</v>
      </c>
      <c r="H890" s="42">
        <v>1</v>
      </c>
      <c r="I890" s="43" t="s">
        <v>130</v>
      </c>
      <c r="J890" s="44">
        <v>1</v>
      </c>
      <c r="K890" s="45" t="s">
        <v>8</v>
      </c>
      <c r="L890" s="83">
        <v>114800</v>
      </c>
      <c r="M890" s="35">
        <v>9.286585678852799E-2</v>
      </c>
    </row>
    <row r="891" spans="1:13" x14ac:dyDescent="0.25">
      <c r="A891" s="26">
        <v>257</v>
      </c>
      <c r="B891" s="38">
        <v>864294</v>
      </c>
      <c r="C891" s="39" t="s">
        <v>546</v>
      </c>
      <c r="D891" s="27" t="str">
        <f t="shared" si="51"/>
        <v>SIKAFIBER-600 CO                /25X0,6KG</v>
      </c>
      <c r="E891" s="40" t="s">
        <v>547</v>
      </c>
      <c r="F891" s="29"/>
      <c r="G891" s="41"/>
      <c r="H891" s="42">
        <v>0.6</v>
      </c>
      <c r="I891" s="43" t="s">
        <v>50</v>
      </c>
      <c r="J891" s="44">
        <v>1</v>
      </c>
      <c r="K891" s="45" t="s">
        <v>8</v>
      </c>
      <c r="L891" s="83">
        <v>21300</v>
      </c>
      <c r="M891" s="35">
        <v>6.9999999999999993E-2</v>
      </c>
    </row>
    <row r="892" spans="1:13" x14ac:dyDescent="0.25">
      <c r="A892" s="26">
        <v>198</v>
      </c>
      <c r="B892" s="38">
        <v>869684</v>
      </c>
      <c r="C892" s="39" t="s">
        <v>455</v>
      </c>
      <c r="D892" s="27" t="str">
        <f t="shared" si="51"/>
        <v>SIKASEPAROL RL 280              CO 900KG</v>
      </c>
      <c r="E892" s="40" t="s">
        <v>451</v>
      </c>
      <c r="F892" s="47"/>
      <c r="G892" s="41"/>
      <c r="H892" s="42">
        <v>900</v>
      </c>
      <c r="I892" s="43" t="s">
        <v>50</v>
      </c>
      <c r="J892" s="44">
        <v>1</v>
      </c>
      <c r="K892" s="45" t="s">
        <v>8</v>
      </c>
      <c r="L892" s="83">
        <v>10092600</v>
      </c>
      <c r="M892" s="35">
        <v>0.08</v>
      </c>
    </row>
    <row r="893" spans="1:13" x14ac:dyDescent="0.25">
      <c r="A893" s="26">
        <v>196</v>
      </c>
      <c r="B893" s="38">
        <v>869706</v>
      </c>
      <c r="C893" s="39" t="s">
        <v>453</v>
      </c>
      <c r="D893" s="27" t="str">
        <f t="shared" si="51"/>
        <v>SIKASEPAROL RL 258              CO 900KG</v>
      </c>
      <c r="E893" s="40" t="s">
        <v>448</v>
      </c>
      <c r="F893" s="47"/>
      <c r="G893" s="41"/>
      <c r="H893" s="42">
        <v>900</v>
      </c>
      <c r="I893" s="43" t="s">
        <v>50</v>
      </c>
      <c r="J893" s="44">
        <v>1</v>
      </c>
      <c r="K893" s="45" t="s">
        <v>8</v>
      </c>
      <c r="L893" s="83">
        <v>13648950</v>
      </c>
      <c r="M893" s="35">
        <v>0.04</v>
      </c>
    </row>
    <row r="894" spans="1:13" x14ac:dyDescent="0.25">
      <c r="A894" s="26">
        <v>777</v>
      </c>
      <c r="B894" s="38">
        <v>869723</v>
      </c>
      <c r="C894" s="39" t="s">
        <v>1203</v>
      </c>
      <c r="D894" s="27" t="str">
        <f t="shared" si="51"/>
        <v>SIKALASTIC-617 CO                BD 5GAL</v>
      </c>
      <c r="E894" s="40" t="s">
        <v>1204</v>
      </c>
      <c r="F894" s="29" t="s">
        <v>129</v>
      </c>
      <c r="G894" s="51"/>
      <c r="H894" s="42">
        <v>28.5</v>
      </c>
      <c r="I894" s="43" t="s">
        <v>1447</v>
      </c>
      <c r="J894" s="44">
        <v>1</v>
      </c>
      <c r="K894" s="45" t="s">
        <v>8</v>
      </c>
      <c r="L894" s="83">
        <v>1619500</v>
      </c>
      <c r="M894" s="35">
        <v>7.2499999999999995E-2</v>
      </c>
    </row>
    <row r="895" spans="1:13" x14ac:dyDescent="0.25">
      <c r="A895" s="26">
        <v>778</v>
      </c>
      <c r="B895" s="38">
        <v>869725</v>
      </c>
      <c r="C895" s="39" t="s">
        <v>1205</v>
      </c>
      <c r="D895" s="27" t="str">
        <f t="shared" si="51"/>
        <v>SIKALASTIC-617 CO                /4X1GAL</v>
      </c>
      <c r="E895" s="40" t="s">
        <v>1204</v>
      </c>
      <c r="F895" s="29" t="s">
        <v>129</v>
      </c>
      <c r="G895" s="41"/>
      <c r="H895" s="42">
        <v>5.7</v>
      </c>
      <c r="I895" s="43" t="s">
        <v>1447</v>
      </c>
      <c r="J895" s="44">
        <v>1</v>
      </c>
      <c r="K895" s="45" t="s">
        <v>8</v>
      </c>
      <c r="L895" s="83">
        <v>324100</v>
      </c>
      <c r="M895" s="35">
        <v>6.25E-2</v>
      </c>
    </row>
    <row r="896" spans="1:13" x14ac:dyDescent="0.25">
      <c r="A896" s="26">
        <v>197</v>
      </c>
      <c r="B896" s="38">
        <v>869760</v>
      </c>
      <c r="C896" s="39" t="s">
        <v>454</v>
      </c>
      <c r="D896" s="27" t="str">
        <f t="shared" si="51"/>
        <v>SIKASEPAROL RL 280               BD 20KG</v>
      </c>
      <c r="E896" s="40" t="s">
        <v>451</v>
      </c>
      <c r="F896" s="85"/>
      <c r="G896" s="49"/>
      <c r="H896" s="42">
        <v>20</v>
      </c>
      <c r="I896" s="43" t="s">
        <v>50</v>
      </c>
      <c r="J896" s="44">
        <v>1</v>
      </c>
      <c r="K896" s="45" t="s">
        <v>8</v>
      </c>
      <c r="L896" s="83">
        <v>380900</v>
      </c>
      <c r="M896" s="35">
        <v>6.9999999999999993E-2</v>
      </c>
    </row>
    <row r="897" spans="1:13" x14ac:dyDescent="0.25">
      <c r="A897" s="26">
        <v>195</v>
      </c>
      <c r="B897" s="38">
        <v>869770</v>
      </c>
      <c r="C897" s="39" t="s">
        <v>452</v>
      </c>
      <c r="D897" s="27" t="str">
        <f t="shared" si="51"/>
        <v>SIKASEPAROL RL 250              CO 900KG</v>
      </c>
      <c r="E897" s="40" t="s">
        <v>445</v>
      </c>
      <c r="F897" s="47"/>
      <c r="G897" s="41"/>
      <c r="H897" s="42">
        <v>900</v>
      </c>
      <c r="I897" s="43" t="s">
        <v>50</v>
      </c>
      <c r="J897" s="44">
        <v>1</v>
      </c>
      <c r="K897" s="45" t="s">
        <v>8</v>
      </c>
      <c r="L897" s="83">
        <v>9041550</v>
      </c>
      <c r="M897" s="35">
        <v>0.09</v>
      </c>
    </row>
    <row r="898" spans="1:13" x14ac:dyDescent="0.25">
      <c r="A898" s="91">
        <v>843</v>
      </c>
      <c r="B898" s="106">
        <v>874084</v>
      </c>
      <c r="C898" s="107" t="s">
        <v>1291</v>
      </c>
      <c r="D898" s="121" t="str">
        <f>CONCATENATE(UPPER(C898),$D$3)</f>
        <v>CAULKING GUN . BC-1217H 310ML  /12 PC "E"</v>
      </c>
      <c r="E898" s="108" t="s">
        <v>1292</v>
      </c>
      <c r="F898" s="94" t="s">
        <v>129</v>
      </c>
      <c r="G898" s="117"/>
      <c r="H898" s="110">
        <v>1</v>
      </c>
      <c r="I898" s="111" t="s">
        <v>130</v>
      </c>
      <c r="J898" s="112">
        <v>12</v>
      </c>
      <c r="K898" s="113" t="s">
        <v>8</v>
      </c>
      <c r="L898" s="83">
        <v>31400</v>
      </c>
      <c r="M898" s="100">
        <v>6.7000000000000004E-2</v>
      </c>
    </row>
    <row r="899" spans="1:13" x14ac:dyDescent="0.25">
      <c r="A899" s="91">
        <v>844</v>
      </c>
      <c r="B899" s="106">
        <v>874085</v>
      </c>
      <c r="C899" s="107" t="s">
        <v>1293</v>
      </c>
      <c r="D899" s="121" t="str">
        <f>CONCATENATE(UPPER(C899),$D$3)</f>
        <v>GUN CALAFATEO BC-1336-600S        /12 PC "E"</v>
      </c>
      <c r="E899" s="108" t="s">
        <v>1294</v>
      </c>
      <c r="F899" s="94" t="s">
        <v>129</v>
      </c>
      <c r="G899" s="124"/>
      <c r="H899" s="110">
        <v>1</v>
      </c>
      <c r="I899" s="111" t="s">
        <v>130</v>
      </c>
      <c r="J899" s="112">
        <v>12</v>
      </c>
      <c r="K899" s="113" t="s">
        <v>8</v>
      </c>
      <c r="L899" s="83">
        <v>62800</v>
      </c>
      <c r="M899" s="100">
        <v>6.7000000000000004E-2</v>
      </c>
    </row>
    <row r="900" spans="1:13" x14ac:dyDescent="0.25">
      <c r="A900" s="26">
        <v>754</v>
      </c>
      <c r="B900" s="38">
        <v>878170</v>
      </c>
      <c r="C900" s="39" t="s">
        <v>1177</v>
      </c>
      <c r="D900" s="27" t="str">
        <f t="shared" ref="D900:D905" si="52">UPPER(C900)</f>
        <v>SIKAFILL PRIMER PL 20KG</v>
      </c>
      <c r="E900" s="40" t="s">
        <v>1176</v>
      </c>
      <c r="F900" s="29" t="s">
        <v>129</v>
      </c>
      <c r="G900" s="41"/>
      <c r="H900" s="42">
        <v>20</v>
      </c>
      <c r="I900" s="43" t="s">
        <v>50</v>
      </c>
      <c r="J900" s="44">
        <v>1</v>
      </c>
      <c r="K900" s="45" t="s">
        <v>8</v>
      </c>
      <c r="L900" s="83">
        <v>439750</v>
      </c>
      <c r="M900" s="35">
        <v>7.2499999999999995E-2</v>
      </c>
    </row>
    <row r="901" spans="1:13" x14ac:dyDescent="0.25">
      <c r="A901" s="26">
        <v>753</v>
      </c>
      <c r="B901" s="38">
        <v>878172</v>
      </c>
      <c r="C901" s="39" t="s">
        <v>1175</v>
      </c>
      <c r="D901" s="27" t="str">
        <f t="shared" si="52"/>
        <v>SIKAFILL PRIMER /6X4KG</v>
      </c>
      <c r="E901" s="40" t="s">
        <v>1176</v>
      </c>
      <c r="F901" s="29" t="s">
        <v>129</v>
      </c>
      <c r="G901" s="41"/>
      <c r="H901" s="42">
        <v>4</v>
      </c>
      <c r="I901" s="43" t="s">
        <v>50</v>
      </c>
      <c r="J901" s="44">
        <v>1</v>
      </c>
      <c r="K901" s="45" t="s">
        <v>8</v>
      </c>
      <c r="L901" s="83">
        <v>94600</v>
      </c>
      <c r="M901" s="35">
        <v>7.2499999999999995E-2</v>
      </c>
    </row>
    <row r="902" spans="1:13" x14ac:dyDescent="0.25">
      <c r="A902" s="26">
        <v>823</v>
      </c>
      <c r="B902" s="38">
        <v>881070</v>
      </c>
      <c r="C902" s="39" t="s">
        <v>1262</v>
      </c>
      <c r="D902" s="27" t="str">
        <f t="shared" si="52"/>
        <v>SIKAFLEX UNIVERSAL C.GREY C5048/12CTR300</v>
      </c>
      <c r="E902" s="40" t="s">
        <v>1263</v>
      </c>
      <c r="F902" s="48"/>
      <c r="G902" s="41" t="s">
        <v>14</v>
      </c>
      <c r="H902" s="42">
        <v>300</v>
      </c>
      <c r="I902" s="43" t="s">
        <v>1445</v>
      </c>
      <c r="J902" s="44">
        <v>12</v>
      </c>
      <c r="K902" s="45" t="s">
        <v>8</v>
      </c>
      <c r="L902" s="83">
        <v>29600</v>
      </c>
      <c r="M902" s="35">
        <v>6.7000000000000004E-2</v>
      </c>
    </row>
    <row r="903" spans="1:13" x14ac:dyDescent="0.25">
      <c r="A903" s="26">
        <v>824</v>
      </c>
      <c r="B903" s="38">
        <v>881083</v>
      </c>
      <c r="C903" s="39" t="s">
        <v>1264</v>
      </c>
      <c r="D903" s="27" t="str">
        <f t="shared" si="52"/>
        <v>SIKAFLEX UNIVERSAL BLANC.C5048 /12CTR300</v>
      </c>
      <c r="E903" s="40" t="s">
        <v>1263</v>
      </c>
      <c r="F903" s="48"/>
      <c r="G903" s="41" t="s">
        <v>15</v>
      </c>
      <c r="H903" s="42">
        <v>300</v>
      </c>
      <c r="I903" s="43" t="s">
        <v>1445</v>
      </c>
      <c r="J903" s="44">
        <v>12</v>
      </c>
      <c r="K903" s="45" t="s">
        <v>8</v>
      </c>
      <c r="L903" s="83">
        <v>29600</v>
      </c>
      <c r="M903" s="35">
        <v>6.7000000000000004E-2</v>
      </c>
    </row>
    <row r="904" spans="1:13" x14ac:dyDescent="0.25">
      <c r="A904" s="26">
        <v>752</v>
      </c>
      <c r="B904" s="38">
        <v>885029</v>
      </c>
      <c r="C904" s="39" t="s">
        <v>1174</v>
      </c>
      <c r="D904" s="27" t="str">
        <f t="shared" si="52"/>
        <v>SIKAFILL 09 NEGRO                BD 22KG</v>
      </c>
      <c r="E904" s="40" t="s">
        <v>1173</v>
      </c>
      <c r="F904" s="29" t="s">
        <v>129</v>
      </c>
      <c r="G904" s="41"/>
      <c r="H904" s="42">
        <v>22</v>
      </c>
      <c r="I904" s="43" t="s">
        <v>50</v>
      </c>
      <c r="J904" s="44">
        <v>1</v>
      </c>
      <c r="K904" s="45" t="s">
        <v>8</v>
      </c>
      <c r="L904" s="83">
        <v>332500</v>
      </c>
      <c r="M904" s="35">
        <v>7.2499999999999995E-2</v>
      </c>
    </row>
    <row r="905" spans="1:13" x14ac:dyDescent="0.25">
      <c r="A905" s="26">
        <v>751</v>
      </c>
      <c r="B905" s="38">
        <v>885121</v>
      </c>
      <c r="C905" s="39" t="s">
        <v>1172</v>
      </c>
      <c r="D905" s="27" t="str">
        <f t="shared" si="52"/>
        <v>SIKAFILL 09 NEGRO               /4X3,5KG</v>
      </c>
      <c r="E905" s="40" t="s">
        <v>1173</v>
      </c>
      <c r="F905" s="29" t="s">
        <v>129</v>
      </c>
      <c r="G905" s="41"/>
      <c r="H905" s="42">
        <v>3.5</v>
      </c>
      <c r="I905" s="43" t="s">
        <v>50</v>
      </c>
      <c r="J905" s="44">
        <v>1</v>
      </c>
      <c r="K905" s="45" t="s">
        <v>8</v>
      </c>
      <c r="L905" s="83">
        <v>62250</v>
      </c>
      <c r="M905" s="35">
        <v>7.2499999999999995E-2</v>
      </c>
    </row>
    <row r="906" spans="1:13" x14ac:dyDescent="0.25">
      <c r="A906" s="91">
        <v>845</v>
      </c>
      <c r="B906" s="106">
        <v>887819</v>
      </c>
      <c r="C906" s="107" t="s">
        <v>1295</v>
      </c>
      <c r="D906" s="121" t="str">
        <f>CONCATENATE(UPPER(C906),$D$3)</f>
        <v>BOQUILLA PE 100X50 BC-P010-W    /1000 PC "E"</v>
      </c>
      <c r="E906" s="108" t="s">
        <v>1296</v>
      </c>
      <c r="F906" s="114" t="s">
        <v>129</v>
      </c>
      <c r="G906" s="123"/>
      <c r="H906" s="110">
        <v>1</v>
      </c>
      <c r="I906" s="111" t="s">
        <v>130</v>
      </c>
      <c r="J906" s="113">
        <v>1000</v>
      </c>
      <c r="K906" s="113" t="s">
        <v>8</v>
      </c>
      <c r="L906" s="83">
        <v>450</v>
      </c>
      <c r="M906" s="100">
        <v>6.7000000000000004E-2</v>
      </c>
    </row>
    <row r="907" spans="1:13" x14ac:dyDescent="0.25">
      <c r="M907" s="76" t="e">
        <f>SUM(M815:M906)</f>
        <v>#N/A</v>
      </c>
    </row>
    <row r="909" spans="1:13" x14ac:dyDescent="0.25">
      <c r="M909" s="77"/>
    </row>
  </sheetData>
  <autoFilter ref="A4:M907" xr:uid="{00000000-0001-0000-0400-000000000000}">
    <sortState ref="A5:M907">
      <sortCondition ref="B4:B907"/>
    </sortState>
  </autoFilter>
  <conditionalFormatting sqref="B1:B1048576">
    <cfRule type="duplicateValues" dxfId="22" priority="18"/>
  </conditionalFormatting>
  <conditionalFormatting sqref="B30">
    <cfRule type="duplicateValues" dxfId="21" priority="17"/>
  </conditionalFormatting>
  <conditionalFormatting sqref="F1:F3 F5:F192 F194:F200 F202:F556 F558:F813 F815:F905 F907:F1048576">
    <cfRule type="containsText" dxfId="20" priority="19" operator="containsText" text="Nuevo">
      <formula>NOT(ISERROR(SEARCH("Nuevo",F1)))</formula>
    </cfRule>
  </conditionalFormatting>
  <conditionalFormatting sqref="N193:XFD193 F193:G193">
    <cfRule type="duplicateValues" dxfId="19" priority="2"/>
  </conditionalFormatting>
  <conditionalFormatting sqref="N201:XFD201 F201:G201">
    <cfRule type="duplicateValues" dxfId="18" priority="1"/>
  </conditionalFormatting>
  <conditionalFormatting sqref="N549:XFD549 G549">
    <cfRule type="duplicateValues" dxfId="17" priority="5"/>
    <cfRule type="duplicateValues" dxfId="16" priority="6"/>
  </conditionalFormatting>
  <conditionalFormatting sqref="N557:XFD557 F557:G557">
    <cfRule type="duplicateValues" dxfId="15" priority="7"/>
    <cfRule type="duplicateValues" dxfId="14" priority="8"/>
  </conditionalFormatting>
  <conditionalFormatting sqref="N637:XFD637 G637">
    <cfRule type="duplicateValues" dxfId="13" priority="3"/>
    <cfRule type="duplicateValues" dxfId="12" priority="4"/>
  </conditionalFormatting>
  <conditionalFormatting sqref="N658:XFD658">
    <cfRule type="duplicateValues" dxfId="11" priority="9"/>
    <cfRule type="duplicateValues" dxfId="10" priority="10"/>
  </conditionalFormatting>
  <conditionalFormatting sqref="N740:XFD740 G740">
    <cfRule type="duplicateValues" dxfId="9" priority="11"/>
    <cfRule type="duplicateValues" dxfId="8" priority="12"/>
  </conditionalFormatting>
  <conditionalFormatting sqref="N808:XFD808 G808">
    <cfRule type="duplicateValues" dxfId="7" priority="13"/>
    <cfRule type="duplicateValues" dxfId="6" priority="14"/>
  </conditionalFormatting>
  <conditionalFormatting sqref="N818:XFD818">
    <cfRule type="duplicateValues" dxfId="5" priority="15"/>
    <cfRule type="duplicateValues" dxfId="4" priority="16"/>
  </conditionalFormatting>
  <pageMargins left="0.7" right="0.7" top="0.75" bottom="0.75" header="0.3" footer="0.3"/>
  <pageSetup orientation="portrait" r:id="rId1"/>
  <headerFooter>
    <oddFooter>&amp;C_x000D_&amp;1#&amp;"Aptos"&amp;7&amp;K000000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3BD5-1144-4316-A68E-FA2506FFEBC4}">
  <sheetPr>
    <tabColor rgb="FFFFC000"/>
  </sheetPr>
  <dimension ref="A1:G47"/>
  <sheetViews>
    <sheetView showGridLines="0" zoomScale="130" zoomScaleNormal="130" workbookViewId="0">
      <pane ySplit="4" topLeftCell="A5" activePane="bottomLeft" state="frozen"/>
      <selection activeCell="A4" sqref="A4"/>
      <selection pane="bottomLeft" activeCell="E5" sqref="E5:E20"/>
    </sheetView>
  </sheetViews>
  <sheetFormatPr baseColWidth="10" defaultColWidth="11.42578125" defaultRowHeight="14.25" x14ac:dyDescent="0.2"/>
  <cols>
    <col min="1" max="2" width="11.42578125" style="69"/>
    <col min="3" max="3" width="37.140625" style="69" bestFit="1" customWidth="1"/>
    <col min="4" max="4" width="33.28515625" style="69" customWidth="1"/>
    <col min="5" max="5" width="13.28515625" style="69" customWidth="1"/>
    <col min="6" max="6" width="48.140625" style="69" bestFit="1" customWidth="1"/>
    <col min="7" max="16384" width="11.42578125" style="69"/>
  </cols>
  <sheetData>
    <row r="1" spans="1:7" s="63" customFormat="1" ht="11.25" x14ac:dyDescent="0.2">
      <c r="E1" s="64"/>
    </row>
    <row r="2" spans="1:7" s="63" customFormat="1" ht="24.75" customHeight="1" x14ac:dyDescent="0.2">
      <c r="A2" s="126" t="s">
        <v>172</v>
      </c>
      <c r="B2" s="126"/>
      <c r="C2" s="126"/>
      <c r="D2" s="126"/>
      <c r="E2" s="126"/>
      <c r="F2" s="126"/>
    </row>
    <row r="3" spans="1:7" s="63" customFormat="1" ht="12.75" customHeight="1" x14ac:dyDescent="0.2">
      <c r="A3" s="16" t="s">
        <v>173</v>
      </c>
      <c r="E3" s="65"/>
    </row>
    <row r="4" spans="1:7" s="70" customFormat="1" ht="22.5" x14ac:dyDescent="0.2">
      <c r="A4" s="66" t="s">
        <v>174</v>
      </c>
      <c r="B4" s="66" t="s">
        <v>8</v>
      </c>
      <c r="C4" s="66" t="s">
        <v>4</v>
      </c>
      <c r="D4" s="66" t="s">
        <v>5</v>
      </c>
      <c r="E4" s="67" t="s">
        <v>175</v>
      </c>
      <c r="F4" s="68" t="s">
        <v>176</v>
      </c>
      <c r="G4" s="69"/>
    </row>
    <row r="5" spans="1:7" x14ac:dyDescent="0.2">
      <c r="A5" s="71">
        <v>94867</v>
      </c>
      <c r="B5" s="72">
        <v>25</v>
      </c>
      <c r="C5" s="73" t="s">
        <v>1450</v>
      </c>
      <c r="D5" s="50" t="s">
        <v>1451</v>
      </c>
      <c r="E5" s="74">
        <v>6954799.9998261295</v>
      </c>
      <c r="F5" s="75" t="s">
        <v>1452</v>
      </c>
    </row>
    <row r="6" spans="1:7" x14ac:dyDescent="0.2">
      <c r="A6" s="71">
        <v>102926</v>
      </c>
      <c r="B6" s="72">
        <v>150</v>
      </c>
      <c r="C6" s="73" t="s">
        <v>1453</v>
      </c>
      <c r="D6" s="50" t="s">
        <v>710</v>
      </c>
      <c r="E6" s="74">
        <v>13939866.666318169</v>
      </c>
      <c r="F6" s="75" t="s">
        <v>1452</v>
      </c>
    </row>
    <row r="7" spans="1:7" x14ac:dyDescent="0.2">
      <c r="A7" s="71">
        <v>94640</v>
      </c>
      <c r="B7" s="72">
        <v>75</v>
      </c>
      <c r="C7" s="73" t="s">
        <v>1454</v>
      </c>
      <c r="D7" s="50" t="s">
        <v>726</v>
      </c>
      <c r="E7" s="74">
        <v>7900599.9998024842</v>
      </c>
      <c r="F7" s="75" t="s">
        <v>1452</v>
      </c>
    </row>
    <row r="8" spans="1:7" x14ac:dyDescent="0.2">
      <c r="A8" s="71">
        <v>94650</v>
      </c>
      <c r="B8" s="72">
        <v>75</v>
      </c>
      <c r="C8" s="73" t="s">
        <v>1455</v>
      </c>
      <c r="D8" s="50" t="s">
        <v>730</v>
      </c>
      <c r="E8" s="74">
        <v>7989266.6664669346</v>
      </c>
      <c r="F8" s="75" t="s">
        <v>1452</v>
      </c>
    </row>
    <row r="9" spans="1:7" x14ac:dyDescent="0.2">
      <c r="A9" s="71">
        <v>535830</v>
      </c>
      <c r="B9" s="72">
        <v>6</v>
      </c>
      <c r="C9" s="73" t="s">
        <v>1456</v>
      </c>
      <c r="D9" s="50" t="s">
        <v>1457</v>
      </c>
      <c r="E9" s="74">
        <v>822333.33331277501</v>
      </c>
      <c r="F9" s="75" t="s">
        <v>1452</v>
      </c>
    </row>
    <row r="10" spans="1:7" x14ac:dyDescent="0.2">
      <c r="A10" s="71">
        <v>415378</v>
      </c>
      <c r="B10" s="72">
        <v>4</v>
      </c>
      <c r="C10" s="73" t="s">
        <v>1458</v>
      </c>
      <c r="D10" s="50" t="s">
        <v>1459</v>
      </c>
      <c r="E10" s="74">
        <v>546533.33331966994</v>
      </c>
      <c r="F10" s="75" t="s">
        <v>1452</v>
      </c>
    </row>
    <row r="11" spans="1:7" x14ac:dyDescent="0.2">
      <c r="A11" s="71">
        <v>164873</v>
      </c>
      <c r="B11" s="72">
        <v>1</v>
      </c>
      <c r="C11" s="73" t="s">
        <v>1460</v>
      </c>
      <c r="D11" s="50" t="s">
        <v>1461</v>
      </c>
      <c r="E11" s="74">
        <v>471199.99998821999</v>
      </c>
      <c r="F11" s="75" t="s">
        <v>1452</v>
      </c>
    </row>
    <row r="12" spans="1:7" x14ac:dyDescent="0.2">
      <c r="A12" s="71">
        <v>162973</v>
      </c>
      <c r="B12" s="72">
        <v>1</v>
      </c>
      <c r="C12" s="73" t="s">
        <v>1462</v>
      </c>
      <c r="D12" s="50" t="s">
        <v>1463</v>
      </c>
      <c r="E12" s="74">
        <v>340266.66665815999</v>
      </c>
      <c r="F12" s="75" t="s">
        <v>1452</v>
      </c>
    </row>
    <row r="13" spans="1:7" x14ac:dyDescent="0.2">
      <c r="A13" s="71">
        <v>465764</v>
      </c>
      <c r="B13" s="72">
        <v>1</v>
      </c>
      <c r="C13" s="73" t="s">
        <v>1464</v>
      </c>
      <c r="D13" s="50" t="s">
        <v>1465</v>
      </c>
      <c r="E13" s="74">
        <v>4650666.6665503997</v>
      </c>
      <c r="F13" s="75" t="s">
        <v>1452</v>
      </c>
    </row>
    <row r="14" spans="1:7" x14ac:dyDescent="0.2">
      <c r="A14" s="71">
        <v>400068</v>
      </c>
      <c r="B14" s="72">
        <v>1</v>
      </c>
      <c r="C14" s="73" t="s">
        <v>1466</v>
      </c>
      <c r="D14" s="50" t="s">
        <v>1467</v>
      </c>
      <c r="E14" s="74">
        <v>16674399.999583138</v>
      </c>
      <c r="F14" s="75" t="s">
        <v>1452</v>
      </c>
    </row>
    <row r="15" spans="1:7" x14ac:dyDescent="0.2">
      <c r="A15" s="71">
        <v>181282</v>
      </c>
      <c r="B15" s="72">
        <v>1</v>
      </c>
      <c r="C15" s="73" t="s">
        <v>1468</v>
      </c>
      <c r="D15" s="50" t="s">
        <v>1469</v>
      </c>
      <c r="E15" s="74">
        <v>16102733.332930764</v>
      </c>
      <c r="F15" s="75" t="s">
        <v>1452</v>
      </c>
    </row>
    <row r="16" spans="1:7" x14ac:dyDescent="0.2">
      <c r="A16" s="71">
        <v>626430</v>
      </c>
      <c r="B16" s="72">
        <v>1</v>
      </c>
      <c r="C16" s="73" t="s">
        <v>1470</v>
      </c>
      <c r="D16" s="50" t="s">
        <v>1052</v>
      </c>
      <c r="E16" s="74">
        <v>359333.33332434995</v>
      </c>
      <c r="F16" s="75" t="s">
        <v>1452</v>
      </c>
    </row>
    <row r="17" spans="1:6" x14ac:dyDescent="0.2">
      <c r="A17" s="71">
        <v>568619</v>
      </c>
      <c r="B17" s="72">
        <v>6</v>
      </c>
      <c r="C17" s="73" t="s">
        <v>1471</v>
      </c>
      <c r="D17" s="50" t="s">
        <v>1472</v>
      </c>
      <c r="E17" s="74">
        <v>2808599.9999297848</v>
      </c>
      <c r="F17" s="75" t="s">
        <v>1452</v>
      </c>
    </row>
    <row r="18" spans="1:6" x14ac:dyDescent="0.2">
      <c r="A18" s="71">
        <v>95413</v>
      </c>
      <c r="B18" s="72">
        <v>230</v>
      </c>
      <c r="C18" s="73" t="s">
        <v>1473</v>
      </c>
      <c r="D18" s="50" t="s">
        <v>965</v>
      </c>
      <c r="E18" s="74">
        <v>4109999.99989725</v>
      </c>
      <c r="F18" s="75" t="s">
        <v>1452</v>
      </c>
    </row>
    <row r="19" spans="1:6" x14ac:dyDescent="0.2">
      <c r="A19" s="71">
        <v>102775</v>
      </c>
      <c r="B19" s="72">
        <v>50</v>
      </c>
      <c r="C19" s="73" t="s">
        <v>1474</v>
      </c>
      <c r="D19" s="50" t="s">
        <v>1475</v>
      </c>
      <c r="E19" s="74">
        <v>745799.99998135492</v>
      </c>
      <c r="F19" s="75" t="s">
        <v>1452</v>
      </c>
    </row>
    <row r="20" spans="1:6" x14ac:dyDescent="0.2">
      <c r="A20" s="71">
        <v>102774</v>
      </c>
      <c r="B20" s="72">
        <v>50</v>
      </c>
      <c r="C20" s="73" t="s">
        <v>1476</v>
      </c>
      <c r="D20" s="50" t="s">
        <v>1475</v>
      </c>
      <c r="E20" s="74">
        <v>685199.99998286995</v>
      </c>
      <c r="F20" s="75" t="s">
        <v>1452</v>
      </c>
    </row>
    <row r="21" spans="1:6" x14ac:dyDescent="0.2">
      <c r="A21" s="71">
        <v>105421</v>
      </c>
      <c r="B21" s="72">
        <v>40</v>
      </c>
      <c r="C21" s="73" t="s">
        <v>1477</v>
      </c>
      <c r="D21" s="50" t="s">
        <v>180</v>
      </c>
      <c r="E21" s="74">
        <v>5009666.6665414246</v>
      </c>
      <c r="F21" s="75" t="s">
        <v>1452</v>
      </c>
    </row>
    <row r="22" spans="1:6" x14ac:dyDescent="0.2">
      <c r="A22" s="71">
        <v>105424</v>
      </c>
      <c r="B22" s="72">
        <v>40</v>
      </c>
      <c r="C22" s="73" t="s">
        <v>1478</v>
      </c>
      <c r="D22" s="50" t="s">
        <v>180</v>
      </c>
      <c r="E22" s="74">
        <v>5009666.6665414246</v>
      </c>
      <c r="F22" s="75" t="s">
        <v>1452</v>
      </c>
    </row>
    <row r="23" spans="1:6" x14ac:dyDescent="0.2">
      <c r="A23" s="71">
        <v>105423</v>
      </c>
      <c r="B23" s="72">
        <v>40</v>
      </c>
      <c r="C23" s="73" t="s">
        <v>1479</v>
      </c>
      <c r="D23" s="50" t="s">
        <v>180</v>
      </c>
      <c r="E23" s="74">
        <v>5009666.6665414246</v>
      </c>
      <c r="F23" s="75" t="s">
        <v>1452</v>
      </c>
    </row>
    <row r="24" spans="1:6" x14ac:dyDescent="0.2">
      <c r="A24" s="71">
        <v>415417</v>
      </c>
      <c r="B24" s="72">
        <v>5.55</v>
      </c>
      <c r="C24" s="73" t="s">
        <v>1480</v>
      </c>
      <c r="D24" s="50" t="s">
        <v>1481</v>
      </c>
      <c r="E24" s="74">
        <v>1124866.666638545</v>
      </c>
      <c r="F24" s="75" t="s">
        <v>1452</v>
      </c>
    </row>
    <row r="25" spans="1:6" x14ac:dyDescent="0.2">
      <c r="A25" s="71">
        <v>649200</v>
      </c>
      <c r="B25" s="72">
        <v>20.63</v>
      </c>
      <c r="C25" s="73" t="s">
        <v>1482</v>
      </c>
      <c r="D25" s="50" t="s">
        <v>1483</v>
      </c>
      <c r="E25" s="74">
        <v>5462399.9998634392</v>
      </c>
      <c r="F25" s="75" t="s">
        <v>1452</v>
      </c>
    </row>
    <row r="26" spans="1:6" x14ac:dyDescent="0.2">
      <c r="A26" s="71">
        <v>499000</v>
      </c>
      <c r="B26" s="72">
        <v>4.87</v>
      </c>
      <c r="C26" s="73" t="s">
        <v>1484</v>
      </c>
      <c r="D26" s="50" t="s">
        <v>961</v>
      </c>
      <c r="E26" s="74">
        <v>1268733.333301615</v>
      </c>
      <c r="F26" s="75" t="s">
        <v>1452</v>
      </c>
    </row>
    <row r="27" spans="1:6" x14ac:dyDescent="0.2">
      <c r="A27" s="71">
        <v>152347</v>
      </c>
      <c r="B27" s="72">
        <v>4.5</v>
      </c>
      <c r="C27" s="73" t="s">
        <v>1485</v>
      </c>
      <c r="D27" s="50" t="s">
        <v>1041</v>
      </c>
      <c r="E27" s="74">
        <v>829266.66664593492</v>
      </c>
      <c r="F27" s="75" t="s">
        <v>1452</v>
      </c>
    </row>
    <row r="28" spans="1:6" x14ac:dyDescent="0.2">
      <c r="A28" s="71">
        <v>539248</v>
      </c>
      <c r="B28" s="72">
        <v>4.87</v>
      </c>
      <c r="C28" s="73" t="s">
        <v>1486</v>
      </c>
      <c r="D28" s="50" t="s">
        <v>961</v>
      </c>
      <c r="E28" s="74">
        <v>1268733.333301615</v>
      </c>
      <c r="F28" s="75" t="s">
        <v>1452</v>
      </c>
    </row>
    <row r="29" spans="1:6" x14ac:dyDescent="0.2">
      <c r="A29" s="71">
        <v>638080</v>
      </c>
      <c r="B29" s="72">
        <v>4.87</v>
      </c>
      <c r="C29" s="73" t="s">
        <v>1487</v>
      </c>
      <c r="D29" s="50" t="s">
        <v>961</v>
      </c>
      <c r="E29" s="74">
        <v>1268733.333301615</v>
      </c>
      <c r="F29" s="75" t="s">
        <v>1452</v>
      </c>
    </row>
    <row r="30" spans="1:6" x14ac:dyDescent="0.2">
      <c r="A30" s="71">
        <v>492968</v>
      </c>
      <c r="B30" s="72">
        <v>4.87</v>
      </c>
      <c r="C30" s="73" t="s">
        <v>1488</v>
      </c>
      <c r="D30" s="50" t="s">
        <v>961</v>
      </c>
      <c r="E30" s="74">
        <v>1268733.333301615</v>
      </c>
      <c r="F30" s="75" t="s">
        <v>1452</v>
      </c>
    </row>
    <row r="31" spans="1:6" x14ac:dyDescent="0.2">
      <c r="A31" s="71">
        <v>152561</v>
      </c>
      <c r="B31" s="72">
        <v>48</v>
      </c>
      <c r="C31" s="73" t="s">
        <v>1489</v>
      </c>
      <c r="D31" s="50" t="s">
        <v>750</v>
      </c>
      <c r="E31" s="74">
        <v>8504866.6664540451</v>
      </c>
      <c r="F31" s="75" t="s">
        <v>1452</v>
      </c>
    </row>
    <row r="32" spans="1:6" x14ac:dyDescent="0.2">
      <c r="A32" s="71">
        <v>152136</v>
      </c>
      <c r="B32" s="72">
        <v>48</v>
      </c>
      <c r="C32" s="73" t="s">
        <v>1490</v>
      </c>
      <c r="D32" s="50" t="s">
        <v>750</v>
      </c>
      <c r="E32" s="74">
        <v>10959066.66639269</v>
      </c>
      <c r="F32" s="75" t="s">
        <v>1452</v>
      </c>
    </row>
    <row r="33" spans="1:6" x14ac:dyDescent="0.2">
      <c r="A33" s="71">
        <v>105468</v>
      </c>
      <c r="B33" s="72">
        <v>48</v>
      </c>
      <c r="C33" s="73" t="s">
        <v>1491</v>
      </c>
      <c r="D33" s="50" t="s">
        <v>750</v>
      </c>
      <c r="E33" s="74">
        <v>10514333.333070474</v>
      </c>
      <c r="F33" s="75" t="s">
        <v>1452</v>
      </c>
    </row>
    <row r="34" spans="1:6" x14ac:dyDescent="0.2">
      <c r="A34" s="71">
        <v>837398</v>
      </c>
      <c r="B34" s="72">
        <v>3</v>
      </c>
      <c r="C34" s="73" t="s">
        <v>177</v>
      </c>
      <c r="D34" s="50" t="s">
        <v>178</v>
      </c>
      <c r="E34" s="74">
        <v>887066.66664448997</v>
      </c>
      <c r="F34" s="75" t="s">
        <v>1492</v>
      </c>
    </row>
    <row r="35" spans="1:6" x14ac:dyDescent="0.2">
      <c r="A35" s="71">
        <v>612375</v>
      </c>
      <c r="B35" s="72">
        <v>180</v>
      </c>
      <c r="C35" s="73" t="s">
        <v>1493</v>
      </c>
      <c r="D35" s="50" t="s">
        <v>1494</v>
      </c>
      <c r="E35" s="74">
        <v>10737799.999731554</v>
      </c>
      <c r="F35" s="75" t="s">
        <v>1452</v>
      </c>
    </row>
    <row r="36" spans="1:6" x14ac:dyDescent="0.2">
      <c r="A36" s="71">
        <v>177478</v>
      </c>
      <c r="B36" s="72">
        <v>40</v>
      </c>
      <c r="C36" s="73" t="s">
        <v>1495</v>
      </c>
      <c r="D36" s="50" t="s">
        <v>1496</v>
      </c>
      <c r="E36" s="74">
        <v>229333.33332759998</v>
      </c>
      <c r="F36" s="75" t="s">
        <v>1452</v>
      </c>
    </row>
    <row r="37" spans="1:6" x14ac:dyDescent="0.2">
      <c r="A37" s="71">
        <v>183444</v>
      </c>
      <c r="B37" s="72">
        <v>50</v>
      </c>
      <c r="C37" s="73" t="s">
        <v>1497</v>
      </c>
      <c r="D37" s="50" t="s">
        <v>1498</v>
      </c>
      <c r="E37" s="74">
        <v>127333.33333015</v>
      </c>
      <c r="F37" s="75" t="s">
        <v>1452</v>
      </c>
    </row>
    <row r="38" spans="1:6" x14ac:dyDescent="0.2">
      <c r="A38" s="71">
        <v>129491</v>
      </c>
      <c r="B38" s="72">
        <v>40</v>
      </c>
      <c r="C38" s="73" t="s">
        <v>1499</v>
      </c>
      <c r="D38" s="50" t="s">
        <v>1500</v>
      </c>
      <c r="E38" s="74">
        <v>152133.33332953</v>
      </c>
      <c r="F38" s="75" t="s">
        <v>1452</v>
      </c>
    </row>
    <row r="39" spans="1:6" x14ac:dyDescent="0.2">
      <c r="A39" s="71">
        <v>98849</v>
      </c>
      <c r="B39" s="72">
        <v>1</v>
      </c>
      <c r="C39" s="73" t="s">
        <v>1501</v>
      </c>
      <c r="D39" s="50" t="s">
        <v>652</v>
      </c>
      <c r="E39" s="74">
        <v>52466.666665354998</v>
      </c>
      <c r="F39" s="75" t="s">
        <v>1452</v>
      </c>
    </row>
    <row r="40" spans="1:6" x14ac:dyDescent="0.2">
      <c r="A40" s="71">
        <v>409686</v>
      </c>
      <c r="B40" s="72">
        <v>25</v>
      </c>
      <c r="C40" s="73" t="s">
        <v>1502</v>
      </c>
      <c r="D40" s="50" t="s">
        <v>1442</v>
      </c>
      <c r="E40" s="74">
        <v>402199.99998994498</v>
      </c>
      <c r="F40" s="75" t="s">
        <v>1452</v>
      </c>
    </row>
    <row r="41" spans="1:6" x14ac:dyDescent="0.2">
      <c r="A41" s="71">
        <v>424689</v>
      </c>
      <c r="B41" s="72">
        <v>25</v>
      </c>
      <c r="C41" s="73" t="s">
        <v>1503</v>
      </c>
      <c r="D41" s="50" t="s">
        <v>1442</v>
      </c>
      <c r="E41" s="74">
        <v>473666.66665482498</v>
      </c>
      <c r="F41" s="75" t="s">
        <v>1452</v>
      </c>
    </row>
    <row r="42" spans="1:6" x14ac:dyDescent="0.2">
      <c r="A42" s="71">
        <v>424705</v>
      </c>
      <c r="B42" s="72">
        <v>20</v>
      </c>
      <c r="C42" s="73" t="s">
        <v>1504</v>
      </c>
      <c r="D42" s="50" t="s">
        <v>1505</v>
      </c>
      <c r="E42" s="74">
        <v>78066.666664714998</v>
      </c>
      <c r="F42" s="75" t="s">
        <v>1492</v>
      </c>
    </row>
    <row r="43" spans="1:6" x14ac:dyDescent="0.2">
      <c r="A43" s="71">
        <v>529895</v>
      </c>
      <c r="B43" s="72">
        <v>25</v>
      </c>
      <c r="C43" s="73" t="s">
        <v>1506</v>
      </c>
      <c r="D43" s="50" t="s">
        <v>1507</v>
      </c>
      <c r="E43" s="74">
        <v>105866.66666402</v>
      </c>
      <c r="F43" s="75" t="s">
        <v>1452</v>
      </c>
    </row>
    <row r="44" spans="1:6" x14ac:dyDescent="0.2">
      <c r="A44" s="71">
        <v>191211</v>
      </c>
      <c r="B44" s="72">
        <v>46.45</v>
      </c>
      <c r="C44" s="73" t="s">
        <v>1508</v>
      </c>
      <c r="D44" s="50" t="s">
        <v>1509</v>
      </c>
      <c r="E44" s="74">
        <v>7078533.3331563696</v>
      </c>
      <c r="F44" s="75" t="s">
        <v>1452</v>
      </c>
    </row>
    <row r="45" spans="1:6" x14ac:dyDescent="0.2">
      <c r="A45" s="71">
        <v>105422</v>
      </c>
      <c r="B45" s="72">
        <v>40</v>
      </c>
      <c r="C45" s="73" t="s">
        <v>179</v>
      </c>
      <c r="D45" s="50" t="s">
        <v>180</v>
      </c>
      <c r="E45" s="74">
        <v>5009666.6665414246</v>
      </c>
      <c r="F45" s="75" t="s">
        <v>1452</v>
      </c>
    </row>
    <row r="46" spans="1:6" x14ac:dyDescent="0.2">
      <c r="A46" s="71">
        <v>777309</v>
      </c>
      <c r="B46" s="72">
        <v>40</v>
      </c>
      <c r="C46" s="73" t="s">
        <v>181</v>
      </c>
      <c r="D46" s="50" t="s">
        <v>182</v>
      </c>
      <c r="E46" s="74">
        <v>638599.99998403492</v>
      </c>
      <c r="F46" s="75" t="s">
        <v>1452</v>
      </c>
    </row>
    <row r="47" spans="1:6" x14ac:dyDescent="0.2">
      <c r="A47" s="71">
        <v>800925</v>
      </c>
      <c r="B47" s="72">
        <v>40</v>
      </c>
      <c r="C47" s="73" t="s">
        <v>183</v>
      </c>
      <c r="D47" s="50" t="s">
        <v>184</v>
      </c>
      <c r="E47" s="74">
        <v>605933.33331818494</v>
      </c>
      <c r="F47" s="75" t="s">
        <v>1452</v>
      </c>
    </row>
  </sheetData>
  <autoFilter ref="A4:F45" xr:uid="{CB3EBD39-AEB1-4C77-8ED1-AC3B5DB7E87B}"/>
  <mergeCells count="1">
    <mergeCell ref="A2:F2"/>
  </mergeCells>
  <conditionalFormatting sqref="A1:A2 A4:A1048576">
    <cfRule type="duplicateValues" dxfId="3" priority="1"/>
  </conditionalFormatting>
  <conditionalFormatting sqref="A4:A47">
    <cfRule type="duplicateValues" dxfId="2" priority="4"/>
  </conditionalFormatting>
  <conditionalFormatting sqref="E1"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  <headerFooter>
    <oddFooter>&amp;C_x000D_&amp;1#&amp;"Aptos"&amp;7&amp;K000000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A53D38D6F2F34CA3A81450F48BD0BA" ma:contentTypeVersion="17" ma:contentTypeDescription="Crear nuevo documento." ma:contentTypeScope="" ma:versionID="e8285cebfc64b7458f96d88951b93982">
  <xsd:schema xmlns:xsd="http://www.w3.org/2001/XMLSchema" xmlns:xs="http://www.w3.org/2001/XMLSchema" xmlns:p="http://schemas.microsoft.com/office/2006/metadata/properties" xmlns:ns2="3cabfbfa-22c1-4162-9775-2b67678c8080" xmlns:ns3="670bfb97-fe35-4d64-8485-05bb5b6f9e89" targetNamespace="http://schemas.microsoft.com/office/2006/metadata/properties" ma:root="true" ma:fieldsID="234b979776fa6fb54a90a5c7e81cf88c" ns2:_="" ns3:_="">
    <xsd:import namespace="3cabfbfa-22c1-4162-9775-2b67678c8080"/>
    <xsd:import namespace="670bfb97-fe35-4d64-8485-05bb5b6f9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usuario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bfbfa-22c1-4162-9775-2b67678c80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a4174269-05ed-46f5-8424-ac65241c1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uarios" ma:index="23" nillable="true" ma:displayName="usuarios" ma:format="Dropdown" ma:list="UserInfo" ma:SharePointGroup="0" ma:internalName="usuario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bfb97-fe35-4d64-8485-05bb5b6f9e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bf90d49-a99d-481c-8813-378ef4fa6095}" ma:internalName="TaxCatchAll" ma:showField="CatchAllData" ma:web="670bfb97-fe35-4d64-8485-05bb5b6f9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suarios xmlns="3cabfbfa-22c1-4162-9775-2b67678c8080">
      <UserInfo>
        <DisplayName/>
        <AccountId xsi:nil="true"/>
        <AccountType/>
      </UserInfo>
    </usuarios>
    <TaxCatchAll xmlns="670bfb97-fe35-4d64-8485-05bb5b6f9e89" xsi:nil="true"/>
    <lcf76f155ced4ddcb4097134ff3c332f xmlns="3cabfbfa-22c1-4162-9775-2b67678c80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F48ED8-2B6F-43E6-A55C-FCD443A8F591}"/>
</file>

<file path=customXml/itemProps2.xml><?xml version="1.0" encoding="utf-8"?>
<ds:datastoreItem xmlns:ds="http://schemas.openxmlformats.org/officeDocument/2006/customXml" ds:itemID="{1E2AA6C1-7FFA-45F9-993E-3E44F9B5D857}"/>
</file>

<file path=customXml/itemProps3.xml><?xml version="1.0" encoding="utf-8"?>
<ds:datastoreItem xmlns:ds="http://schemas.openxmlformats.org/officeDocument/2006/customXml" ds:itemID="{192024CA-670B-45FD-B27A-C5807B2FADA1}"/>
</file>

<file path=docMetadata/LabelInfo.xml><?xml version="1.0" encoding="utf-8"?>
<clbl:labelList xmlns:clbl="http://schemas.microsoft.com/office/2020/mipLabelMetadata">
  <clbl:label id="{df6d7d17-467a-4c8a-bc82-0da4d92ddbea}" enabled="1" method="Privileged" siteId="{eb8a6a88-d993-4e50-b4f0-ada3df9e78f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</vt:lpstr>
      <vt:lpstr>Lista Especiales Distribucion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 Felipe</dc:creator>
  <cp:lastModifiedBy>Administrador Ventas</cp:lastModifiedBy>
  <dcterms:created xsi:type="dcterms:W3CDTF">2026-01-26T14:00:04Z</dcterms:created>
  <dcterms:modified xsi:type="dcterms:W3CDTF">2026-01-30T14:36:09Z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0x010100CEA53D38D6F2F34CA3A81450F48BD0BA</vt:lpwstr>
  </property>
</Properties>
</file>