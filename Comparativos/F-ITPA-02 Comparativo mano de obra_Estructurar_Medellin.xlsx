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MPARATIVO  CONTENEDORES" sheetId="1" r:id="rId4"/>
    <sheet state="visible" name="COMP MDEO" sheetId="2" r:id="rId5"/>
    <sheet state="hidden" name="COMPARATIVO ACERO" sheetId="3" r:id="rId6"/>
    <sheet state="hidden" name="COMPARATIVO  TACO MADERA" sheetId="4" r:id="rId7"/>
    <sheet state="hidden" name="COMPARATIVO  TELA SARAN" sheetId="5" r:id="rId8"/>
  </sheets>
  <definedNames/>
  <calcPr/>
  <extLst>
    <ext uri="GoogleSheetsCustomDataVersion2">
      <go:sheetsCustomData xmlns:go="http://customooxmlschemas.google.com/" r:id="rId9" roundtripDataChecksum="I3dsmH4UGU08K2ox+z74WOA4nLafCjHtZJCRelYF1jo="/>
    </ext>
  </extLst>
</workbook>
</file>

<file path=xl/sharedStrings.xml><?xml version="1.0" encoding="utf-8"?>
<sst xmlns="http://schemas.openxmlformats.org/spreadsheetml/2006/main" count="928" uniqueCount="328">
  <si>
    <t xml:space="preserve">                             COMPARATIVO CONTENEDORES</t>
  </si>
  <si>
    <t>Código: F-ITPA-02
Fecha: 23/12/2021
Versión: 01</t>
  </si>
  <si>
    <t xml:space="preserve"> NOMBRE:  O&amp;M OBRAS Y MONTAJES</t>
  </si>
  <si>
    <t xml:space="preserve"> NOMBRE:   E CONTAINER</t>
  </si>
  <si>
    <t xml:space="preserve"> NOMBRE:  ANTIOQUIA BOX</t>
  </si>
  <si>
    <t xml:space="preserve"> NOMBRE:  </t>
  </si>
  <si>
    <t>NIT:</t>
  </si>
  <si>
    <t>REPRESENTANTE LEGAL/ASESOR: ALEJANDRA RESTREPO</t>
  </si>
  <si>
    <t>REPRESENTANTE LEGAL/ASESOR: ALEJANDRO ROJAS</t>
  </si>
  <si>
    <t>REPRESENTANTE LEGAL/ASESOR: WILDERSON MEJIA</t>
  </si>
  <si>
    <t>REPRESENTANTE LEGAL:</t>
  </si>
  <si>
    <t>Nro</t>
  </si>
  <si>
    <t>ÍTEM</t>
  </si>
  <si>
    <t xml:space="preserve">FECHA APROBACIÓN </t>
  </si>
  <si>
    <t>DIRECCION:</t>
  </si>
  <si>
    <t xml:space="preserve">TELEFONO: </t>
  </si>
  <si>
    <t>TELEFONO:</t>
  </si>
  <si>
    <t>COSTO DIRECTO</t>
  </si>
  <si>
    <t xml:space="preserve">IVA </t>
  </si>
  <si>
    <t>VR UNITARIO TOTAL</t>
  </si>
  <si>
    <t>TOTAL</t>
  </si>
  <si>
    <t>IVA / UTIL</t>
  </si>
  <si>
    <t>IVA</t>
  </si>
  <si>
    <t>UN</t>
  </si>
  <si>
    <t>CANT. REAL</t>
  </si>
  <si>
    <t>Contenedor oficina</t>
  </si>
  <si>
    <t>mes</t>
  </si>
  <si>
    <t>Contenedor almacen</t>
  </si>
  <si>
    <t>Transporte</t>
  </si>
  <si>
    <t>viajes</t>
  </si>
  <si>
    <t>TOTALES</t>
  </si>
  <si>
    <t>DIFERENCIA CON LA MENOR PROPUESTA</t>
  </si>
  <si>
    <t>VARIACION</t>
  </si>
  <si>
    <t xml:space="preserve">Forma de pago: </t>
  </si>
  <si>
    <t>ANTICIPADO</t>
  </si>
  <si>
    <t>CREDITO</t>
  </si>
  <si>
    <t>Tiempo de entrega:</t>
  </si>
  <si>
    <t>Criterios de selección de proveedores</t>
  </si>
  <si>
    <t>Garantia:</t>
  </si>
  <si>
    <t>1. Precio</t>
  </si>
  <si>
    <t>2. Existencia legal de la empresa</t>
  </si>
  <si>
    <t>Descuentos sobre oferta inicial:</t>
  </si>
  <si>
    <t>3. Disponibilidad del producto</t>
  </si>
  <si>
    <t>4. Forma de pago</t>
  </si>
  <si>
    <t>Especificaciones generales:</t>
  </si>
  <si>
    <t>5. Calidad</t>
  </si>
  <si>
    <t>No incluye descargue, ni ubicación especial de los contenedores con montacargas.
-No tienen disponibilidad de estanteria
-Incluye aire acondicionado</t>
  </si>
  <si>
    <t>No incluye descargue, ni ubicación especial de los contenedores con montacargas.
-No se tiene disponibilidad de estanteria
-No incluye aire acondicionado</t>
  </si>
  <si>
    <t xml:space="preserve">-La oficina que ofrecen se puede adaptar para guardar material
-La oficina incluye aire acondicionado
-No incluye descargue, ni ubicación especial de los contenedores con montacargas
-El contenedor de almacen es una bodega que sirve para guardar material </t>
  </si>
  <si>
    <t>Se pide con este proveedor</t>
  </si>
  <si>
    <t>Se piden estos dos insumos</t>
  </si>
  <si>
    <t>6. Tiempo de entrega</t>
  </si>
  <si>
    <t>Otras condiciones:</t>
  </si>
  <si>
    <t>ninguna</t>
  </si>
  <si>
    <t xml:space="preserve">                             COMPARATIVO MANO DE OBRA</t>
  </si>
  <si>
    <t xml:space="preserve"> NOMBRE: GESTOR MANTENIMIENTO </t>
  </si>
  <si>
    <t xml:space="preserve"> NOMBRE:  CONSTRUOBRAS DJ </t>
  </si>
  <si>
    <t xml:space="preserve"> NOMBRE: CONSTRUCIONES Y REPARACONES JD SAS</t>
  </si>
  <si>
    <t xml:space="preserve"> NOMBRE: EYV CONSTRUCCIONES SAS</t>
  </si>
  <si>
    <t>NIT: 901594275-5</t>
  </si>
  <si>
    <t>NIT: 901950221-5</t>
  </si>
  <si>
    <t>REPRESENTANTE LEGAL/ASESOR: JORGE SANCHEZ</t>
  </si>
  <si>
    <t>REPRESENTANTE LEGAL/ASESOR: Herley Mercado Ospina</t>
  </si>
  <si>
    <t xml:space="preserve">REPRESENTANTE LEGAL/ASESOR:  Julian Cano </t>
  </si>
  <si>
    <t>REPRESENTANTE LEGAL/ASESOR: EDWAR YESID VILLACOB</t>
  </si>
  <si>
    <t xml:space="preserve">DIRECCION: </t>
  </si>
  <si>
    <t>TELEFONO: 3217801580</t>
  </si>
  <si>
    <t>TELEFONO: 300 3633250</t>
  </si>
  <si>
    <t>TELEFONO: 3016601037</t>
  </si>
  <si>
    <t>TELEFONO:  3218740840</t>
  </si>
  <si>
    <t>Vlr. Unitario</t>
  </si>
  <si>
    <t>Vlr. Total</t>
  </si>
  <si>
    <t>MINIMO</t>
  </si>
  <si>
    <t>MAXIMO</t>
  </si>
  <si>
    <t xml:space="preserve">Estuco plastico para exteriores una mano </t>
  </si>
  <si>
    <t>caneca</t>
  </si>
  <si>
    <t xml:space="preserve">Estuco plastico para interiores una mano </t>
  </si>
  <si>
    <t xml:space="preserve">Acriltex blanco 2761 dos manos </t>
  </si>
  <si>
    <t>Acarreo interno concreto y/o material de playa 0 a 50m</t>
  </si>
  <si>
    <t>m3</t>
  </si>
  <si>
    <t>Acarreo interno concreto y/o material de playa 0 a 100m</t>
  </si>
  <si>
    <t>Acarreo interno concreto y/o material de playa 0 a 200m</t>
  </si>
  <si>
    <t>Acarreo malla electrosoldada 0 a 50m</t>
  </si>
  <si>
    <t>m2</t>
  </si>
  <si>
    <t>Acarreo malla electrosoldada 0 a 100m</t>
  </si>
  <si>
    <t>Acarreo malla electrosoldada 0 a 200m</t>
  </si>
  <si>
    <t>Transporte Interno Hierro 0 - 100 m</t>
  </si>
  <si>
    <t>Kg</t>
  </si>
  <si>
    <t>Transporte Interno Hierro (más de 100 m)</t>
  </si>
  <si>
    <t>Transporte Vertical material, altura mayor a 2,4m  hasta 8m. Con manila y/o polea. No incluye equipo.</t>
  </si>
  <si>
    <t>m³</t>
  </si>
  <si>
    <t>Acarreo interno escombros 0 a 50m (si el escombro sale de planta y el acopio está inmediatamente afuera se incluye en el trabajo que se está ejecutando)</t>
  </si>
  <si>
    <t>Acarreo interno escombros 0 a 100m (si el escombro sale de planta y el acopio está inmediatamente afuera se incluye en el trabajo que se está ejecutando)</t>
  </si>
  <si>
    <t>Aligeramiento de losa con adobe</t>
  </si>
  <si>
    <t>m²</t>
  </si>
  <si>
    <t>Aplicación de elastica (sikaflex, eucojoinnt, sikadur 51sl o similares) en juntas - Incluye preparacion y encintado</t>
  </si>
  <si>
    <t>ml</t>
  </si>
  <si>
    <t>Sello de juntas  (incluye aplicación de sellalon y elastica)</t>
  </si>
  <si>
    <t>Armado,vaciado, desecofrado muro concreto E: 10-15</t>
  </si>
  <si>
    <t>Armado,vaciado, desecofrado muro concreto E: 16-20</t>
  </si>
  <si>
    <t>Atraque de concreto para tubería de 3" y 4"</t>
  </si>
  <si>
    <t>Atraque de concreto para tubería de 4" a 8"</t>
  </si>
  <si>
    <t>m</t>
  </si>
  <si>
    <t>Instalación tuberías (AN,ALL, AI) en terreno natural o losas de 1/2" a 2"</t>
  </si>
  <si>
    <t>Instalación tuberías (AN,ALL, AI) en terreno natural o losas de 3" a 4"</t>
  </si>
  <si>
    <t>Instalación tuberías (AN,ALL, AI) en terreno natural o losas de 6 a 8"</t>
  </si>
  <si>
    <t>Cerramiento con plástico (implica colocar postes en madera o similar forrados en plastico y asegurar el plastico a estos)</t>
  </si>
  <si>
    <t xml:space="preserve">Cerramiento con plastico y tela saran blanca cocida con manila tipo cabuya </t>
  </si>
  <si>
    <t>Cobertura de equipos con plastico (implica cubrir y asegurar con citas o amarres)</t>
  </si>
  <si>
    <t>Colocacion malla para revoque</t>
  </si>
  <si>
    <t>Colocacion acero de refuerzo</t>
  </si>
  <si>
    <t>kg</t>
  </si>
  <si>
    <t>Figuracion refuerzo</t>
  </si>
  <si>
    <t xml:space="preserve">Colocar esquinero en aluminio, pvc, plastico o similar para enchape </t>
  </si>
  <si>
    <t>Construccion anden (inc entresuelo)</t>
  </si>
  <si>
    <t>Construccion de curvas para 1/2 caña</t>
  </si>
  <si>
    <t>un</t>
  </si>
  <si>
    <t>Corte de piso en concreto, no incluye equipo.</t>
  </si>
  <si>
    <t>Demolicion baldosas y ceramicas (incluye el adhesivo)</t>
  </si>
  <si>
    <t>Demolicion faja en concreto (desarrollo hasta 40 cm)</t>
  </si>
  <si>
    <t>Demolicion cordon concreto</t>
  </si>
  <si>
    <t>Demolicion Cuneta (desarrollo hasta 40 cm)</t>
  </si>
  <si>
    <t>Demolicion enchape</t>
  </si>
  <si>
    <t>Demolicion faja revoque</t>
  </si>
  <si>
    <t>Cortagoteras en revoque</t>
  </si>
  <si>
    <t>Lleno en revoque</t>
  </si>
  <si>
    <t>Filetes y ranuras en revoque</t>
  </si>
  <si>
    <t>Pelada o demolicion revoque</t>
  </si>
  <si>
    <t>Revoque fachada</t>
  </si>
  <si>
    <t>Revoque faja</t>
  </si>
  <si>
    <t>Revoque muros</t>
  </si>
  <si>
    <t xml:space="preserve">Revoque muros en alturas </t>
  </si>
  <si>
    <t>Picada muros</t>
  </si>
  <si>
    <t xml:space="preserve">Picada muros en alturas </t>
  </si>
  <si>
    <t>Demolicion mediacaña</t>
  </si>
  <si>
    <t>Demolicion muro 10 a 15</t>
  </si>
  <si>
    <t>Demolicion muro 20</t>
  </si>
  <si>
    <t>Demolicion de muro en concreto ( espesor hasta 15 cm)</t>
  </si>
  <si>
    <t>Demolicion nervio concreto ≤12cm</t>
  </si>
  <si>
    <t>Demolicion de piso en concreto no reforzada de hasta 10 cm de espesor</t>
  </si>
  <si>
    <t>Demolicion de piso en mortero de hasta 10 cm de espesor</t>
  </si>
  <si>
    <t>MO demolicion piso concreto hasta espesor de 10 cm</t>
  </si>
  <si>
    <t>Demolicion pisos concreto 11-15cm</t>
  </si>
  <si>
    <t>Demolicion pisos concreto 16-20cm</t>
  </si>
  <si>
    <t>Demolicion viga concreto &gt;20cm</t>
  </si>
  <si>
    <t>Demoliciòn de guarda en concreto de 0 a 40 cm de altura</t>
  </si>
  <si>
    <t>Demoliciòn de guarda en concreto de 0 a 80 cm de altura</t>
  </si>
  <si>
    <t>Demolicion de lagrimal</t>
  </si>
  <si>
    <t>Desmonte de cielo falso (drywall, Sboard, modular o similar)</t>
  </si>
  <si>
    <t>Desmonte de tejas en fibrocemento</t>
  </si>
  <si>
    <t xml:space="preserve">Enchape de piso en porcelanato </t>
  </si>
  <si>
    <t>Encorozado muros, cuchillas</t>
  </si>
  <si>
    <t>Extraccion roca (desembombe)</t>
  </si>
  <si>
    <t>pulg</t>
  </si>
  <si>
    <t>Perforacion cuña hidraulica</t>
  </si>
  <si>
    <t>Perforacion de roca (no incluye equipo)</t>
  </si>
  <si>
    <t>Instalaciòn Guarda prefabricada de 0 a 40 cm de altura</t>
  </si>
  <si>
    <t>Instalaciòn Guarda prefabricada de 0 a 80 cm de altura</t>
  </si>
  <si>
    <t>Lineales de enchape en porcelanato</t>
  </si>
  <si>
    <t>Lleno en suelo cemento (base-cemento)</t>
  </si>
  <si>
    <t>Lleno manual compactado</t>
  </si>
  <si>
    <t>Lleno Estructural a maquina material excavacion</t>
  </si>
  <si>
    <t>Lleno estructural subbase granular</t>
  </si>
  <si>
    <t>Lleno estructural base granular</t>
  </si>
  <si>
    <t>Lleno estructural con arenilla</t>
  </si>
  <si>
    <t>Muro Ladrillo Catalan 10x15x30</t>
  </si>
  <si>
    <t>Marcación 1ª hilada mamposteria (unidad pegada)</t>
  </si>
  <si>
    <t>und</t>
  </si>
  <si>
    <t>Muro Ladrillo 10x20x40 sucio Rayado</t>
  </si>
  <si>
    <t>Muro Ladrillo 12x20x40 sucio Rayado</t>
  </si>
  <si>
    <t>Muro Ladrillo Tolete 15x20x40 sucio Rayado</t>
  </si>
  <si>
    <t>Muro Ladrillo Tolete E=20 sucio Rayado</t>
  </si>
  <si>
    <t>Muro Ladrillo 10x20x40 Liso Horizontal</t>
  </si>
  <si>
    <t>Muro Ladrillo 15x20x40 Liso Horizontal</t>
  </si>
  <si>
    <t>Ladrillo Calado en mamposteria</t>
  </si>
  <si>
    <t>Muro bloque 10x20x40</t>
  </si>
  <si>
    <t>Muro bloque 12x20x40</t>
  </si>
  <si>
    <t>Muro bloque 15x20x40</t>
  </si>
  <si>
    <t>Muro bloque 20x20x40</t>
  </si>
  <si>
    <t>MO transp interno adobe/bloque</t>
  </si>
  <si>
    <t>Mediacaña en mortero sin varilla</t>
  </si>
  <si>
    <t>Cambio de chapa Catalan</t>
  </si>
  <si>
    <t>Desmonte y demolicion muro drywall o construccion liviana</t>
  </si>
  <si>
    <t>Fajas de piso en grano</t>
  </si>
  <si>
    <t>Piso vaciado en grano</t>
  </si>
  <si>
    <t>Aplicación de grano en muro</t>
  </si>
  <si>
    <t>Aplicación de grano en piso</t>
  </si>
  <si>
    <t>Brillada baldosa de grano</t>
  </si>
  <si>
    <t>Cristalizada baldosa en grano</t>
  </si>
  <si>
    <t>Faja en grano en muro</t>
  </si>
  <si>
    <t>Instalacion baldosa de grano</t>
  </si>
  <si>
    <t>Pulida baldosa de grano</t>
  </si>
  <si>
    <t>Pulida fajas en grano</t>
  </si>
  <si>
    <t>Pulida filete en grano</t>
  </si>
  <si>
    <t>Pulida grano</t>
  </si>
  <si>
    <t>Pulida media caña en grano</t>
  </si>
  <si>
    <t>Zocalo media caña en grano</t>
  </si>
  <si>
    <t>Filete en grano</t>
  </si>
  <si>
    <t>Perforacion y pases de losas</t>
  </si>
  <si>
    <t>Perforacion y anclaje</t>
  </si>
  <si>
    <t>Allanada y pulida losas en concreto</t>
  </si>
  <si>
    <t>Anclaje epoxico 3/8" a 5/8"</t>
  </si>
  <si>
    <t>Armada y desarmada andamio multidireccional (70 x 1,40)</t>
  </si>
  <si>
    <t>cuerpo</t>
  </si>
  <si>
    <t>Armada y desarmada andamio multidireccional (3 x 1,40)</t>
  </si>
  <si>
    <t>Columnetas en concreto (armado+ vaciado + desencofre)</t>
  </si>
  <si>
    <t>Losa aerea maciza E=10 cm</t>
  </si>
  <si>
    <t>Losa aerea maciza E=12 cm</t>
  </si>
  <si>
    <t>Losa aerea maciza E=15 cm</t>
  </si>
  <si>
    <t>Losa aerea E=20cm aligerado ladrillo</t>
  </si>
  <si>
    <t>Losa aerea aligerada E=40 (armado+vaciado losa + desencofrado)</t>
  </si>
  <si>
    <t>Losa aerea aligerada E=45 (armado+vaciado losa + desencofrado)</t>
  </si>
  <si>
    <t>Losa aerea aligerada E=50 (armado+vaciado losa + desencofrado)</t>
  </si>
  <si>
    <t xml:space="preserve">Piso Industrial Endurecido + fibra </t>
  </si>
  <si>
    <t>Preparacion concreto</t>
  </si>
  <si>
    <t>Losa contrapiso E=10 cm (armado+vaciado+ desencofrado)</t>
  </si>
  <si>
    <t>Losa contrapiso E=12 cm (armado+vaciado+ desencofrado)</t>
  </si>
  <si>
    <t>Losa contrapiso E=15 cm (armado+vaciado+ desencofrado)</t>
  </si>
  <si>
    <t>Losa contrapiso E=20 cm (armado+vaciado+ desencofrado)</t>
  </si>
  <si>
    <t>Losa Steel Deck ( incluye concreto)</t>
  </si>
  <si>
    <t>Sillar en concreto</t>
  </si>
  <si>
    <t>Anillo pila e=0.10 concreto (encofrado y desencofrado)</t>
  </si>
  <si>
    <t>Vaciado solado</t>
  </si>
  <si>
    <t>Vaciado guarda en concreto 30cm</t>
  </si>
  <si>
    <t>Vaciado guarda en concreto 80cm</t>
  </si>
  <si>
    <t>Vaciado viga concreto aerea 20x20</t>
  </si>
  <si>
    <t>Vaciado viga concreto aerea 25x25</t>
  </si>
  <si>
    <t>Vaciado viga concreto aerea 30x30</t>
  </si>
  <si>
    <t>Vaciado viga concreto aerea 40x40</t>
  </si>
  <si>
    <t>Vaciado viga concreto amarreo o fundacio 20x20</t>
  </si>
  <si>
    <t>Vaciado viga concreto amarreo o fundacio 25x25</t>
  </si>
  <si>
    <t>Vaciado viga concreto amarreo o fundacio 30x30</t>
  </si>
  <si>
    <t>Vaciado viga concreto amarreo o fundacio 40x40</t>
  </si>
  <si>
    <t>Vaciado concreto</t>
  </si>
  <si>
    <t>Vaciado zapata fundacion en concreto</t>
  </si>
  <si>
    <t>Vaciado pila fuste macizo</t>
  </si>
  <si>
    <t>Vaciado de lagrimal en concreto ( incluye formaleteada con molduras corta goteras) 40x05</t>
  </si>
  <si>
    <t>Vaciado faja de piso en concreto</t>
  </si>
  <si>
    <t>Vaciado muro concreto E:0.10</t>
  </si>
  <si>
    <t>Vaciado muro concreto E:0.15</t>
  </si>
  <si>
    <t>Vaciado muro concreto E:0.20</t>
  </si>
  <si>
    <t>Vaciado muro concreto E:0.25</t>
  </si>
  <si>
    <t>Escalas en concreto</t>
  </si>
  <si>
    <t>Vaciado dovela</t>
  </si>
  <si>
    <t>Base en concreto de 25 x 25 E: 0 a 12 cm</t>
  </si>
  <si>
    <t>Base en concreto de 30 x 30 E: 0 a 12 cm</t>
  </si>
  <si>
    <t>Base en concreto de 40 x 40 E: 0 a 12 cm</t>
  </si>
  <si>
    <t>Caja inspeccion concreto 40x40 (armado+vaciado+ desencofrado)</t>
  </si>
  <si>
    <t>Caja inspeccion concreto 50x50 (armado+vaciado+ desencofrado)</t>
  </si>
  <si>
    <t>Caja inspeccion concreto 60x60 (armado+vaciado+ desencofrado)</t>
  </si>
  <si>
    <t>Caja inspeccion concreto 80x80 (armado+vaciado+ desencofrado)</t>
  </si>
  <si>
    <t>Caja inspeccion concreto 100x100 (armado+vaciado+ desencofrado)</t>
  </si>
  <si>
    <t>Vaciado + instalacion herraje caja</t>
  </si>
  <si>
    <t>Reparacion de guardas en concreto (implica prepararsuperficie afectada y realizar acabado)</t>
  </si>
  <si>
    <t>Cambio de piezas de enchape (de lado de 10cm hasta 35 cm)</t>
  </si>
  <si>
    <t>Cambio de piezas de enchape (de lado de 40cm hasta 60 cm)</t>
  </si>
  <si>
    <t>Cañuela concreto (hasta de 40cm x 10 de espesor)</t>
  </si>
  <si>
    <t>Cerramiento tela zaran con larguero empotrado (incluye instalacion de largueros para asegurar tela)</t>
  </si>
  <si>
    <t>Cerramiento tela zaran con larguero anclado (incluye instalacion de largueros para asegurar tela)</t>
  </si>
  <si>
    <t>Champeado de muros y pantallas</t>
  </si>
  <si>
    <t>Colocación de conectores</t>
  </si>
  <si>
    <t>Colocacion malla electrosoldada</t>
  </si>
  <si>
    <t>Colocacion rejilla de 1/2" a 4"</t>
  </si>
  <si>
    <t>Colocacion rejilla de 6"</t>
  </si>
  <si>
    <t>Colocacion varilla dilatacion</t>
  </si>
  <si>
    <t>Construcción cerramiento en plástico (incluye forrada de palos en plastico, transporte de material e instalación)</t>
  </si>
  <si>
    <t>Desmonte cerramiento tela zaran</t>
  </si>
  <si>
    <t>MO destronque+brillada baldosa</t>
  </si>
  <si>
    <t>Reparacion de piso en baldosa (implica demoler piesa puntual sin afectar las otras y sustituir por nueva)</t>
  </si>
  <si>
    <t>Enchape ceramica (piezas de lado de 10cm hasta 35 cm)</t>
  </si>
  <si>
    <t>Enchape ceramica (piezas de lado de 40cm hasta 60 cm)</t>
  </si>
  <si>
    <t>Enchape ladrillo fachada</t>
  </si>
  <si>
    <t>Enchape muros (cerámica FAJAS)</t>
  </si>
  <si>
    <t>Perfilacion o nivelacion terreno</t>
  </si>
  <si>
    <t>Perfilada de muro en mal estado</t>
  </si>
  <si>
    <t>Excavacion manual brecha lineal seccion menor</t>
  </si>
  <si>
    <t>Excavacion manual pilotes diametro ≤ a 50cm</t>
  </si>
  <si>
    <t>Excavacion manual material homogeneo</t>
  </si>
  <si>
    <t>Excavacion brecha H≤2.0m</t>
  </si>
  <si>
    <t>Excavacion pilas 0-2 m</t>
  </si>
  <si>
    <t>Excavacion pilas 10-12 m</t>
  </si>
  <si>
    <t>Excavacion pilas 2-4 m</t>
  </si>
  <si>
    <t>Excavacion pilas 4-6 m</t>
  </si>
  <si>
    <t>Excavacion pilas 6-8 m</t>
  </si>
  <si>
    <t>Excavacion pilas 8-10 m</t>
  </si>
  <si>
    <t>Arenon lavado</t>
  </si>
  <si>
    <t>Faja arenon lavado</t>
  </si>
  <si>
    <t>Imprimante muros concreto</t>
  </si>
  <si>
    <t>Instalacion grama</t>
  </si>
  <si>
    <t>Mortero nivelacion</t>
  </si>
  <si>
    <t>Reparacion superficie piso (incluye retiro de epóxico con o sin equipo, recolección de escombro, cerramiento, lavado y secado de piso)</t>
  </si>
  <si>
    <t>Reparacion piso con morteros formulados (incluye preparación de superficie, cortes, aseo, cerramientos, etc)</t>
  </si>
  <si>
    <t>Vaciado de Morteros e=0.05 m - 0.10 m</t>
  </si>
  <si>
    <t>Hora de Oficial</t>
  </si>
  <si>
    <t>hr</t>
  </si>
  <si>
    <t xml:space="preserve">Hora de Ayudante entendido </t>
  </si>
  <si>
    <t xml:space="preserve">Ayudante </t>
  </si>
  <si>
    <t xml:space="preserve">Tecnologo en Seguridad Ocupacional </t>
  </si>
  <si>
    <t xml:space="preserve">Cortes de Obra </t>
  </si>
  <si>
    <t>Garantía:</t>
  </si>
  <si>
    <t xml:space="preserve">                             COMPARATIVO ACERO</t>
  </si>
  <si>
    <t xml:space="preserve"> NOMBRE:  G Y J FERRETERIAS</t>
  </si>
  <si>
    <t xml:space="preserve"> NOMBRE:   STECKER</t>
  </si>
  <si>
    <t xml:space="preserve"> NOMBRE:  DIACO</t>
  </si>
  <si>
    <t xml:space="preserve">NIT: </t>
  </si>
  <si>
    <t>REPRESENTANTE LEGAL/ASESOR: NATALI ZAPATA</t>
  </si>
  <si>
    <t>REPRESENTANTE LEGAL/ASESOR: AMPARO ROLDAN</t>
  </si>
  <si>
    <t>REPRESENTANTE LEGAL/ASESOR: ADRIANA CARDONA</t>
  </si>
  <si>
    <t>PRECIO PRESUPUESTO</t>
  </si>
  <si>
    <t>TOTAL PRESUPUESTO</t>
  </si>
  <si>
    <t>ACERO FIGURADO 60000PSI</t>
  </si>
  <si>
    <t>KG</t>
  </si>
  <si>
    <t>MALLA ELECTROSOLDADA</t>
  </si>
  <si>
    <t>GRAFIL</t>
  </si>
  <si>
    <t xml:space="preserve">CREDITO </t>
  </si>
  <si>
    <t>Vigencia de precios 3 dias, en estos momentos el factor critico del acero es la disponibilidad de material, con GYJ tenemos un cupo reservado para ese suministro</t>
  </si>
  <si>
    <t>No tienen disponibilidad de material</t>
  </si>
  <si>
    <t xml:space="preserve">                             COMPARATIVO TACO MADERA</t>
  </si>
  <si>
    <t xml:space="preserve"> NOMBRE:  MADERAS LA UNION</t>
  </si>
  <si>
    <t xml:space="preserve"> NOMBRE:   MADEPINOS</t>
  </si>
  <si>
    <t xml:space="preserve">REPRESENTANTE LEGAL/ASESOR: </t>
  </si>
  <si>
    <t>REPRESENTANTE LEGAL/ASESOR:</t>
  </si>
  <si>
    <t>Taco en madera redondo</t>
  </si>
  <si>
    <t xml:space="preserve">                             COMPARATIVO TELA ZARAN</t>
  </si>
  <si>
    <t xml:space="preserve"> NOMBRE:  TIENDAS</t>
  </si>
  <si>
    <t xml:space="preserve"> NOMBRE:   FERRETERIA TECNICA</t>
  </si>
  <si>
    <t xml:space="preserve"> NOMBRE:  FERRETERIA DOS PALACIOS</t>
  </si>
  <si>
    <t>Tela zaran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</si>
</sst>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-&quot;$&quot;* #,##0.00_-;\-&quot;$&quot;* #,##0.00_-;_-&quot;$&quot;* &quot;-&quot;??_-;_-@"/>
    <numFmt numFmtId="167" formatCode="_-&quot;$&quot;* #,##0_-;\-&quot;$&quot;* #,##0_-;_-&quot;$&quot;* &quot;-&quot;??_-;_-@"/>
    <numFmt numFmtId="168" formatCode="_ * #,##0_ ;_ * \-#,##0_ ;_ * &quot;-&quot;_ ;_ @_ "/>
    <numFmt numFmtId="169" formatCode="_-&quot;$&quot;\ * #,##0_-;\-&quot;$&quot;\ * #,##0_-;_-&quot;$&quot;\ * &quot;-&quot;_-;_-@"/>
    <numFmt numFmtId="170" formatCode="0.0%"/>
  </numFmts>
  <fonts count="20">
    <font>
      <sz val="10.0"/>
      <color rgb="FF000000"/>
      <name val="Arial"/>
      <scheme val="minor"/>
    </font>
    <font>
      <b/>
      <sz val="14.0"/>
      <color theme="0"/>
      <name val="Raleway"/>
    </font>
    <font>
      <b/>
      <sz val="16.0"/>
      <color theme="1"/>
      <name val="Raleway"/>
    </font>
    <font>
      <b/>
      <sz val="12.0"/>
      <color theme="1"/>
      <name val="Raleway"/>
    </font>
    <font>
      <b/>
      <sz val="14.0"/>
      <color theme="1"/>
      <name val="Raleway"/>
    </font>
    <font/>
    <font>
      <sz val="14.0"/>
      <color theme="1"/>
      <name val="Raleway"/>
    </font>
    <font>
      <b/>
      <sz val="14.0"/>
      <color rgb="FFC00000"/>
      <name val="Raleway"/>
    </font>
    <font>
      <sz val="10.0"/>
      <color theme="1"/>
      <name val="Raleway"/>
    </font>
    <font>
      <sz val="11.0"/>
      <color theme="1"/>
      <name val="Raleway"/>
    </font>
    <font>
      <sz val="12.0"/>
      <color theme="1"/>
      <name val="Raleway"/>
    </font>
    <font>
      <b/>
      <sz val="10.0"/>
      <color theme="1"/>
      <name val="Raleway"/>
    </font>
    <font>
      <b/>
      <sz val="16.0"/>
      <color rgb="FFFF0000"/>
      <name val="Raleway"/>
    </font>
    <font>
      <b/>
      <sz val="11.0"/>
      <color theme="1"/>
      <name val="Raleway"/>
    </font>
    <font>
      <b/>
      <sz val="12.0"/>
      <color rgb="FFFF0000"/>
      <name val="Raleway"/>
    </font>
    <font>
      <sz val="12.0"/>
      <color rgb="FFFF0000"/>
      <name val="Raleway"/>
    </font>
    <font>
      <sz val="11.0"/>
      <color rgb="FFFF0000"/>
      <name val="Raleway"/>
    </font>
    <font>
      <sz val="14.0"/>
      <color rgb="FFFF0000"/>
      <name val="Raleway"/>
    </font>
    <font>
      <sz val="10.0"/>
      <color rgb="FFFF0000"/>
      <name val="Raleway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99FF99"/>
        <bgColor rgb="FF99FF99"/>
      </patternFill>
    </fill>
    <fill>
      <patternFill patternType="solid">
        <fgColor rgb="FFFBD4B4"/>
        <bgColor rgb="FFFBD4B4"/>
      </patternFill>
    </fill>
    <fill>
      <patternFill patternType="solid">
        <fgColor rgb="FFB2A1C7"/>
        <bgColor rgb="FFB2A1C7"/>
      </patternFill>
    </fill>
    <fill>
      <patternFill patternType="solid">
        <fgColor rgb="FF00B050"/>
        <bgColor rgb="FF00B050"/>
      </patternFill>
    </fill>
    <fill>
      <patternFill patternType="solid">
        <fgColor rgb="FFCCC0D9"/>
        <bgColor rgb="FFCCC0D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76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2" numFmtId="164" xfId="0" applyAlignment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3" fillId="2" fontId="4" numFmtId="164" xfId="0" applyAlignment="1" applyBorder="1" applyFill="1" applyFont="1" applyNumberForma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2" fontId="4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3" fillId="3" fontId="4" numFmtId="164" xfId="0" applyAlignment="1" applyBorder="1" applyFill="1" applyFont="1" applyNumberFormat="1">
      <alignment horizontal="center" vertical="center"/>
    </xf>
    <xf borderId="6" fillId="3" fontId="4" numFmtId="164" xfId="0" applyAlignment="1" applyBorder="1" applyFont="1" applyNumberFormat="1">
      <alignment horizontal="center" vertical="center"/>
    </xf>
    <xf borderId="3" fillId="4" fontId="4" numFmtId="164" xfId="0" applyAlignment="1" applyBorder="1" applyFill="1" applyFont="1" applyNumberFormat="1">
      <alignment horizontal="center" vertical="center"/>
    </xf>
    <xf borderId="6" fillId="4" fontId="4" numFmtId="164" xfId="0" applyAlignment="1" applyBorder="1" applyFont="1" applyNumberFormat="1">
      <alignment horizontal="center" vertical="center"/>
    </xf>
    <xf borderId="0" fillId="0" fontId="6" numFmtId="0" xfId="0" applyFont="1"/>
    <xf borderId="3" fillId="5" fontId="4" numFmtId="164" xfId="0" applyAlignment="1" applyBorder="1" applyFill="1" applyFont="1" applyNumberFormat="1">
      <alignment horizontal="center" vertical="center"/>
    </xf>
    <xf borderId="6" fillId="5" fontId="4" numFmtId="164" xfId="0" applyAlignment="1" applyBorder="1" applyFont="1" applyNumberFormat="1">
      <alignment horizontal="center" vertical="center"/>
    </xf>
    <xf borderId="3" fillId="6" fontId="4" numFmtId="164" xfId="0" applyAlignment="1" applyBorder="1" applyFill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5" numFmtId="0" xfId="0" applyBorder="1" applyFont="1"/>
    <xf borderId="9" fillId="2" fontId="4" numFmtId="164" xfId="0" applyAlignment="1" applyBorder="1" applyFont="1" applyNumberForma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9" fillId="3" fontId="4" numFmtId="164" xfId="0" applyAlignment="1" applyBorder="1" applyFont="1" applyNumberFormat="1">
      <alignment horizontal="center" vertical="center"/>
    </xf>
    <xf borderId="9" fillId="4" fontId="4" numFmtId="164" xfId="0" applyAlignment="1" applyBorder="1" applyFont="1" applyNumberFormat="1">
      <alignment horizontal="center" vertical="center"/>
    </xf>
    <xf borderId="9" fillId="5" fontId="4" numFmtId="164" xfId="0" applyAlignment="1" applyBorder="1" applyFont="1" applyNumberFormat="1">
      <alignment horizontal="center" vertical="center"/>
    </xf>
    <xf borderId="9" fillId="6" fontId="4" numFmtId="164" xfId="0" applyAlignment="1" applyBorder="1" applyFont="1" applyNumberFormat="1">
      <alignment horizontal="center" vertical="center"/>
    </xf>
    <xf borderId="12" fillId="2" fontId="4" numFmtId="164" xfId="0" applyAlignment="1" applyBorder="1" applyFont="1" applyNumberForma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12" fillId="3" fontId="4" numFmtId="164" xfId="0" applyAlignment="1" applyBorder="1" applyFont="1" applyNumberFormat="1">
      <alignment horizontal="center" vertical="center"/>
    </xf>
    <xf borderId="12" fillId="4" fontId="4" numFmtId="164" xfId="0" applyAlignment="1" applyBorder="1" applyFont="1" applyNumberFormat="1">
      <alignment horizontal="center" vertical="center"/>
    </xf>
    <xf borderId="12" fillId="5" fontId="4" numFmtId="164" xfId="0" applyAlignment="1" applyBorder="1" applyFont="1" applyNumberFormat="1">
      <alignment horizontal="center" vertical="center"/>
    </xf>
    <xf borderId="12" fillId="6" fontId="4" numFmtId="164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3" fillId="2" fontId="4" numFmtId="49" xfId="0" applyAlignment="1" applyBorder="1" applyFont="1" applyNumberFormat="1">
      <alignment horizontal="left" shrinkToFit="0" vertical="center" wrapText="1"/>
    </xf>
    <xf borderId="19" fillId="0" fontId="5" numFmtId="0" xfId="0" applyBorder="1" applyFont="1"/>
    <xf borderId="20" fillId="2" fontId="4" numFmtId="49" xfId="0" applyAlignment="1" applyBorder="1" applyFont="1" applyNumberFormat="1">
      <alignment horizontal="left" shrinkToFit="0" vertical="center" wrapText="1"/>
    </xf>
    <xf borderId="6" fillId="2" fontId="4" numFmtId="49" xfId="0" applyAlignment="1" applyBorder="1" applyFont="1" applyNumberFormat="1">
      <alignment horizontal="left" shrinkToFit="0" vertical="center" wrapText="1"/>
    </xf>
    <xf borderId="0" fillId="0" fontId="4" numFmtId="49" xfId="0" applyAlignment="1" applyFont="1" applyNumberFormat="1">
      <alignment horizontal="left" shrinkToFit="0" vertical="center" wrapText="1"/>
    </xf>
    <xf borderId="17" fillId="3" fontId="4" numFmtId="49" xfId="0" applyAlignment="1" applyBorder="1" applyFont="1" applyNumberFormat="1">
      <alignment horizontal="left" shrinkToFit="0" vertical="center" wrapText="1"/>
    </xf>
    <xf borderId="21" fillId="0" fontId="5" numFmtId="0" xfId="0" applyBorder="1" applyFont="1"/>
    <xf borderId="20" fillId="3" fontId="4" numFmtId="49" xfId="0" applyAlignment="1" applyBorder="1" applyFont="1" applyNumberFormat="1">
      <alignment horizontal="left" shrinkToFit="0" vertical="center" wrapText="1"/>
    </xf>
    <xf borderId="6" fillId="3" fontId="4" numFmtId="49" xfId="0" applyAlignment="1" applyBorder="1" applyFont="1" applyNumberFormat="1">
      <alignment horizontal="left" shrinkToFit="0" vertical="center" wrapText="1"/>
    </xf>
    <xf borderId="17" fillId="4" fontId="4" numFmtId="49" xfId="0" applyAlignment="1" applyBorder="1" applyFont="1" applyNumberFormat="1">
      <alignment horizontal="left" shrinkToFit="0" vertical="center" wrapText="1"/>
    </xf>
    <xf borderId="20" fillId="4" fontId="4" numFmtId="49" xfId="0" applyAlignment="1" applyBorder="1" applyFont="1" applyNumberFormat="1">
      <alignment horizontal="left" shrinkToFit="0" vertical="center" wrapText="1"/>
    </xf>
    <xf borderId="6" fillId="4" fontId="4" numFmtId="49" xfId="0" applyAlignment="1" applyBorder="1" applyFont="1" applyNumberFormat="1">
      <alignment horizontal="left" shrinkToFit="0" vertical="center" wrapText="1"/>
    </xf>
    <xf borderId="17" fillId="5" fontId="4" numFmtId="49" xfId="0" applyAlignment="1" applyBorder="1" applyFont="1" applyNumberFormat="1">
      <alignment horizontal="left" shrinkToFit="0" vertical="center" wrapText="1"/>
    </xf>
    <xf borderId="20" fillId="5" fontId="4" numFmtId="49" xfId="0" applyAlignment="1" applyBorder="1" applyFont="1" applyNumberFormat="1">
      <alignment horizontal="left" shrinkToFit="0" vertical="center" wrapText="1"/>
    </xf>
    <xf borderId="6" fillId="5" fontId="4" numFmtId="49" xfId="0" applyAlignment="1" applyBorder="1" applyFont="1" applyNumberFormat="1">
      <alignment horizontal="left" shrinkToFit="0" vertical="center" wrapText="1"/>
    </xf>
    <xf borderId="17" fillId="6" fontId="4" numFmtId="49" xfId="0" applyAlignment="1" applyBorder="1" applyFont="1" applyNumberFormat="1">
      <alignment horizontal="left" shrinkToFit="0" vertical="center" wrapText="1"/>
    </xf>
    <xf borderId="20" fillId="6" fontId="4" numFmtId="49" xfId="0" applyAlignment="1" applyBorder="1" applyFont="1" applyNumberFormat="1">
      <alignment horizontal="left" shrinkToFit="0" vertical="center" wrapText="1"/>
    </xf>
    <xf borderId="22" fillId="0" fontId="7" numFmtId="0" xfId="0" applyAlignment="1" applyBorder="1" applyFont="1">
      <alignment shrinkToFit="0" vertical="center" wrapText="1"/>
    </xf>
    <xf borderId="23" fillId="0" fontId="5" numFmtId="0" xfId="0" applyBorder="1" applyFont="1"/>
    <xf borderId="24" fillId="0" fontId="4" numFmtId="15" xfId="0" applyAlignment="1" applyBorder="1" applyFont="1" applyNumberFormat="1">
      <alignment horizontal="center" vertical="center"/>
    </xf>
    <xf borderId="25" fillId="2" fontId="4" numFmtId="0" xfId="0" applyAlignment="1" applyBorder="1" applyFont="1">
      <alignment horizontal="center" shrinkToFit="0" vertical="center" wrapText="1"/>
    </xf>
    <xf borderId="26" fillId="2" fontId="4" numFmtId="0" xfId="0" applyAlignment="1" applyBorder="1" applyFont="1">
      <alignment horizontal="center" shrinkToFit="0" vertical="center" wrapText="1"/>
    </xf>
    <xf borderId="27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25" fillId="3" fontId="4" numFmtId="0" xfId="0" applyAlignment="1" applyBorder="1" applyFont="1">
      <alignment horizontal="center" shrinkToFit="0" vertical="center" wrapText="1"/>
    </xf>
    <xf borderId="26" fillId="3" fontId="4" numFmtId="0" xfId="0" applyAlignment="1" applyBorder="1" applyFont="1">
      <alignment horizontal="center" shrinkToFit="0" vertical="center" wrapText="1"/>
    </xf>
    <xf borderId="27" fillId="3" fontId="4" numFmtId="0" xfId="0" applyAlignment="1" applyBorder="1" applyFont="1">
      <alignment horizontal="center" shrinkToFit="0" vertical="center" wrapText="1"/>
    </xf>
    <xf borderId="28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25" fillId="4" fontId="4" numFmtId="0" xfId="0" applyAlignment="1" applyBorder="1" applyFont="1">
      <alignment horizontal="center" shrinkToFit="0" vertical="center" wrapText="1"/>
    </xf>
    <xf borderId="26" fillId="4" fontId="4" numFmtId="0" xfId="0" applyAlignment="1" applyBorder="1" applyFont="1">
      <alignment horizontal="center" shrinkToFit="0" vertical="center" wrapText="1"/>
    </xf>
    <xf borderId="27" fillId="4" fontId="4" numFmtId="0" xfId="0" applyAlignment="1" applyBorder="1" applyFont="1">
      <alignment horizontal="center" shrinkToFit="0" vertical="center" wrapText="1"/>
    </xf>
    <xf borderId="28" fillId="4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25" fillId="5" fontId="4" numFmtId="0" xfId="0" applyAlignment="1" applyBorder="1" applyFont="1">
      <alignment horizontal="center" shrinkToFit="0" vertical="center" wrapText="1"/>
    </xf>
    <xf borderId="26" fillId="5" fontId="4" numFmtId="0" xfId="0" applyAlignment="1" applyBorder="1" applyFont="1">
      <alignment horizontal="center" shrinkToFit="0" vertical="center" wrapText="1"/>
    </xf>
    <xf borderId="27" fillId="5" fontId="4" numFmtId="0" xfId="0" applyAlignment="1" applyBorder="1" applyFont="1">
      <alignment horizontal="center" shrinkToFit="0" vertical="center" wrapText="1"/>
    </xf>
    <xf borderId="28" fillId="5" fontId="4" numFmtId="0" xfId="0" applyAlignment="1" applyBorder="1" applyFont="1">
      <alignment horizontal="center" shrinkToFit="0" vertical="center" wrapText="1"/>
    </xf>
    <xf borderId="6" fillId="5" fontId="4" numFmtId="0" xfId="0" applyAlignment="1" applyBorder="1" applyFont="1">
      <alignment horizontal="center" shrinkToFit="0" vertical="center" wrapText="1"/>
    </xf>
    <xf borderId="25" fillId="6" fontId="4" numFmtId="0" xfId="0" applyAlignment="1" applyBorder="1" applyFont="1">
      <alignment horizontal="center" shrinkToFit="0" vertical="center" wrapText="1"/>
    </xf>
    <xf borderId="26" fillId="6" fontId="4" numFmtId="0" xfId="0" applyAlignment="1" applyBorder="1" applyFont="1">
      <alignment horizontal="center" shrinkToFit="0" vertical="center" wrapText="1"/>
    </xf>
    <xf borderId="27" fillId="6" fontId="4" numFmtId="0" xfId="0" applyAlignment="1" applyBorder="1" applyFont="1">
      <alignment horizontal="center" shrinkToFit="0" vertical="center" wrapText="1"/>
    </xf>
    <xf borderId="28" fillId="6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29" fillId="0" fontId="5" numFmtId="0" xfId="0" applyBorder="1" applyFont="1"/>
    <xf borderId="30" fillId="0" fontId="5" numFmtId="0" xfId="0" applyBorder="1" applyFont="1"/>
    <xf borderId="31" fillId="2" fontId="4" numFmtId="9" xfId="0" applyAlignment="1" applyBorder="1" applyFont="1" applyNumberFormat="1">
      <alignment horizontal="center" shrinkToFit="0" vertical="center" wrapText="1"/>
    </xf>
    <xf borderId="32" fillId="0" fontId="5" numFmtId="0" xfId="0" applyBorder="1" applyFont="1"/>
    <xf borderId="33" fillId="0" fontId="5" numFmtId="0" xfId="0" applyBorder="1" applyFont="1"/>
    <xf borderId="31" fillId="3" fontId="4" numFmtId="9" xfId="0" applyAlignment="1" applyBorder="1" applyFont="1" applyNumberFormat="1">
      <alignment horizontal="center" shrinkToFit="0" vertical="center" wrapText="1"/>
    </xf>
    <xf borderId="34" fillId="0" fontId="5" numFmtId="0" xfId="0" applyBorder="1" applyFont="1"/>
    <xf borderId="35" fillId="4" fontId="4" numFmtId="9" xfId="0" applyAlignment="1" applyBorder="1" applyFont="1" applyNumberFormat="1">
      <alignment horizontal="center" shrinkToFit="0" vertical="center" wrapText="1"/>
    </xf>
    <xf borderId="36" fillId="0" fontId="5" numFmtId="0" xfId="0" applyBorder="1" applyFont="1"/>
    <xf borderId="37" fillId="0" fontId="5" numFmtId="0" xfId="0" applyBorder="1" applyFont="1"/>
    <xf borderId="31" fillId="5" fontId="4" numFmtId="9" xfId="0" applyAlignment="1" applyBorder="1" applyFont="1" applyNumberFormat="1">
      <alignment horizontal="center" shrinkToFit="0" vertical="center" wrapText="1"/>
    </xf>
    <xf borderId="31" fillId="6" fontId="4" numFmtId="9" xfId="0" applyAlignment="1" applyBorder="1" applyFont="1" applyNumberFormat="1">
      <alignment horizontal="center" shrinkToFit="0" vertical="center" wrapText="1"/>
    </xf>
    <xf borderId="15" fillId="0" fontId="8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38" fillId="0" fontId="6" numFmtId="0" xfId="0" applyAlignment="1" applyBorder="1" applyFont="1">
      <alignment vertical="center"/>
    </xf>
    <xf borderId="26" fillId="0" fontId="6" numFmtId="0" xfId="0" applyAlignment="1" applyBorder="1" applyFont="1">
      <alignment horizontal="center" vertical="center"/>
    </xf>
    <xf borderId="39" fillId="0" fontId="6" numFmtId="165" xfId="0" applyAlignment="1" applyBorder="1" applyFont="1" applyNumberFormat="1">
      <alignment vertical="center"/>
    </xf>
    <xf borderId="0" fillId="0" fontId="8" numFmtId="0" xfId="0" applyAlignment="1" applyFont="1">
      <alignment horizontal="center" vertical="center"/>
    </xf>
    <xf borderId="40" fillId="0" fontId="10" numFmtId="166" xfId="0" applyAlignment="1" applyBorder="1" applyFont="1" applyNumberFormat="1">
      <alignment horizontal="center"/>
    </xf>
    <xf borderId="41" fillId="0" fontId="10" numFmtId="166" xfId="0" applyAlignment="1" applyBorder="1" applyFont="1" applyNumberFormat="1">
      <alignment horizontal="center"/>
    </xf>
    <xf borderId="42" fillId="0" fontId="10" numFmtId="166" xfId="0" applyAlignment="1" applyBorder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8" numFmtId="3" xfId="0" applyAlignment="1" applyFont="1" applyNumberFormat="1">
      <alignment horizontal="right" vertical="center"/>
    </xf>
    <xf borderId="43" fillId="0" fontId="10" numFmtId="166" xfId="0" applyAlignment="1" applyBorder="1" applyFont="1" applyNumberFormat="1">
      <alignment horizontal="center"/>
    </xf>
    <xf borderId="42" fillId="0" fontId="10" numFmtId="164" xfId="0" applyAlignment="1" applyBorder="1" applyFont="1" applyNumberFormat="1">
      <alignment horizontal="center" vertical="center"/>
    </xf>
    <xf borderId="41" fillId="0" fontId="10" numFmtId="167" xfId="0" applyAlignment="1" applyBorder="1" applyFont="1" applyNumberFormat="1">
      <alignment horizontal="center"/>
    </xf>
    <xf borderId="41" fillId="0" fontId="10" numFmtId="164" xfId="0" applyAlignment="1" applyBorder="1" applyFont="1" applyNumberFormat="1">
      <alignment horizontal="center" vertical="center"/>
    </xf>
    <xf borderId="0" fillId="0" fontId="8" numFmtId="0" xfId="0" applyFont="1"/>
    <xf borderId="40" fillId="0" fontId="10" numFmtId="167" xfId="0" applyAlignment="1" applyBorder="1" applyFont="1" applyNumberFormat="1">
      <alignment horizontal="center"/>
    </xf>
    <xf borderId="44" fillId="0" fontId="8" numFmtId="0" xfId="0" applyAlignment="1" applyBorder="1" applyFont="1">
      <alignment horizontal="center" vertical="center"/>
    </xf>
    <xf borderId="44" fillId="0" fontId="9" numFmtId="0" xfId="0" applyAlignment="1" applyBorder="1" applyFont="1">
      <alignment horizontal="center" vertical="center"/>
    </xf>
    <xf borderId="40" fillId="0" fontId="6" numFmtId="0" xfId="0" applyAlignment="1" applyBorder="1" applyFont="1">
      <alignment shrinkToFit="0" wrapText="1"/>
    </xf>
    <xf borderId="41" fillId="0" fontId="6" numFmtId="0" xfId="0" applyAlignment="1" applyBorder="1" applyFont="1">
      <alignment horizontal="center" vertical="center"/>
    </xf>
    <xf borderId="45" fillId="0" fontId="6" numFmtId="165" xfId="0" applyAlignment="1" applyBorder="1" applyFont="1" applyNumberFormat="1">
      <alignment vertical="center"/>
    </xf>
    <xf borderId="0" fillId="0" fontId="10" numFmtId="164" xfId="0" applyAlignment="1" applyFont="1" applyNumberFormat="1">
      <alignment horizontal="center" vertical="center"/>
    </xf>
    <xf borderId="0" fillId="0" fontId="10" numFmtId="0" xfId="0" applyFont="1"/>
    <xf borderId="46" fillId="0" fontId="9" numFmtId="0" xfId="0" applyAlignment="1" applyBorder="1" applyFont="1">
      <alignment horizontal="center" vertical="center"/>
    </xf>
    <xf borderId="40" fillId="0" fontId="6" numFmtId="0" xfId="0" applyAlignment="1" applyBorder="1" applyFont="1">
      <alignment vertical="center"/>
    </xf>
    <xf borderId="47" fillId="0" fontId="10" numFmtId="166" xfId="0" applyAlignment="1" applyBorder="1" applyFont="1" applyNumberFormat="1">
      <alignment horizontal="center"/>
    </xf>
    <xf borderId="22" fillId="0" fontId="8" numFmtId="0" xfId="0" applyAlignment="1" applyBorder="1" applyFont="1">
      <alignment horizontal="center" vertical="center"/>
    </xf>
    <xf borderId="48" fillId="0" fontId="6" numFmtId="0" xfId="0" applyAlignment="1" applyBorder="1" applyFont="1">
      <alignment horizontal="left" vertical="center"/>
    </xf>
    <xf borderId="31" fillId="0" fontId="6" numFmtId="0" xfId="0" applyAlignment="1" applyBorder="1" applyFont="1">
      <alignment horizontal="center" vertical="center"/>
    </xf>
    <xf borderId="49" fillId="0" fontId="6" numFmtId="165" xfId="0" applyBorder="1" applyFont="1" applyNumberFormat="1"/>
    <xf borderId="0" fillId="0" fontId="8" numFmtId="168" xfId="0" applyAlignment="1" applyFont="1" applyNumberFormat="1">
      <alignment horizontal="center" vertical="center"/>
    </xf>
    <xf borderId="48" fillId="0" fontId="8" numFmtId="3" xfId="0" applyAlignment="1" applyBorder="1" applyFont="1" applyNumberFormat="1">
      <alignment vertical="center"/>
    </xf>
    <xf borderId="31" fillId="0" fontId="10" numFmtId="166" xfId="0" applyAlignment="1" applyBorder="1" applyFont="1" applyNumberFormat="1">
      <alignment horizontal="center"/>
    </xf>
    <xf borderId="49" fillId="0" fontId="8" numFmtId="3" xfId="0" applyAlignment="1" applyBorder="1" applyFont="1" applyNumberFormat="1">
      <alignment vertical="center"/>
    </xf>
    <xf borderId="0" fillId="0" fontId="8" numFmtId="3" xfId="0" applyAlignment="1" applyFont="1" applyNumberFormat="1">
      <alignment vertical="center"/>
    </xf>
    <xf borderId="48" fillId="0" fontId="10" numFmtId="166" xfId="0" applyAlignment="1" applyBorder="1" applyFont="1" applyNumberFormat="1">
      <alignment horizontal="center"/>
    </xf>
    <xf borderId="33" fillId="0" fontId="10" numFmtId="164" xfId="0" applyAlignment="1" applyBorder="1" applyFont="1" applyNumberFormat="1">
      <alignment horizontal="center" vertical="center"/>
    </xf>
    <xf borderId="31" fillId="0" fontId="10" numFmtId="167" xfId="0" applyAlignment="1" applyBorder="1" applyFont="1" applyNumberFormat="1">
      <alignment horizontal="center"/>
    </xf>
    <xf borderId="50" fillId="0" fontId="8" numFmtId="3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6" numFmtId="0" xfId="0" applyAlignment="1" applyFont="1">
      <alignment vertical="center"/>
    </xf>
    <xf borderId="51" fillId="0" fontId="6" numFmtId="0" xfId="0" applyAlignment="1" applyBorder="1" applyFont="1">
      <alignment horizontal="center" vertical="center"/>
    </xf>
    <xf borderId="52" fillId="0" fontId="6" numFmtId="165" xfId="0" applyBorder="1" applyFont="1" applyNumberFormat="1"/>
    <xf borderId="0" fillId="0" fontId="11" numFmtId="3" xfId="0" applyAlignment="1" applyFont="1" applyNumberFormat="1">
      <alignment vertical="center"/>
    </xf>
    <xf borderId="1" fillId="0" fontId="4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53" fillId="0" fontId="5" numFmtId="0" xfId="0" applyBorder="1" applyFont="1"/>
    <xf borderId="2" fillId="0" fontId="5" numFmtId="0" xfId="0" applyBorder="1" applyFont="1"/>
    <xf borderId="0" fillId="0" fontId="2" numFmtId="164" xfId="0" applyAlignment="1" applyFont="1" applyNumberForma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16" fillId="2" fontId="12" numFmtId="169" xfId="0" applyAlignment="1" applyBorder="1" applyFont="1" applyNumberFormat="1">
      <alignment horizontal="center" vertical="center"/>
    </xf>
    <xf borderId="6" fillId="2" fontId="12" numFmtId="169" xfId="0" applyAlignment="1" applyBorder="1" applyFont="1" applyNumberForma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16" fillId="5" fontId="12" numFmtId="169" xfId="0" applyAlignment="1" applyBorder="1" applyFont="1" applyNumberFormat="1">
      <alignment horizontal="center" vertical="center"/>
    </xf>
    <xf borderId="6" fillId="5" fontId="12" numFmtId="169" xfId="0" applyAlignment="1" applyBorder="1" applyFont="1" applyNumberFormat="1">
      <alignment horizontal="center" vertical="center"/>
    </xf>
    <xf borderId="16" fillId="6" fontId="12" numFmtId="169" xfId="0" applyAlignment="1" applyBorder="1" applyFont="1" applyNumberFormat="1">
      <alignment horizontal="center" vertical="center"/>
    </xf>
    <xf borderId="54" fillId="0" fontId="4" numFmtId="0" xfId="0" applyAlignment="1" applyBorder="1" applyFont="1">
      <alignment vertical="center"/>
    </xf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0" fillId="0" fontId="4" numFmtId="0" xfId="0" applyAlignment="1" applyFont="1">
      <alignment horizontal="right" vertical="center"/>
    </xf>
    <xf borderId="0" fillId="0" fontId="4" numFmtId="3" xfId="0" applyAlignment="1" applyFont="1" applyNumberFormat="1">
      <alignment vertical="center"/>
    </xf>
    <xf borderId="1" fillId="0" fontId="6" numFmtId="0" xfId="0" applyAlignment="1" applyBorder="1" applyFont="1">
      <alignment vertical="center"/>
    </xf>
    <xf borderId="53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1" fillId="0" fontId="6" numFmtId="3" xfId="0" applyAlignment="1" applyBorder="1" applyFont="1" applyNumberFormat="1">
      <alignment horizontal="center" vertical="center"/>
    </xf>
    <xf borderId="57" fillId="2" fontId="6" numFmtId="164" xfId="0" applyAlignment="1" applyBorder="1" applyFont="1" applyNumberFormat="1">
      <alignment vertical="center"/>
    </xf>
    <xf borderId="6" fillId="2" fontId="6" numFmtId="164" xfId="0" applyAlignment="1" applyBorder="1" applyFont="1" applyNumberFormat="1">
      <alignment vertical="center"/>
    </xf>
    <xf borderId="0" fillId="0" fontId="6" numFmtId="164" xfId="0" applyAlignment="1" applyFont="1" applyNumberFormat="1">
      <alignment vertical="center"/>
    </xf>
    <xf borderId="57" fillId="3" fontId="6" numFmtId="164" xfId="0" applyAlignment="1" applyBorder="1" applyFont="1" applyNumberFormat="1">
      <alignment vertical="center"/>
    </xf>
    <xf borderId="6" fillId="3" fontId="6" numFmtId="164" xfId="0" applyAlignment="1" applyBorder="1" applyFont="1" applyNumberFormat="1">
      <alignment vertical="center"/>
    </xf>
    <xf borderId="57" fillId="4" fontId="6" numFmtId="164" xfId="0" applyAlignment="1" applyBorder="1" applyFont="1" applyNumberFormat="1">
      <alignment vertical="center"/>
    </xf>
    <xf borderId="6" fillId="4" fontId="6" numFmtId="164" xfId="0" applyAlignment="1" applyBorder="1" applyFont="1" applyNumberFormat="1">
      <alignment vertical="center"/>
    </xf>
    <xf borderId="57" fillId="5" fontId="6" numFmtId="164" xfId="0" applyAlignment="1" applyBorder="1" applyFont="1" applyNumberFormat="1">
      <alignment vertical="center"/>
    </xf>
    <xf borderId="6" fillId="5" fontId="6" numFmtId="164" xfId="0" applyAlignment="1" applyBorder="1" applyFont="1" applyNumberFormat="1">
      <alignment vertical="center"/>
    </xf>
    <xf borderId="57" fillId="6" fontId="6" numFmtId="164" xfId="0" applyAlignment="1" applyBorder="1" applyFont="1" applyNumberFormat="1">
      <alignment vertical="center"/>
    </xf>
    <xf borderId="17" fillId="0" fontId="4" numFmtId="0" xfId="0" applyAlignment="1" applyBorder="1" applyFont="1">
      <alignment vertical="center"/>
    </xf>
    <xf borderId="24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58" fillId="2" fontId="4" numFmtId="10" xfId="0" applyAlignment="1" applyBorder="1" applyFont="1" applyNumberFormat="1">
      <alignment vertical="center"/>
    </xf>
    <xf borderId="6" fillId="2" fontId="4" numFmtId="10" xfId="0" applyAlignment="1" applyBorder="1" applyFont="1" applyNumberFormat="1">
      <alignment vertical="center"/>
    </xf>
    <xf borderId="0" fillId="0" fontId="4" numFmtId="10" xfId="0" applyAlignment="1" applyFont="1" applyNumberFormat="1">
      <alignment vertical="center"/>
    </xf>
    <xf borderId="58" fillId="3" fontId="4" numFmtId="10" xfId="0" applyAlignment="1" applyBorder="1" applyFont="1" applyNumberFormat="1">
      <alignment vertical="center"/>
    </xf>
    <xf borderId="6" fillId="3" fontId="4" numFmtId="10" xfId="0" applyAlignment="1" applyBorder="1" applyFont="1" applyNumberFormat="1">
      <alignment vertical="center"/>
    </xf>
    <xf borderId="59" fillId="4" fontId="4" numFmtId="9" xfId="0" applyAlignment="1" applyBorder="1" applyFont="1" applyNumberFormat="1">
      <alignment vertical="center"/>
    </xf>
    <xf borderId="6" fillId="4" fontId="4" numFmtId="0" xfId="0" applyAlignment="1" applyBorder="1" applyFont="1">
      <alignment vertical="center"/>
    </xf>
    <xf borderId="58" fillId="5" fontId="4" numFmtId="0" xfId="0" applyAlignment="1" applyBorder="1" applyFont="1">
      <alignment vertical="center"/>
    </xf>
    <xf borderId="6" fillId="5" fontId="4" numFmtId="0" xfId="0" applyAlignment="1" applyBorder="1" applyFont="1">
      <alignment vertical="center"/>
    </xf>
    <xf borderId="58" fillId="6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70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3" numFmtId="0" xfId="0" applyAlignment="1" applyFont="1">
      <alignment vertical="top"/>
    </xf>
    <xf borderId="0" fillId="0" fontId="11" numFmtId="0" xfId="0" applyAlignment="1" applyFont="1">
      <alignment horizontal="center" vertical="center"/>
    </xf>
    <xf borderId="0" fillId="0" fontId="11" numFmtId="170" xfId="0" applyAlignment="1" applyFont="1" applyNumberFormat="1">
      <alignment vertical="center"/>
    </xf>
    <xf borderId="1" fillId="0" fontId="3" numFmtId="0" xfId="0" applyAlignment="1" applyBorder="1" applyFont="1">
      <alignment vertical="top"/>
    </xf>
    <xf borderId="0" fillId="0" fontId="3" numFmtId="0" xfId="0" applyAlignment="1" applyFont="1">
      <alignment horizontal="left" vertical="top"/>
    </xf>
    <xf borderId="1" fillId="0" fontId="13" numFmtId="170" xfId="0" applyAlignment="1" applyBorder="1" applyFont="1" applyNumberFormat="1">
      <alignment horizontal="left" vertical="center"/>
    </xf>
    <xf borderId="53" fillId="0" fontId="9" numFmtId="170" xfId="0" applyAlignment="1" applyBorder="1" applyFont="1" applyNumberFormat="1">
      <alignment horizontal="left" vertical="center"/>
    </xf>
    <xf borderId="0" fillId="0" fontId="9" numFmtId="170" xfId="0" applyAlignment="1" applyFont="1" applyNumberFormat="1">
      <alignment horizontal="left" vertical="center"/>
    </xf>
    <xf borderId="7" fillId="0" fontId="3" numFmtId="0" xfId="0" applyAlignment="1" applyBorder="1" applyFont="1">
      <alignment vertical="top"/>
    </xf>
    <xf borderId="7" fillId="0" fontId="13" numFmtId="170" xfId="0" applyAlignment="1" applyBorder="1" applyFont="1" applyNumberFormat="1">
      <alignment vertical="center"/>
    </xf>
    <xf borderId="0" fillId="0" fontId="9" numFmtId="170" xfId="0" applyAlignment="1" applyFont="1" applyNumberFormat="1">
      <alignment vertical="center"/>
    </xf>
    <xf borderId="8" fillId="0" fontId="9" numFmtId="170" xfId="0" applyAlignment="1" applyBorder="1" applyFont="1" applyNumberFormat="1">
      <alignment vertical="center"/>
    </xf>
    <xf borderId="0" fillId="0" fontId="13" numFmtId="170" xfId="0" applyAlignment="1" applyFont="1" applyNumberFormat="1">
      <alignment vertical="center"/>
    </xf>
    <xf borderId="8" fillId="0" fontId="13" numFmtId="170" xfId="0" applyAlignment="1" applyBorder="1" applyFont="1" applyNumberFormat="1">
      <alignment vertical="center"/>
    </xf>
    <xf borderId="0" fillId="0" fontId="9" numFmtId="49" xfId="0" applyAlignment="1" applyFont="1" applyNumberFormat="1">
      <alignment horizontal="left" vertical="center"/>
    </xf>
    <xf borderId="7" fillId="0" fontId="13" numFmtId="170" xfId="0" applyAlignment="1" applyBorder="1" applyFont="1" applyNumberFormat="1">
      <alignment horizontal="left" vertical="center"/>
    </xf>
    <xf borderId="0" fillId="0" fontId="9" numFmtId="49" xfId="0" applyAlignment="1" applyFont="1" applyNumberFormat="1">
      <alignment vertical="center"/>
    </xf>
    <xf borderId="8" fillId="0" fontId="9" numFmtId="49" xfId="0" applyAlignment="1" applyBorder="1" applyFont="1" applyNumberFormat="1">
      <alignment vertical="center"/>
    </xf>
    <xf borderId="0" fillId="0" fontId="14" numFmtId="0" xfId="0" applyAlignment="1" applyFont="1">
      <alignment vertical="top"/>
    </xf>
    <xf borderId="0" fillId="0" fontId="13" numFmtId="170" xfId="0" applyAlignment="1" applyFont="1" applyNumberFormat="1">
      <alignment horizontal="left" vertical="center"/>
    </xf>
    <xf borderId="8" fillId="0" fontId="9" numFmtId="170" xfId="0" applyAlignment="1" applyBorder="1" applyFont="1" applyNumberFormat="1">
      <alignment horizontal="left" vertical="center"/>
    </xf>
    <xf borderId="0" fillId="0" fontId="13" numFmtId="170" xfId="0" applyAlignment="1" applyFont="1" applyNumberFormat="1">
      <alignment horizontal="center" vertical="center"/>
    </xf>
    <xf borderId="7" fillId="0" fontId="9" numFmtId="170" xfId="0" applyAlignment="1" applyBorder="1" applyFont="1" applyNumberFormat="1">
      <alignment horizontal="center" shrinkToFit="0" vertical="center" wrapText="1"/>
    </xf>
    <xf borderId="7" fillId="0" fontId="10" numFmtId="170" xfId="0" applyAlignment="1" applyBorder="1" applyFont="1" applyNumberFormat="1">
      <alignment horizontal="center" shrinkToFit="0" vertical="center" wrapText="1"/>
    </xf>
    <xf borderId="0" fillId="0" fontId="15" numFmtId="170" xfId="0" applyAlignment="1" applyFont="1" applyNumberFormat="1">
      <alignment horizontal="center" vertical="center"/>
    </xf>
    <xf borderId="7" fillId="0" fontId="10" numFmtId="49" xfId="0" applyAlignment="1" applyBorder="1" applyFont="1" applyNumberFormat="1">
      <alignment horizontal="center" shrinkToFit="0" vertical="center" wrapText="1"/>
    </xf>
    <xf borderId="7" fillId="0" fontId="15" numFmtId="170" xfId="0" applyAlignment="1" applyBorder="1" applyFont="1" applyNumberFormat="1">
      <alignment horizontal="center" vertical="center"/>
    </xf>
    <xf borderId="7" fillId="0" fontId="14" numFmtId="170" xfId="0" applyAlignment="1" applyBorder="1" applyFont="1" applyNumberFormat="1">
      <alignment horizontal="center" vertical="center"/>
    </xf>
    <xf borderId="7" fillId="0" fontId="5" numFmtId="0" xfId="0" applyBorder="1" applyFont="1"/>
    <xf borderId="7" fillId="0" fontId="13" numFmtId="170" xfId="0" applyAlignment="1" applyBorder="1" applyFont="1" applyNumberFormat="1">
      <alignment horizontal="center" vertical="center"/>
    </xf>
    <xf borderId="54" fillId="0" fontId="3" numFmtId="0" xfId="0" applyAlignment="1" applyBorder="1" applyFont="1">
      <alignment vertical="top"/>
    </xf>
    <xf borderId="54" fillId="0" fontId="11" numFmtId="170" xfId="0" applyAlignment="1" applyBorder="1" applyFont="1" applyNumberFormat="1">
      <alignment horizontal="center" vertical="center"/>
    </xf>
    <xf borderId="0" fillId="0" fontId="11" numFmtId="170" xfId="0" applyAlignment="1" applyFont="1" applyNumberFormat="1">
      <alignment horizontal="center" vertical="center"/>
    </xf>
    <xf borderId="60" fillId="0" fontId="2" numFmtId="164" xfId="0" applyAlignment="1" applyBorder="1" applyFont="1" applyNumberFormat="1">
      <alignment horizontal="center" shrinkToFit="0" vertical="center" wrapText="1"/>
    </xf>
    <xf borderId="61" fillId="0" fontId="5" numFmtId="0" xfId="0" applyBorder="1" applyFont="1"/>
    <xf borderId="62" fillId="0" fontId="5" numFmtId="0" xfId="0" applyBorder="1" applyFont="1"/>
    <xf borderId="63" fillId="0" fontId="3" numFmtId="0" xfId="0" applyAlignment="1" applyBorder="1" applyFont="1">
      <alignment horizontal="center" shrinkToFit="0" vertical="center" wrapText="1"/>
    </xf>
    <xf borderId="17" fillId="2" fontId="4" numFmtId="164" xfId="0" applyAlignment="1" applyBorder="1" applyFont="1" applyNumberFormat="1">
      <alignment horizontal="center" vertical="center"/>
    </xf>
    <xf borderId="24" fillId="0" fontId="5" numFmtId="0" xfId="0" applyBorder="1" applyFont="1"/>
    <xf borderId="3" fillId="7" fontId="4" numFmtId="164" xfId="0" applyAlignment="1" applyBorder="1" applyFill="1" applyFont="1" applyNumberFormat="1">
      <alignment horizontal="center" vertical="center"/>
    </xf>
    <xf borderId="52" fillId="0" fontId="5" numFmtId="0" xfId="0" applyBorder="1" applyFont="1"/>
    <xf borderId="51" fillId="0" fontId="5" numFmtId="0" xfId="0" applyBorder="1" applyFont="1"/>
    <xf borderId="64" fillId="0" fontId="5" numFmtId="0" xfId="0" applyBorder="1" applyFont="1"/>
    <xf borderId="65" fillId="3" fontId="4" numFmtId="164" xfId="0" applyAlignment="1" applyBorder="1" applyFont="1" applyNumberFormat="1">
      <alignment horizontal="center" vertical="center"/>
    </xf>
    <xf borderId="66" fillId="0" fontId="5" numFmtId="0" xfId="0" applyBorder="1" applyFont="1"/>
    <xf borderId="67" fillId="0" fontId="5" numFmtId="0" xfId="0" applyBorder="1" applyFont="1"/>
    <xf borderId="9" fillId="7" fontId="4" numFmtId="164" xfId="0" applyAlignment="1" applyBorder="1" applyFont="1" applyNumberFormat="1">
      <alignment horizontal="center" vertical="center"/>
    </xf>
    <xf borderId="68" fillId="0" fontId="5" numFmtId="0" xfId="0" applyBorder="1" applyFont="1"/>
    <xf borderId="69" fillId="0" fontId="5" numFmtId="0" xfId="0" applyBorder="1" applyFont="1"/>
    <xf borderId="70" fillId="0" fontId="5" numFmtId="0" xfId="0" applyBorder="1" applyFont="1"/>
    <xf borderId="43" fillId="0" fontId="5" numFmtId="0" xfId="0" applyBorder="1" applyFont="1"/>
    <xf borderId="12" fillId="7" fontId="4" numFmtId="164" xfId="0" applyAlignment="1" applyBorder="1" applyFont="1" applyNumberFormat="1">
      <alignment horizontal="center" vertical="center"/>
    </xf>
    <xf borderId="63" fillId="0" fontId="4" numFmtId="0" xfId="0" applyAlignment="1" applyBorder="1" applyFont="1">
      <alignment horizontal="center" shrinkToFit="0" vertical="center" wrapText="1"/>
    </xf>
    <xf borderId="63" fillId="0" fontId="4" numFmtId="0" xfId="0" applyAlignment="1" applyBorder="1" applyFont="1">
      <alignment horizontal="center" vertical="center"/>
    </xf>
    <xf borderId="65" fillId="0" fontId="4" numFmtId="0" xfId="0" applyAlignment="1" applyBorder="1" applyFont="1">
      <alignment horizontal="center" shrinkToFit="0" vertical="center" wrapText="1"/>
    </xf>
    <xf borderId="17" fillId="7" fontId="4" numFmtId="49" xfId="0" applyAlignment="1" applyBorder="1" applyFont="1" applyNumberFormat="1">
      <alignment horizontal="left" shrinkToFit="0" vertical="center" wrapText="1"/>
    </xf>
    <xf borderId="20" fillId="7" fontId="4" numFmtId="49" xfId="0" applyAlignment="1" applyBorder="1" applyFont="1" applyNumberFormat="1">
      <alignment horizontal="left" shrinkToFit="0" vertical="center" wrapText="1"/>
    </xf>
    <xf borderId="65" fillId="0" fontId="4" numFmtId="15" xfId="0" applyAlignment="1" applyBorder="1" applyFont="1" applyNumberFormat="1">
      <alignment horizontal="center" vertical="center"/>
    </xf>
    <xf borderId="25" fillId="7" fontId="4" numFmtId="0" xfId="0" applyAlignment="1" applyBorder="1" applyFont="1">
      <alignment horizontal="center" shrinkToFit="0" vertical="center" wrapText="1"/>
    </xf>
    <xf borderId="26" fillId="7" fontId="4" numFmtId="0" xfId="0" applyAlignment="1" applyBorder="1" applyFont="1">
      <alignment horizontal="center" shrinkToFit="0" vertical="center" wrapText="1"/>
    </xf>
    <xf borderId="27" fillId="7" fontId="4" numFmtId="0" xfId="0" applyAlignment="1" applyBorder="1" applyFont="1">
      <alignment horizontal="center" shrinkToFit="0" vertical="center" wrapText="1"/>
    </xf>
    <xf borderId="28" fillId="7" fontId="4" numFmtId="0" xfId="0" applyAlignment="1" applyBorder="1" applyFont="1">
      <alignment horizontal="center" shrinkToFit="0" vertical="center" wrapText="1"/>
    </xf>
    <xf borderId="41" fillId="0" fontId="4" numFmtId="0" xfId="0" applyAlignment="1" applyBorder="1" applyFont="1">
      <alignment horizontal="center" vertical="center"/>
    </xf>
    <xf borderId="35" fillId="7" fontId="4" numFmtId="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/>
    </xf>
    <xf borderId="41" fillId="0" fontId="16" numFmtId="0" xfId="0" applyAlignment="1" applyBorder="1" applyFont="1">
      <alignment horizontal="center" vertical="center"/>
    </xf>
    <xf borderId="41" fillId="0" fontId="17" numFmtId="0" xfId="0" applyAlignment="1" applyBorder="1" applyFont="1">
      <alignment shrinkToFit="0" wrapText="1"/>
    </xf>
    <xf borderId="41" fillId="0" fontId="17" numFmtId="0" xfId="0" applyAlignment="1" applyBorder="1" applyFont="1">
      <alignment horizontal="center" vertical="center"/>
    </xf>
    <xf borderId="41" fillId="0" fontId="17" numFmtId="165" xfId="0" applyAlignment="1" applyBorder="1" applyFont="1" applyNumberFormat="1">
      <alignment horizontal="center" vertical="center"/>
    </xf>
    <xf borderId="41" fillId="0" fontId="17" numFmtId="165" xfId="0" applyAlignment="1" applyBorder="1" applyFont="1" applyNumberFormat="1">
      <alignment vertical="center"/>
    </xf>
    <xf borderId="0" fillId="0" fontId="18" numFmtId="0" xfId="0" applyAlignment="1" applyFont="1">
      <alignment horizontal="center" vertical="center"/>
    </xf>
    <xf borderId="40" fillId="8" fontId="15" numFmtId="166" xfId="0" applyAlignment="1" applyBorder="1" applyFill="1" applyFont="1" applyNumberFormat="1">
      <alignment horizontal="center"/>
    </xf>
    <xf borderId="41" fillId="0" fontId="15" numFmtId="166" xfId="0" applyAlignment="1" applyBorder="1" applyFont="1" applyNumberFormat="1">
      <alignment horizontal="center"/>
    </xf>
    <xf borderId="71" fillId="9" fontId="15" numFmtId="166" xfId="0" applyAlignment="1" applyBorder="1" applyFill="1" applyFont="1" applyNumberFormat="1">
      <alignment horizontal="center" vertical="center"/>
    </xf>
    <xf borderId="0" fillId="0" fontId="18" numFmtId="3" xfId="0" applyAlignment="1" applyFont="1" applyNumberFormat="1">
      <alignment horizontal="right" vertical="center"/>
    </xf>
    <xf borderId="40" fillId="8" fontId="15" numFmtId="167" xfId="0" applyAlignment="1" applyBorder="1" applyFont="1" applyNumberFormat="1">
      <alignment horizontal="center"/>
    </xf>
    <xf borderId="43" fillId="0" fontId="15" numFmtId="166" xfId="0" applyAlignment="1" applyBorder="1" applyFont="1" applyNumberFormat="1">
      <alignment horizontal="center"/>
    </xf>
    <xf borderId="71" fillId="6" fontId="15" numFmtId="164" xfId="0" applyAlignment="1" applyBorder="1" applyFont="1" applyNumberFormat="1">
      <alignment horizontal="center" vertical="center"/>
    </xf>
    <xf borderId="40" fillId="0" fontId="15" numFmtId="167" xfId="0" applyAlignment="1" applyBorder="1" applyFont="1" applyNumberFormat="1">
      <alignment horizontal="center"/>
    </xf>
    <xf borderId="41" fillId="0" fontId="15" numFmtId="167" xfId="0" applyAlignment="1" applyBorder="1" applyFont="1" applyNumberFormat="1">
      <alignment horizontal="center"/>
    </xf>
    <xf borderId="45" fillId="10" fontId="15" numFmtId="164" xfId="0" applyAlignment="1" applyBorder="1" applyFill="1" applyFont="1" applyNumberFormat="1">
      <alignment horizontal="center" vertical="center"/>
    </xf>
    <xf borderId="0" fillId="0" fontId="18" numFmtId="0" xfId="0" applyFont="1"/>
    <xf borderId="45" fillId="8" fontId="15" numFmtId="164" xfId="0" applyAlignment="1" applyBorder="1" applyFont="1" applyNumberFormat="1">
      <alignment horizontal="center" vertical="center"/>
    </xf>
    <xf borderId="0" fillId="0" fontId="18" numFmtId="166" xfId="0" applyFont="1" applyNumberFormat="1"/>
    <xf borderId="46" fillId="0" fontId="8" numFmtId="0" xfId="0" applyAlignment="1" applyBorder="1" applyFont="1">
      <alignment horizontal="center" vertical="center"/>
    </xf>
    <xf borderId="41" fillId="0" fontId="9" numFmtId="0" xfId="0" applyAlignment="1" applyBorder="1" applyFont="1">
      <alignment horizontal="center" vertical="center"/>
    </xf>
    <xf borderId="41" fillId="0" fontId="6" numFmtId="0" xfId="0" applyAlignment="1" applyBorder="1" applyFont="1">
      <alignment shrinkToFit="0" wrapText="1"/>
    </xf>
    <xf borderId="41" fillId="0" fontId="6" numFmtId="165" xfId="0" applyAlignment="1" applyBorder="1" applyFont="1" applyNumberFormat="1">
      <alignment horizontal="center" vertical="center"/>
    </xf>
    <xf borderId="41" fillId="0" fontId="6" numFmtId="165" xfId="0" applyAlignment="1" applyBorder="1" applyFont="1" applyNumberFormat="1">
      <alignment vertical="center"/>
    </xf>
    <xf borderId="40" fillId="8" fontId="10" numFmtId="166" xfId="0" applyAlignment="1" applyBorder="1" applyFont="1" applyNumberFormat="1">
      <alignment horizontal="center"/>
    </xf>
    <xf borderId="45" fillId="10" fontId="10" numFmtId="164" xfId="0" applyAlignment="1" applyBorder="1" applyFont="1" applyNumberFormat="1">
      <alignment horizontal="center" vertical="center"/>
    </xf>
    <xf borderId="40" fillId="8" fontId="10" numFmtId="167" xfId="0" applyAlignment="1" applyBorder="1" applyFont="1" applyNumberFormat="1">
      <alignment horizontal="center"/>
    </xf>
    <xf borderId="71" fillId="6" fontId="10" numFmtId="164" xfId="0" applyAlignment="1" applyBorder="1" applyFont="1" applyNumberFormat="1">
      <alignment horizontal="center" vertical="center"/>
    </xf>
    <xf borderId="45" fillId="9" fontId="10" numFmtId="164" xfId="0" applyAlignment="1" applyBorder="1" applyFont="1" applyNumberFormat="1">
      <alignment horizontal="center" vertical="center"/>
    </xf>
    <xf borderId="45" fillId="8" fontId="10" numFmtId="164" xfId="0" applyAlignment="1" applyBorder="1" applyFont="1" applyNumberFormat="1">
      <alignment horizontal="center" vertical="center"/>
    </xf>
    <xf borderId="0" fillId="0" fontId="8" numFmtId="166" xfId="0" applyFont="1" applyNumberFormat="1"/>
    <xf borderId="71" fillId="6" fontId="10" numFmtId="166" xfId="0" applyAlignment="1" applyBorder="1" applyFont="1" applyNumberFormat="1">
      <alignment horizontal="center" vertical="center"/>
    </xf>
    <xf borderId="71" fillId="10" fontId="10" numFmtId="164" xfId="0" applyAlignment="1" applyBorder="1" applyFont="1" applyNumberFormat="1">
      <alignment horizontal="center" vertical="center"/>
    </xf>
    <xf borderId="71" fillId="9" fontId="10" numFmtId="166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2" numFmtId="165" xfId="0" applyAlignment="1" applyBorder="1" applyFont="1" applyNumberFormat="1">
      <alignment horizontal="center" vertical="center"/>
    </xf>
    <xf borderId="16" fillId="3" fontId="12" numFmtId="169" xfId="0" applyAlignment="1" applyBorder="1" applyFont="1" applyNumberFormat="1">
      <alignment horizontal="center" vertical="center"/>
    </xf>
    <xf borderId="16" fillId="4" fontId="12" numFmtId="169" xfId="0" applyAlignment="1" applyBorder="1" applyFont="1" applyNumberFormat="1">
      <alignment horizontal="center" vertical="center"/>
    </xf>
    <xf borderId="58" fillId="2" fontId="4" numFmtId="0" xfId="0" applyAlignment="1" applyBorder="1" applyFont="1">
      <alignment vertical="center"/>
    </xf>
    <xf borderId="58" fillId="3" fontId="4" numFmtId="0" xfId="0" applyAlignment="1" applyBorder="1" applyFont="1">
      <alignment vertical="center"/>
    </xf>
    <xf borderId="59" fillId="4" fontId="4" numFmtId="0" xfId="0" applyAlignment="1" applyBorder="1" applyFont="1">
      <alignment vertical="center"/>
    </xf>
    <xf borderId="0" fillId="0" fontId="3" numFmtId="9" xfId="0" applyAlignment="1" applyFont="1" applyNumberFormat="1">
      <alignment vertical="center"/>
    </xf>
    <xf borderId="0" fillId="0" fontId="13" numFmtId="49" xfId="0" applyAlignment="1" applyFont="1" applyNumberFormat="1">
      <alignment vertical="center"/>
    </xf>
    <xf borderId="0" fillId="0" fontId="13" numFmtId="49" xfId="0" applyAlignment="1" applyFont="1" applyNumberFormat="1">
      <alignment horizontal="left" vertical="center"/>
    </xf>
    <xf borderId="0" fillId="0" fontId="3" numFmtId="0" xfId="0" applyAlignment="1" applyFont="1">
      <alignment vertical="center"/>
    </xf>
    <xf borderId="7" fillId="0" fontId="9" numFmtId="17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7" fillId="0" fontId="4" numFmtId="15" xfId="0" applyAlignment="1" applyBorder="1" applyFont="1" applyNumberFormat="1">
      <alignment horizontal="center" vertical="center"/>
    </xf>
    <xf borderId="72" fillId="0" fontId="4" numFmtId="0" xfId="0" applyAlignment="1" applyBorder="1" applyFont="1">
      <alignment vertical="center"/>
    </xf>
    <xf borderId="46" fillId="0" fontId="6" numFmtId="165" xfId="0" applyAlignment="1" applyBorder="1" applyFont="1" applyNumberFormat="1">
      <alignment vertical="center"/>
    </xf>
    <xf borderId="73" fillId="0" fontId="6" numFmtId="165" xfId="0" applyAlignment="1" applyBorder="1" applyFont="1" applyNumberFormat="1">
      <alignment vertical="center"/>
    </xf>
    <xf borderId="74" fillId="0" fontId="6" numFmtId="165" xfId="0" applyAlignment="1" applyBorder="1" applyFont="1" applyNumberFormat="1">
      <alignment vertical="center"/>
    </xf>
    <xf borderId="44" fillId="0" fontId="6" numFmtId="165" xfId="0" applyAlignment="1" applyBorder="1" applyFont="1" applyNumberFormat="1">
      <alignment vertical="center"/>
    </xf>
    <xf borderId="75" fillId="11" fontId="19" numFmtId="169" xfId="0" applyBorder="1" applyFill="1" applyFont="1" applyNumberFormat="1"/>
    <xf borderId="47" fillId="0" fontId="10" numFmtId="167" xfId="0" applyAlignment="1" applyBorder="1" applyFont="1" applyNumberFormat="1">
      <alignment horizontal="center"/>
    </xf>
    <xf borderId="22" fillId="0" fontId="6" numFmtId="165" xfId="0" applyBorder="1" applyFont="1" applyNumberFormat="1"/>
    <xf borderId="58" fillId="0" fontId="6" numFmtId="165" xfId="0" applyBorder="1" applyFont="1" applyNumberFormat="1"/>
    <xf borderId="0" fillId="0" fontId="6" numFmtId="165" xfId="0" applyFont="1" applyNumberFormat="1"/>
    <xf borderId="1" fillId="0" fontId="2" numFmtId="165" xfId="0" applyAlignment="1" applyBorder="1" applyFont="1" applyNumberFormat="1">
      <alignment horizontal="center" vertical="center"/>
    </xf>
    <xf borderId="7" fillId="0" fontId="10" numFmtId="17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142875</xdr:rowOff>
    </xdr:from>
    <xdr:ext cx="1495425" cy="933450"/>
    <xdr:pic>
      <xdr:nvPicPr>
        <xdr:cNvPr descr="C:\Users\Viviana\Downloads\WhatsApp Image 2021-09-17 at 10.34.06 AM (1)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142875</xdr:rowOff>
    </xdr:from>
    <xdr:ext cx="1504950" cy="933450"/>
    <xdr:pic>
      <xdr:nvPicPr>
        <xdr:cNvPr descr="C:\Users\Viviana\Downloads\WhatsApp Image 2021-09-17 at 10.34.06 AM (1)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142875</xdr:rowOff>
    </xdr:from>
    <xdr:ext cx="1495425" cy="933450"/>
    <xdr:pic>
      <xdr:nvPicPr>
        <xdr:cNvPr descr="C:\Users\Viviana\Downloads\WhatsApp Image 2021-09-17 at 10.34.06 AM (1)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142875</xdr:rowOff>
    </xdr:from>
    <xdr:ext cx="1495425" cy="933450"/>
    <xdr:pic>
      <xdr:nvPicPr>
        <xdr:cNvPr descr="C:\Users\Viviana\Downloads\WhatsApp Image 2021-09-17 at 10.34.06 AM (1)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142875</xdr:rowOff>
    </xdr:from>
    <xdr:ext cx="1495425" cy="933450"/>
    <xdr:pic>
      <xdr:nvPicPr>
        <xdr:cNvPr descr="C:\Users\Viviana\Downloads\WhatsApp Image 2021-09-17 at 10.34.06 AM (1)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25"/>
    <col customWidth="1" min="2" max="2" width="8.38"/>
    <col customWidth="1" min="3" max="3" width="43.75"/>
    <col customWidth="1" min="4" max="4" width="20.75"/>
    <col customWidth="1" min="5" max="5" width="29.75"/>
    <col customWidth="1" min="6" max="6" width="3.75"/>
    <col customWidth="1" min="7" max="7" width="17.75"/>
    <col customWidth="1" min="8" max="8" width="18.63"/>
    <col customWidth="1" min="9" max="9" width="16.88"/>
    <col customWidth="1" min="10" max="10" width="23.88"/>
    <col customWidth="1" min="11" max="11" width="19.38"/>
    <col customWidth="1" min="12" max="12" width="3.75"/>
    <col customWidth="1" min="13" max="13" width="19.88"/>
    <col customWidth="1" min="14" max="14" width="17.38"/>
    <col customWidth="1" min="15" max="15" width="16.0"/>
    <col customWidth="1" min="16" max="17" width="25.38"/>
    <col customWidth="1" min="18" max="18" width="3.75"/>
    <col customWidth="1" min="19" max="19" width="20.13"/>
    <col customWidth="1" min="20" max="20" width="14.38"/>
    <col customWidth="1" min="21" max="21" width="17.0"/>
    <col customWidth="1" min="22" max="23" width="22.38"/>
    <col customWidth="1" min="24" max="24" width="2.63"/>
    <col customWidth="1" hidden="1" min="25" max="25" width="24.75"/>
    <col customWidth="1" hidden="1" min="26" max="26" width="14.25"/>
    <col customWidth="1" hidden="1" min="27" max="27" width="18.38"/>
    <col customWidth="1" hidden="1" min="28" max="29" width="23.25"/>
    <col customWidth="1" hidden="1" min="30" max="30" width="11.38"/>
    <col customWidth="1" hidden="1" min="31" max="31" width="24.75"/>
    <col customWidth="1" hidden="1" min="32" max="32" width="17.25"/>
    <col customWidth="1" hidden="1" min="33" max="33" width="18.38"/>
    <col customWidth="1" hidden="1" min="34" max="34" width="23.25"/>
    <col customWidth="1" min="35" max="35" width="17.75"/>
  </cols>
  <sheetData>
    <row r="1" ht="33.0" customHeight="1">
      <c r="A1" s="1"/>
      <c r="B1" s="2" t="s">
        <v>0</v>
      </c>
      <c r="E1" s="3" t="s">
        <v>1</v>
      </c>
      <c r="F1" s="4"/>
      <c r="G1" s="5" t="s">
        <v>2</v>
      </c>
      <c r="H1" s="6"/>
      <c r="I1" s="6"/>
      <c r="J1" s="7"/>
      <c r="K1" s="8"/>
      <c r="L1" s="9"/>
      <c r="M1" s="10" t="s">
        <v>3</v>
      </c>
      <c r="N1" s="6"/>
      <c r="O1" s="6"/>
      <c r="P1" s="7"/>
      <c r="Q1" s="11"/>
      <c r="R1" s="9"/>
      <c r="S1" s="12" t="s">
        <v>4</v>
      </c>
      <c r="T1" s="6"/>
      <c r="U1" s="6"/>
      <c r="V1" s="7"/>
      <c r="W1" s="13"/>
      <c r="X1" s="14"/>
      <c r="Y1" s="15" t="s">
        <v>5</v>
      </c>
      <c r="Z1" s="6"/>
      <c r="AA1" s="6"/>
      <c r="AB1" s="7"/>
      <c r="AC1" s="16"/>
      <c r="AD1" s="14"/>
      <c r="AE1" s="17" t="s">
        <v>5</v>
      </c>
      <c r="AF1" s="6"/>
      <c r="AG1" s="6"/>
      <c r="AH1" s="7"/>
      <c r="AI1" s="14"/>
    </row>
    <row r="2" ht="33.0" customHeight="1">
      <c r="A2" s="18"/>
      <c r="E2" s="19"/>
      <c r="F2" s="4"/>
      <c r="G2" s="20" t="s">
        <v>6</v>
      </c>
      <c r="H2" s="21"/>
      <c r="I2" s="21"/>
      <c r="J2" s="22"/>
      <c r="K2" s="8"/>
      <c r="L2" s="9"/>
      <c r="M2" s="23" t="s">
        <v>6</v>
      </c>
      <c r="N2" s="21"/>
      <c r="O2" s="21"/>
      <c r="P2" s="22"/>
      <c r="Q2" s="11"/>
      <c r="R2" s="9"/>
      <c r="S2" s="24" t="s">
        <v>6</v>
      </c>
      <c r="T2" s="21"/>
      <c r="U2" s="21"/>
      <c r="V2" s="22"/>
      <c r="W2" s="13"/>
      <c r="X2" s="14"/>
      <c r="Y2" s="25" t="s">
        <v>6</v>
      </c>
      <c r="Z2" s="21"/>
      <c r="AA2" s="21"/>
      <c r="AB2" s="22"/>
      <c r="AC2" s="16"/>
      <c r="AD2" s="14"/>
      <c r="AE2" s="26" t="s">
        <v>6</v>
      </c>
      <c r="AF2" s="21"/>
      <c r="AG2" s="21"/>
      <c r="AH2" s="22"/>
      <c r="AI2" s="14"/>
    </row>
    <row r="3" ht="33.0" customHeight="1">
      <c r="A3" s="18"/>
      <c r="E3" s="19"/>
      <c r="F3" s="4"/>
      <c r="G3" s="27" t="s">
        <v>7</v>
      </c>
      <c r="H3" s="28"/>
      <c r="I3" s="28"/>
      <c r="J3" s="29"/>
      <c r="K3" s="8"/>
      <c r="L3" s="9"/>
      <c r="M3" s="30" t="s">
        <v>8</v>
      </c>
      <c r="N3" s="28"/>
      <c r="O3" s="28"/>
      <c r="P3" s="29"/>
      <c r="Q3" s="11"/>
      <c r="R3" s="9"/>
      <c r="S3" s="31" t="s">
        <v>9</v>
      </c>
      <c r="T3" s="28"/>
      <c r="U3" s="28"/>
      <c r="V3" s="29"/>
      <c r="W3" s="13"/>
      <c r="X3" s="14"/>
      <c r="Y3" s="32" t="s">
        <v>10</v>
      </c>
      <c r="Z3" s="28"/>
      <c r="AA3" s="28"/>
      <c r="AB3" s="29"/>
      <c r="AC3" s="16"/>
      <c r="AD3" s="14"/>
      <c r="AE3" s="33" t="s">
        <v>10</v>
      </c>
      <c r="AF3" s="28"/>
      <c r="AG3" s="28"/>
      <c r="AH3" s="29"/>
      <c r="AI3" s="14"/>
    </row>
    <row r="4" ht="33.0" customHeight="1">
      <c r="A4" s="34"/>
      <c r="B4" s="35" t="s">
        <v>11</v>
      </c>
      <c r="C4" s="36" t="s">
        <v>12</v>
      </c>
      <c r="D4" s="37" t="s">
        <v>13</v>
      </c>
      <c r="E4" s="38"/>
      <c r="F4" s="4"/>
      <c r="G4" s="39" t="s">
        <v>14</v>
      </c>
      <c r="H4" s="40"/>
      <c r="I4" s="41" t="s">
        <v>15</v>
      </c>
      <c r="J4" s="38"/>
      <c r="K4" s="42"/>
      <c r="L4" s="43"/>
      <c r="M4" s="44" t="s">
        <v>14</v>
      </c>
      <c r="N4" s="45"/>
      <c r="O4" s="46" t="s">
        <v>16</v>
      </c>
      <c r="P4" s="38"/>
      <c r="Q4" s="47"/>
      <c r="R4" s="43"/>
      <c r="S4" s="48" t="s">
        <v>14</v>
      </c>
      <c r="T4" s="45"/>
      <c r="U4" s="49" t="s">
        <v>15</v>
      </c>
      <c r="V4" s="38"/>
      <c r="W4" s="50"/>
      <c r="X4" s="14"/>
      <c r="Y4" s="51" t="s">
        <v>14</v>
      </c>
      <c r="Z4" s="45"/>
      <c r="AA4" s="52" t="s">
        <v>16</v>
      </c>
      <c r="AB4" s="38"/>
      <c r="AC4" s="53"/>
      <c r="AD4" s="14"/>
      <c r="AE4" s="54" t="s">
        <v>14</v>
      </c>
      <c r="AF4" s="45"/>
      <c r="AG4" s="55" t="s">
        <v>16</v>
      </c>
      <c r="AH4" s="38"/>
      <c r="AI4" s="14"/>
    </row>
    <row r="5" ht="45.0" customHeight="1">
      <c r="A5" s="56"/>
      <c r="B5" s="57"/>
      <c r="C5" s="57"/>
      <c r="D5" s="58">
        <f>+TODAY()</f>
        <v>46136</v>
      </c>
      <c r="E5" s="38"/>
      <c r="F5" s="4"/>
      <c r="G5" s="59" t="s">
        <v>17</v>
      </c>
      <c r="H5" s="60" t="s">
        <v>18</v>
      </c>
      <c r="I5" s="61" t="s">
        <v>19</v>
      </c>
      <c r="J5" s="62" t="s">
        <v>20</v>
      </c>
      <c r="K5" s="63"/>
      <c r="L5" s="4"/>
      <c r="M5" s="64" t="s">
        <v>17</v>
      </c>
      <c r="N5" s="65" t="s">
        <v>21</v>
      </c>
      <c r="O5" s="66" t="s">
        <v>19</v>
      </c>
      <c r="P5" s="67" t="s">
        <v>20</v>
      </c>
      <c r="Q5" s="68"/>
      <c r="R5" s="4"/>
      <c r="S5" s="69" t="s">
        <v>17</v>
      </c>
      <c r="T5" s="70" t="s">
        <v>22</v>
      </c>
      <c r="U5" s="71" t="s">
        <v>19</v>
      </c>
      <c r="V5" s="72" t="s">
        <v>20</v>
      </c>
      <c r="W5" s="73"/>
      <c r="X5" s="14"/>
      <c r="Y5" s="74" t="s">
        <v>17</v>
      </c>
      <c r="Z5" s="75" t="s">
        <v>22</v>
      </c>
      <c r="AA5" s="76" t="s">
        <v>19</v>
      </c>
      <c r="AB5" s="77" t="s">
        <v>20</v>
      </c>
      <c r="AC5" s="78"/>
      <c r="AD5" s="14"/>
      <c r="AE5" s="79" t="s">
        <v>17</v>
      </c>
      <c r="AF5" s="80" t="s">
        <v>22</v>
      </c>
      <c r="AG5" s="81" t="s">
        <v>19</v>
      </c>
      <c r="AH5" s="82" t="s">
        <v>20</v>
      </c>
      <c r="AI5" s="14"/>
    </row>
    <row r="6" ht="30.0" customHeight="1">
      <c r="A6" s="83"/>
      <c r="B6" s="84"/>
      <c r="C6" s="84"/>
      <c r="D6" s="36" t="s">
        <v>23</v>
      </c>
      <c r="E6" s="36" t="s">
        <v>24</v>
      </c>
      <c r="F6" s="4"/>
      <c r="G6" s="85"/>
      <c r="H6" s="86">
        <v>0.19</v>
      </c>
      <c r="I6" s="87"/>
      <c r="J6" s="88"/>
      <c r="K6" s="63"/>
      <c r="L6" s="4"/>
      <c r="M6" s="85"/>
      <c r="N6" s="89">
        <v>0.19</v>
      </c>
      <c r="O6" s="87"/>
      <c r="P6" s="88"/>
      <c r="Q6" s="68"/>
      <c r="R6" s="4"/>
      <c r="S6" s="90"/>
      <c r="T6" s="91">
        <v>0.19</v>
      </c>
      <c r="U6" s="92"/>
      <c r="V6" s="93"/>
      <c r="W6" s="73"/>
      <c r="X6" s="14"/>
      <c r="Y6" s="85"/>
      <c r="Z6" s="94">
        <v>0.19</v>
      </c>
      <c r="AA6" s="87"/>
      <c r="AB6" s="88"/>
      <c r="AC6" s="78"/>
      <c r="AD6" s="14"/>
      <c r="AE6" s="85"/>
      <c r="AF6" s="95">
        <v>0.19</v>
      </c>
      <c r="AG6" s="87"/>
      <c r="AH6" s="88"/>
      <c r="AI6" s="14"/>
    </row>
    <row r="7" ht="15.75" customHeight="1">
      <c r="A7" s="96"/>
      <c r="B7" s="97">
        <v>1.0</v>
      </c>
      <c r="C7" s="98" t="s">
        <v>25</v>
      </c>
      <c r="D7" s="99" t="s">
        <v>26</v>
      </c>
      <c r="E7" s="100">
        <v>4.0</v>
      </c>
      <c r="F7" s="101"/>
      <c r="G7" s="102">
        <v>890000.0</v>
      </c>
      <c r="H7" s="103">
        <f t="shared" ref="H7:H8" si="1">G7*$H$6</f>
        <v>169100</v>
      </c>
      <c r="I7" s="103">
        <f t="shared" ref="I7:I8" si="2">G7+H7</f>
        <v>1059100</v>
      </c>
      <c r="J7" s="104">
        <f t="shared" ref="J7:J8" si="3">E7*I7</f>
        <v>4236400</v>
      </c>
      <c r="K7" s="105">
        <f t="shared" ref="K7:K11" si="4"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267000</v>
      </c>
      <c r="L7" s="106"/>
      <c r="M7" s="102">
        <v>693000.0</v>
      </c>
      <c r="N7" s="103">
        <f t="shared" ref="N7:N8" si="5">M7*$N$6</f>
        <v>131670</v>
      </c>
      <c r="O7" s="107">
        <f t="shared" ref="O7:O8" si="6">M7+N7</f>
        <v>824670</v>
      </c>
      <c r="P7" s="108">
        <f t="shared" ref="P7:P8" si="7">E7*O7</f>
        <v>3298680</v>
      </c>
      <c r="Q7" s="105">
        <f t="shared" ref="Q7:Q11" si="8"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70000</v>
      </c>
      <c r="R7" s="106"/>
      <c r="S7" s="109">
        <v>623000.0</v>
      </c>
      <c r="T7" s="109">
        <f t="shared" ref="T7:T8" si="9">S7*$T$6</f>
        <v>118370</v>
      </c>
      <c r="U7" s="109">
        <f t="shared" ref="U7:U8" si="10">S7+T7</f>
        <v>741370</v>
      </c>
      <c r="V7" s="110">
        <f t="shared" ref="V7:V8" si="11">E7*U7</f>
        <v>2965480</v>
      </c>
      <c r="W7" s="105">
        <f t="shared" ref="W7:W11" si="12"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0</v>
      </c>
      <c r="X7" s="111"/>
      <c r="Y7" s="112"/>
      <c r="Z7" s="109">
        <f t="shared" ref="Z7:Z8" si="13">Y7*$T$6</f>
        <v>0</v>
      </c>
      <c r="AA7" s="109">
        <f t="shared" ref="AA7:AA8" si="14">Y7+Z7</f>
        <v>0</v>
      </c>
      <c r="AB7" s="108">
        <f t="shared" ref="AB7:AB11" si="15">E7*AA7</f>
        <v>0</v>
      </c>
      <c r="AC7" s="105">
        <f t="shared" ref="AC7:AC11" si="16"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D7" s="111"/>
      <c r="AE7" s="112"/>
      <c r="AF7" s="109">
        <f t="shared" ref="AF7:AF8" si="17">+AE7*$AF$6</f>
        <v>0</v>
      </c>
      <c r="AG7" s="109">
        <f t="shared" ref="AG7:AG8" si="18">+AE7+AF7</f>
        <v>0</v>
      </c>
      <c r="AH7" s="108">
        <f t="shared" ref="AH7:AH8" si="19">+E7*AG7</f>
        <v>0</v>
      </c>
      <c r="AI7" s="105"/>
    </row>
    <row r="8" ht="15.75" customHeight="1">
      <c r="A8" s="113"/>
      <c r="B8" s="114">
        <v>2.0</v>
      </c>
      <c r="C8" s="115" t="s">
        <v>27</v>
      </c>
      <c r="D8" s="116" t="s">
        <v>26</v>
      </c>
      <c r="E8" s="117">
        <v>4.0</v>
      </c>
      <c r="F8" s="118"/>
      <c r="G8" s="102">
        <v>890000.0</v>
      </c>
      <c r="H8" s="103">
        <f t="shared" si="1"/>
        <v>169100</v>
      </c>
      <c r="I8" s="103">
        <f t="shared" si="2"/>
        <v>1059100</v>
      </c>
      <c r="J8" s="104">
        <f t="shared" si="3"/>
        <v>4236400</v>
      </c>
      <c r="K8" s="105">
        <f t="shared" si="4"/>
        <v>447000</v>
      </c>
      <c r="L8" s="118"/>
      <c r="M8" s="102">
        <v>693000.0</v>
      </c>
      <c r="N8" s="103">
        <f t="shared" si="5"/>
        <v>131670</v>
      </c>
      <c r="O8" s="107">
        <f t="shared" si="6"/>
        <v>824670</v>
      </c>
      <c r="P8" s="108">
        <f t="shared" si="7"/>
        <v>3298680</v>
      </c>
      <c r="Q8" s="105">
        <f t="shared" si="8"/>
        <v>250000</v>
      </c>
      <c r="R8" s="118"/>
      <c r="S8" s="109">
        <v>443000.0</v>
      </c>
      <c r="T8" s="109">
        <f t="shared" si="9"/>
        <v>84170</v>
      </c>
      <c r="U8" s="109">
        <f t="shared" si="10"/>
        <v>527170</v>
      </c>
      <c r="V8" s="110">
        <f t="shared" si="11"/>
        <v>2108680</v>
      </c>
      <c r="W8" s="105">
        <f t="shared" si="12"/>
        <v>0</v>
      </c>
      <c r="X8" s="119"/>
      <c r="Y8" s="112"/>
      <c r="Z8" s="109">
        <f t="shared" si="13"/>
        <v>0</v>
      </c>
      <c r="AA8" s="109">
        <f t="shared" si="14"/>
        <v>0</v>
      </c>
      <c r="AB8" s="108">
        <f t="shared" si="15"/>
        <v>0</v>
      </c>
      <c r="AC8" s="105">
        <f t="shared" si="16"/>
        <v>0</v>
      </c>
      <c r="AD8" s="119"/>
      <c r="AE8" s="112"/>
      <c r="AF8" s="109">
        <f t="shared" si="17"/>
        <v>0</v>
      </c>
      <c r="AG8" s="109">
        <f t="shared" si="18"/>
        <v>0</v>
      </c>
      <c r="AH8" s="108">
        <f t="shared" si="19"/>
        <v>0</v>
      </c>
      <c r="AI8" s="105"/>
    </row>
    <row r="9" ht="15.75" customHeight="1">
      <c r="A9" s="96"/>
      <c r="B9" s="120">
        <v>3.0</v>
      </c>
      <c r="C9" s="115" t="s">
        <v>28</v>
      </c>
      <c r="D9" s="116" t="s">
        <v>29</v>
      </c>
      <c r="E9" s="117">
        <v>4.0</v>
      </c>
      <c r="F9" s="118"/>
      <c r="G9" s="102">
        <v>320000.0</v>
      </c>
      <c r="H9" s="103"/>
      <c r="I9" s="103"/>
      <c r="J9" s="104">
        <f>+G9*E9</f>
        <v>1280000</v>
      </c>
      <c r="K9" s="105">
        <f t="shared" si="4"/>
        <v>0</v>
      </c>
      <c r="L9" s="118"/>
      <c r="M9" s="102">
        <v>1690000.0</v>
      </c>
      <c r="N9" s="103"/>
      <c r="O9" s="107"/>
      <c r="P9" s="108">
        <f>E9*M9</f>
        <v>6760000</v>
      </c>
      <c r="Q9" s="105">
        <f t="shared" si="8"/>
        <v>1370000</v>
      </c>
      <c r="R9" s="118"/>
      <c r="S9" s="112">
        <v>500000.0</v>
      </c>
      <c r="T9" s="109"/>
      <c r="U9" s="109"/>
      <c r="V9" s="108">
        <f>+S9*E9</f>
        <v>2000000</v>
      </c>
      <c r="W9" s="105">
        <f t="shared" si="12"/>
        <v>180000</v>
      </c>
      <c r="X9" s="119"/>
      <c r="Y9" s="112"/>
      <c r="Z9" s="109">
        <f t="shared" ref="Z9:Z11" si="20">+Y9*$Z$6</f>
        <v>0</v>
      </c>
      <c r="AA9" s="109">
        <f t="shared" ref="AA9:AA11" si="21">+Y9+Z9</f>
        <v>0</v>
      </c>
      <c r="AB9" s="108">
        <f t="shared" si="15"/>
        <v>0</v>
      </c>
      <c r="AC9" s="105">
        <f t="shared" si="16"/>
        <v>0</v>
      </c>
      <c r="AD9" s="119"/>
      <c r="AE9" s="112"/>
      <c r="AF9" s="109"/>
      <c r="AG9" s="109"/>
      <c r="AH9" s="108"/>
      <c r="AI9" s="105"/>
    </row>
    <row r="10" ht="15.75" customHeight="1">
      <c r="A10" s="113"/>
      <c r="B10" s="114">
        <v>4.0</v>
      </c>
      <c r="C10" s="121"/>
      <c r="D10" s="116"/>
      <c r="E10" s="117"/>
      <c r="F10" s="118"/>
      <c r="G10" s="102"/>
      <c r="H10" s="103">
        <f t="shared" ref="H10:H11" si="22">G10*$H$6</f>
        <v>0</v>
      </c>
      <c r="I10" s="103">
        <f t="shared" ref="I10:I11" si="23">G10+H10</f>
        <v>0</v>
      </c>
      <c r="J10" s="104">
        <f t="shared" ref="J10:J11" si="24">E10*I10</f>
        <v>0</v>
      </c>
      <c r="K10" s="105">
        <f t="shared" si="4"/>
        <v>0</v>
      </c>
      <c r="L10" s="118"/>
      <c r="M10" s="102"/>
      <c r="N10" s="103">
        <f t="shared" ref="N10:N11" si="25">M10*$N$6</f>
        <v>0</v>
      </c>
      <c r="O10" s="107">
        <f t="shared" ref="O10:O11" si="26">M10+N10</f>
        <v>0</v>
      </c>
      <c r="P10" s="108">
        <f t="shared" ref="P10:P11" si="27">E10*O10</f>
        <v>0</v>
      </c>
      <c r="Q10" s="105">
        <f t="shared" si="8"/>
        <v>0</v>
      </c>
      <c r="R10" s="118"/>
      <c r="S10" s="112"/>
      <c r="T10" s="109">
        <f t="shared" ref="T10:T11" si="28">S10*$T$6</f>
        <v>0</v>
      </c>
      <c r="U10" s="109">
        <f t="shared" ref="U10:U11" si="29">S10+T10</f>
        <v>0</v>
      </c>
      <c r="V10" s="108">
        <f t="shared" ref="V10:V11" si="30">E10*U10</f>
        <v>0</v>
      </c>
      <c r="W10" s="105">
        <f t="shared" si="12"/>
        <v>0</v>
      </c>
      <c r="X10" s="119"/>
      <c r="Y10" s="112"/>
      <c r="Z10" s="109">
        <f t="shared" si="20"/>
        <v>0</v>
      </c>
      <c r="AA10" s="109">
        <f t="shared" si="21"/>
        <v>0</v>
      </c>
      <c r="AB10" s="108">
        <f t="shared" si="15"/>
        <v>0</v>
      </c>
      <c r="AC10" s="105">
        <f t="shared" si="16"/>
        <v>0</v>
      </c>
      <c r="AD10" s="119"/>
      <c r="AE10" s="112"/>
      <c r="AF10" s="109"/>
      <c r="AG10" s="109"/>
      <c r="AH10" s="108"/>
      <c r="AI10" s="105"/>
    </row>
    <row r="11" ht="15.75" hidden="1" customHeight="1">
      <c r="A11" s="96"/>
      <c r="B11" s="120">
        <v>5.0</v>
      </c>
      <c r="C11" s="121"/>
      <c r="D11" s="116"/>
      <c r="E11" s="117"/>
      <c r="F11" s="118"/>
      <c r="G11" s="122"/>
      <c r="H11" s="103">
        <f t="shared" si="22"/>
        <v>0</v>
      </c>
      <c r="I11" s="103">
        <f t="shared" si="23"/>
        <v>0</v>
      </c>
      <c r="J11" s="104">
        <f t="shared" si="24"/>
        <v>0</v>
      </c>
      <c r="K11" s="105">
        <f t="shared" si="4"/>
        <v>0</v>
      </c>
      <c r="L11" s="118"/>
      <c r="M11" s="102"/>
      <c r="N11" s="103">
        <f t="shared" si="25"/>
        <v>0</v>
      </c>
      <c r="O11" s="107">
        <f t="shared" si="26"/>
        <v>0</v>
      </c>
      <c r="P11" s="108">
        <f t="shared" si="27"/>
        <v>0</v>
      </c>
      <c r="Q11" s="105">
        <f t="shared" si="8"/>
        <v>0</v>
      </c>
      <c r="R11" s="118"/>
      <c r="S11" s="112"/>
      <c r="T11" s="109">
        <f t="shared" si="28"/>
        <v>0</v>
      </c>
      <c r="U11" s="109">
        <f t="shared" si="29"/>
        <v>0</v>
      </c>
      <c r="V11" s="108">
        <f t="shared" si="30"/>
        <v>0</v>
      </c>
      <c r="W11" s="105">
        <f t="shared" si="12"/>
        <v>0</v>
      </c>
      <c r="X11" s="119"/>
      <c r="Y11" s="112"/>
      <c r="Z11" s="109">
        <f t="shared" si="20"/>
        <v>0</v>
      </c>
      <c r="AA11" s="109">
        <f t="shared" si="21"/>
        <v>0</v>
      </c>
      <c r="AB11" s="108">
        <f t="shared" si="15"/>
        <v>0</v>
      </c>
      <c r="AC11" s="105">
        <f t="shared" si="16"/>
        <v>0</v>
      </c>
      <c r="AD11" s="119"/>
      <c r="AE11" s="112"/>
      <c r="AF11" s="109"/>
      <c r="AG11" s="109"/>
      <c r="AH11" s="108"/>
      <c r="AI11" s="105"/>
    </row>
    <row r="12" ht="15.75" customHeight="1">
      <c r="A12" s="123"/>
      <c r="B12" s="123"/>
      <c r="C12" s="124"/>
      <c r="D12" s="125"/>
      <c r="E12" s="126"/>
      <c r="F12" s="127"/>
      <c r="G12" s="128"/>
      <c r="H12" s="129"/>
      <c r="I12" s="129"/>
      <c r="J12" s="130"/>
      <c r="K12" s="131"/>
      <c r="L12" s="131"/>
      <c r="M12" s="132"/>
      <c r="N12" s="129"/>
      <c r="O12" s="129"/>
      <c r="P12" s="133"/>
      <c r="Q12" s="118"/>
      <c r="R12" s="131"/>
      <c r="S12" s="128"/>
      <c r="T12" s="134"/>
      <c r="U12" s="134"/>
      <c r="V12" s="130"/>
      <c r="W12" s="131"/>
      <c r="X12" s="111"/>
      <c r="Y12" s="128"/>
      <c r="Z12" s="135"/>
      <c r="AA12" s="135"/>
      <c r="AB12" s="130"/>
      <c r="AC12" s="131"/>
      <c r="AD12" s="111"/>
      <c r="AE12" s="128"/>
      <c r="AF12" s="135"/>
      <c r="AG12" s="135"/>
      <c r="AH12" s="130"/>
      <c r="AI12" s="111"/>
    </row>
    <row r="13" ht="15.75" customHeight="1">
      <c r="A13" s="136"/>
      <c r="B13" s="136"/>
      <c r="C13" s="137"/>
      <c r="D13" s="138"/>
      <c r="E13" s="139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11"/>
      <c r="Y13" s="140"/>
      <c r="Z13" s="140"/>
      <c r="AA13" s="140"/>
      <c r="AB13" s="140"/>
      <c r="AC13" s="140"/>
      <c r="AD13" s="111"/>
      <c r="AE13" s="140"/>
      <c r="AF13" s="140"/>
      <c r="AG13" s="140"/>
      <c r="AH13" s="140"/>
      <c r="AI13" s="111"/>
    </row>
    <row r="14" ht="15.75" customHeight="1">
      <c r="A14" s="141"/>
      <c r="B14" s="136"/>
      <c r="C14" s="142" t="s">
        <v>30</v>
      </c>
      <c r="D14" s="143"/>
      <c r="E14" s="144"/>
      <c r="F14" s="145"/>
      <c r="G14" s="146"/>
      <c r="H14" s="143"/>
      <c r="I14" s="143"/>
      <c r="J14" s="147">
        <f>SUM(J7:J12)</f>
        <v>9752800</v>
      </c>
      <c r="K14" s="148"/>
      <c r="L14" s="149"/>
      <c r="M14" s="146"/>
      <c r="N14" s="143"/>
      <c r="O14" s="143"/>
      <c r="P14" s="147">
        <f>SUM(P7:P12)</f>
        <v>13357360</v>
      </c>
      <c r="Q14" s="148"/>
      <c r="R14" s="149"/>
      <c r="S14" s="146"/>
      <c r="T14" s="143"/>
      <c r="U14" s="143"/>
      <c r="V14" s="147">
        <f>SUM(V7:V12)</f>
        <v>7074160</v>
      </c>
      <c r="W14" s="148"/>
      <c r="X14" s="14"/>
      <c r="Y14" s="146"/>
      <c r="Z14" s="143"/>
      <c r="AA14" s="143"/>
      <c r="AB14" s="150">
        <f>SUM(AB7:AB13)</f>
        <v>0</v>
      </c>
      <c r="AC14" s="151"/>
      <c r="AD14" s="14"/>
      <c r="AE14" s="146"/>
      <c r="AF14" s="143"/>
      <c r="AG14" s="143"/>
      <c r="AH14" s="152">
        <f>SUM(AH7:AH13)</f>
        <v>0</v>
      </c>
      <c r="AI14" s="14"/>
    </row>
    <row r="15" ht="15.75" customHeight="1">
      <c r="A15" s="153"/>
      <c r="B15" s="136"/>
      <c r="C15" s="154"/>
      <c r="D15" s="155"/>
      <c r="E15" s="156"/>
      <c r="F15" s="145"/>
      <c r="G15" s="154"/>
      <c r="H15" s="155"/>
      <c r="I15" s="155"/>
      <c r="J15" s="84"/>
      <c r="K15" s="148"/>
      <c r="L15" s="149"/>
      <c r="M15" s="154"/>
      <c r="N15" s="155"/>
      <c r="O15" s="155"/>
      <c r="P15" s="84"/>
      <c r="Q15" s="148"/>
      <c r="R15" s="149"/>
      <c r="S15" s="154"/>
      <c r="T15" s="155"/>
      <c r="U15" s="155"/>
      <c r="V15" s="84"/>
      <c r="W15" s="148"/>
      <c r="X15" s="14"/>
      <c r="Y15" s="154"/>
      <c r="Z15" s="155"/>
      <c r="AA15" s="155"/>
      <c r="AB15" s="84"/>
      <c r="AC15" s="151"/>
      <c r="AD15" s="14"/>
      <c r="AE15" s="154"/>
      <c r="AF15" s="155"/>
      <c r="AG15" s="155"/>
      <c r="AH15" s="84"/>
      <c r="AI15" s="14"/>
    </row>
    <row r="16" ht="8.25" customHeight="1">
      <c r="A16" s="137"/>
      <c r="B16" s="137"/>
      <c r="C16" s="137"/>
      <c r="D16" s="137"/>
      <c r="E16" s="157"/>
      <c r="F16" s="9"/>
      <c r="G16" s="158"/>
      <c r="H16" s="158"/>
      <c r="I16" s="158"/>
      <c r="J16" s="149"/>
      <c r="K16" s="149"/>
      <c r="L16" s="149"/>
      <c r="M16" s="158"/>
      <c r="N16" s="158"/>
      <c r="O16" s="158"/>
      <c r="P16" s="149"/>
      <c r="Q16" s="149"/>
      <c r="R16" s="149"/>
      <c r="S16" s="158"/>
      <c r="T16" s="158"/>
      <c r="U16" s="158"/>
      <c r="V16" s="149"/>
      <c r="W16" s="149"/>
      <c r="X16" s="14"/>
      <c r="Y16" s="158"/>
      <c r="Z16" s="158"/>
      <c r="AA16" s="158"/>
      <c r="AB16" s="149"/>
      <c r="AC16" s="149"/>
      <c r="AD16" s="14"/>
      <c r="AE16" s="158"/>
      <c r="AF16" s="158"/>
      <c r="AG16" s="158"/>
      <c r="AH16" s="149"/>
      <c r="AI16" s="14"/>
    </row>
    <row r="17" ht="15.75" customHeight="1">
      <c r="A17" s="159"/>
      <c r="B17" s="160" t="s">
        <v>31</v>
      </c>
      <c r="C17" s="160"/>
      <c r="D17" s="160"/>
      <c r="E17" s="161"/>
      <c r="F17" s="162"/>
      <c r="G17" s="163"/>
      <c r="H17" s="143"/>
      <c r="I17" s="143"/>
      <c r="J17" s="164">
        <f>+J14-MIN($J$14,$P$14)</f>
        <v>0</v>
      </c>
      <c r="K17" s="165"/>
      <c r="L17" s="166"/>
      <c r="M17" s="163"/>
      <c r="N17" s="143"/>
      <c r="O17" s="143"/>
      <c r="P17" s="167">
        <f>+P14-MIN($J$14,$P$14)</f>
        <v>3604560</v>
      </c>
      <c r="Q17" s="168"/>
      <c r="R17" s="166"/>
      <c r="S17" s="163"/>
      <c r="T17" s="143"/>
      <c r="U17" s="143"/>
      <c r="V17" s="169">
        <f>+V14-MIN($J$14,$P$14,$V$14)</f>
        <v>0</v>
      </c>
      <c r="W17" s="170"/>
      <c r="X17" s="14"/>
      <c r="Y17" s="163"/>
      <c r="Z17" s="143"/>
      <c r="AA17" s="143"/>
      <c r="AB17" s="171">
        <f>+AB14-MIN($J$14,$P$14,$V$14)</f>
        <v>-7074160</v>
      </c>
      <c r="AC17" s="172"/>
      <c r="AD17" s="14"/>
      <c r="AE17" s="163"/>
      <c r="AF17" s="143"/>
      <c r="AG17" s="143"/>
      <c r="AH17" s="173">
        <f>+AH14-MIN($J$14,$P$14,$V$14)</f>
        <v>-7074160</v>
      </c>
      <c r="AI17" s="14"/>
    </row>
    <row r="18" ht="15.75" customHeight="1">
      <c r="A18" s="174"/>
      <c r="B18" s="175" t="s">
        <v>32</v>
      </c>
      <c r="C18" s="175"/>
      <c r="D18" s="175"/>
      <c r="E18" s="176"/>
      <c r="F18" s="162"/>
      <c r="G18" s="154"/>
      <c r="H18" s="155"/>
      <c r="I18" s="155"/>
      <c r="J18" s="177">
        <f>+J17/MIN($J$14,$P$14)</f>
        <v>0</v>
      </c>
      <c r="K18" s="178"/>
      <c r="L18" s="179"/>
      <c r="M18" s="154"/>
      <c r="N18" s="155"/>
      <c r="O18" s="155"/>
      <c r="P18" s="180">
        <f>+P17/MIN($J$14,$P$14)</f>
        <v>0.3695923222</v>
      </c>
      <c r="Q18" s="181"/>
      <c r="R18" s="179"/>
      <c r="S18" s="154"/>
      <c r="T18" s="155"/>
      <c r="U18" s="155"/>
      <c r="V18" s="182">
        <f>+V17/MIN($J$14,$V$14)</f>
        <v>0</v>
      </c>
      <c r="W18" s="183"/>
      <c r="X18" s="14"/>
      <c r="Y18" s="154"/>
      <c r="Z18" s="155"/>
      <c r="AA18" s="155"/>
      <c r="AB18" s="184">
        <f>+AB17/MIN($J$14,$P$14,$V$14)</f>
        <v>-1</v>
      </c>
      <c r="AC18" s="185"/>
      <c r="AD18" s="14"/>
      <c r="AE18" s="154"/>
      <c r="AF18" s="155"/>
      <c r="AG18" s="155"/>
      <c r="AH18" s="186">
        <f>+AH17/MIN($J$14,$P$14,$V$14)</f>
        <v>-1</v>
      </c>
      <c r="AI18" s="14"/>
    </row>
    <row r="19" ht="7.5" customHeight="1">
      <c r="A19" s="187"/>
      <c r="B19" s="187"/>
      <c r="C19" s="187"/>
      <c r="D19" s="187"/>
      <c r="E19" s="157"/>
      <c r="F19" s="188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4"/>
      <c r="Y19" s="189"/>
      <c r="Z19" s="189"/>
      <c r="AA19" s="189"/>
      <c r="AB19" s="189"/>
      <c r="AC19" s="189"/>
      <c r="AD19" s="14"/>
      <c r="AE19" s="189"/>
      <c r="AF19" s="189"/>
      <c r="AG19" s="189"/>
      <c r="AH19" s="189"/>
      <c r="AI19" s="14"/>
    </row>
    <row r="20" ht="9.0" customHeight="1">
      <c r="A20" s="190"/>
      <c r="B20" s="191"/>
      <c r="C20" s="191"/>
      <c r="D20" s="191"/>
      <c r="E20" s="191"/>
      <c r="F20" s="192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11"/>
      <c r="Y20" s="193"/>
      <c r="Z20" s="193"/>
      <c r="AA20" s="193"/>
      <c r="AB20" s="193"/>
      <c r="AC20" s="193"/>
      <c r="AD20" s="111"/>
      <c r="AE20" s="193"/>
      <c r="AF20" s="193"/>
      <c r="AG20" s="193"/>
      <c r="AH20" s="193"/>
      <c r="AI20" s="111"/>
    </row>
    <row r="21" ht="15.0" customHeight="1">
      <c r="A21" s="194"/>
      <c r="B21" s="191"/>
      <c r="C21" s="191"/>
      <c r="D21" s="191"/>
      <c r="E21" s="191"/>
      <c r="F21" s="195"/>
      <c r="G21" s="196" t="s">
        <v>33</v>
      </c>
      <c r="H21" s="197" t="s">
        <v>34</v>
      </c>
      <c r="I21" s="143"/>
      <c r="J21" s="144"/>
      <c r="K21" s="198"/>
      <c r="L21" s="198"/>
      <c r="M21" s="196" t="s">
        <v>33</v>
      </c>
      <c r="N21" s="197" t="s">
        <v>34</v>
      </c>
      <c r="O21" s="143"/>
      <c r="P21" s="144"/>
      <c r="Q21" s="198"/>
      <c r="R21" s="198"/>
      <c r="S21" s="196" t="s">
        <v>33</v>
      </c>
      <c r="T21" s="197" t="s">
        <v>34</v>
      </c>
      <c r="U21" s="143"/>
      <c r="V21" s="144"/>
      <c r="W21" s="198"/>
      <c r="X21" s="111"/>
      <c r="Y21" s="196" t="s">
        <v>33</v>
      </c>
      <c r="Z21" s="197" t="s">
        <v>35</v>
      </c>
      <c r="AA21" s="143"/>
      <c r="AB21" s="144"/>
      <c r="AC21" s="198"/>
      <c r="AD21" s="111"/>
      <c r="AE21" s="196" t="s">
        <v>33</v>
      </c>
      <c r="AF21" s="197" t="s">
        <v>35</v>
      </c>
      <c r="AG21" s="143"/>
      <c r="AH21" s="144"/>
      <c r="AI21" s="111"/>
    </row>
    <row r="22" ht="15.0" customHeight="1">
      <c r="A22" s="199"/>
      <c r="B22" s="191"/>
      <c r="C22" s="191"/>
      <c r="D22" s="191"/>
      <c r="E22" s="191"/>
      <c r="F22" s="195"/>
      <c r="G22" s="200"/>
      <c r="H22" s="201"/>
      <c r="I22" s="201"/>
      <c r="J22" s="202"/>
      <c r="K22" s="201"/>
      <c r="L22" s="201"/>
      <c r="M22" s="200"/>
      <c r="N22" s="201"/>
      <c r="O22" s="201"/>
      <c r="P22" s="202"/>
      <c r="Q22" s="201"/>
      <c r="R22" s="201"/>
      <c r="S22" s="200"/>
      <c r="T22" s="201"/>
      <c r="U22" s="201"/>
      <c r="V22" s="202"/>
      <c r="W22" s="201"/>
      <c r="X22" s="111"/>
      <c r="Y22" s="200"/>
      <c r="Z22" s="201"/>
      <c r="AA22" s="201"/>
      <c r="AB22" s="202"/>
      <c r="AC22" s="201"/>
      <c r="AD22" s="111"/>
      <c r="AE22" s="200"/>
      <c r="AF22" s="201"/>
      <c r="AG22" s="201"/>
      <c r="AH22" s="202"/>
      <c r="AI22" s="111"/>
    </row>
    <row r="23" ht="15.0" customHeight="1">
      <c r="A23" s="199"/>
      <c r="B23" s="191"/>
      <c r="C23" s="191"/>
      <c r="D23" s="191"/>
      <c r="E23" s="191"/>
      <c r="F23" s="195"/>
      <c r="G23" s="200" t="s">
        <v>36</v>
      </c>
      <c r="H23" s="203"/>
      <c r="I23" s="203"/>
      <c r="J23" s="204"/>
      <c r="K23" s="203"/>
      <c r="L23" s="205"/>
      <c r="M23" s="206" t="s">
        <v>36</v>
      </c>
      <c r="N23" s="207"/>
      <c r="O23" s="207"/>
      <c r="P23" s="208"/>
      <c r="Q23" s="207"/>
      <c r="R23" s="205"/>
      <c r="S23" s="206" t="s">
        <v>36</v>
      </c>
      <c r="T23" s="205"/>
      <c r="V23" s="19"/>
      <c r="W23" s="205"/>
      <c r="X23" s="111"/>
      <c r="Y23" s="206" t="s">
        <v>36</v>
      </c>
      <c r="Z23" s="205"/>
      <c r="AB23" s="19"/>
      <c r="AC23" s="205"/>
      <c r="AD23" s="111"/>
      <c r="AE23" s="206" t="s">
        <v>36</v>
      </c>
      <c r="AF23" s="205"/>
      <c r="AH23" s="19"/>
      <c r="AI23" s="111"/>
    </row>
    <row r="24" ht="15.0" customHeight="1">
      <c r="A24" s="199"/>
      <c r="B24" s="191"/>
      <c r="C24" s="191"/>
      <c r="D24" s="191"/>
      <c r="E24" s="191"/>
      <c r="F24" s="195"/>
      <c r="G24" s="200"/>
      <c r="H24" s="201"/>
      <c r="I24" s="201"/>
      <c r="J24" s="202"/>
      <c r="K24" s="201"/>
      <c r="L24" s="201"/>
      <c r="M24" s="200"/>
      <c r="N24" s="201"/>
      <c r="O24" s="201"/>
      <c r="P24" s="202"/>
      <c r="Q24" s="201"/>
      <c r="R24" s="201"/>
      <c r="S24" s="200"/>
      <c r="T24" s="201"/>
      <c r="U24" s="201"/>
      <c r="V24" s="202"/>
      <c r="W24" s="201"/>
      <c r="X24" s="111"/>
      <c r="Y24" s="200"/>
      <c r="Z24" s="201"/>
      <c r="AA24" s="201"/>
      <c r="AB24" s="202"/>
      <c r="AC24" s="201"/>
      <c r="AD24" s="111"/>
      <c r="AE24" s="200"/>
      <c r="AF24" s="201"/>
      <c r="AG24" s="201"/>
      <c r="AH24" s="202"/>
      <c r="AI24" s="111"/>
    </row>
    <row r="25" ht="15.0" customHeight="1">
      <c r="A25" s="199"/>
      <c r="B25" s="191"/>
      <c r="C25" s="209" t="s">
        <v>37</v>
      </c>
      <c r="D25" s="191"/>
      <c r="E25" s="191"/>
      <c r="F25" s="195"/>
      <c r="G25" s="206" t="s">
        <v>38</v>
      </c>
      <c r="H25" s="198"/>
      <c r="J25" s="19"/>
      <c r="K25" s="198"/>
      <c r="L25" s="198"/>
      <c r="M25" s="206" t="s">
        <v>38</v>
      </c>
      <c r="N25" s="198"/>
      <c r="P25" s="19"/>
      <c r="Q25" s="198"/>
      <c r="R25" s="198"/>
      <c r="S25" s="206" t="s">
        <v>38</v>
      </c>
      <c r="T25" s="198"/>
      <c r="V25" s="19"/>
      <c r="W25" s="198"/>
      <c r="X25" s="111"/>
      <c r="Y25" s="206" t="s">
        <v>38</v>
      </c>
      <c r="Z25" s="198"/>
      <c r="AB25" s="19"/>
      <c r="AC25" s="198"/>
      <c r="AD25" s="111"/>
      <c r="AE25" s="206" t="s">
        <v>38</v>
      </c>
      <c r="AF25" s="198"/>
      <c r="AH25" s="19"/>
      <c r="AI25" s="111"/>
    </row>
    <row r="26" ht="15.0" customHeight="1">
      <c r="A26" s="199"/>
      <c r="B26" s="191"/>
      <c r="C26" s="191" t="s">
        <v>39</v>
      </c>
      <c r="D26" s="191"/>
      <c r="E26" s="191"/>
      <c r="F26" s="195"/>
      <c r="G26" s="200"/>
      <c r="H26" s="203"/>
      <c r="I26" s="203"/>
      <c r="J26" s="204"/>
      <c r="K26" s="203"/>
      <c r="L26" s="203"/>
      <c r="M26" s="200"/>
      <c r="N26" s="203"/>
      <c r="O26" s="203"/>
      <c r="P26" s="204"/>
      <c r="Q26" s="203"/>
      <c r="R26" s="203"/>
      <c r="S26" s="200"/>
      <c r="T26" s="203"/>
      <c r="U26" s="203"/>
      <c r="V26" s="204"/>
      <c r="W26" s="203"/>
      <c r="X26" s="111"/>
      <c r="Y26" s="200"/>
      <c r="Z26" s="203"/>
      <c r="AA26" s="203"/>
      <c r="AB26" s="204"/>
      <c r="AC26" s="203"/>
      <c r="AD26" s="111"/>
      <c r="AE26" s="200"/>
      <c r="AF26" s="203"/>
      <c r="AG26" s="203"/>
      <c r="AH26" s="204"/>
      <c r="AI26" s="111"/>
    </row>
    <row r="27" ht="15.0" customHeight="1">
      <c r="A27" s="199"/>
      <c r="B27" s="191"/>
      <c r="C27" s="191" t="s">
        <v>40</v>
      </c>
      <c r="D27" s="191"/>
      <c r="E27" s="191"/>
      <c r="F27" s="195"/>
      <c r="G27" s="206" t="s">
        <v>41</v>
      </c>
      <c r="I27" s="198"/>
      <c r="J27" s="19"/>
      <c r="K27" s="198"/>
      <c r="L27" s="198"/>
      <c r="M27" s="200" t="s">
        <v>41</v>
      </c>
      <c r="N27" s="203"/>
      <c r="O27" s="203"/>
      <c r="P27" s="204"/>
      <c r="Q27" s="203"/>
      <c r="R27" s="198"/>
      <c r="S27" s="206" t="s">
        <v>41</v>
      </c>
      <c r="U27" s="198"/>
      <c r="V27" s="19"/>
      <c r="W27" s="198"/>
      <c r="X27" s="111"/>
      <c r="Y27" s="206" t="s">
        <v>41</v>
      </c>
      <c r="AA27" s="198"/>
      <c r="AB27" s="19"/>
      <c r="AC27" s="198"/>
      <c r="AD27" s="111"/>
      <c r="AE27" s="206" t="s">
        <v>41</v>
      </c>
      <c r="AG27" s="198"/>
      <c r="AH27" s="19"/>
      <c r="AI27" s="111"/>
    </row>
    <row r="28" ht="15.0" customHeight="1">
      <c r="A28" s="199"/>
      <c r="B28" s="191"/>
      <c r="C28" s="191" t="s">
        <v>42</v>
      </c>
      <c r="D28" s="191"/>
      <c r="E28" s="191"/>
      <c r="F28" s="195"/>
      <c r="G28" s="206"/>
      <c r="H28" s="210"/>
      <c r="I28" s="198"/>
      <c r="J28" s="211"/>
      <c r="K28" s="198"/>
      <c r="L28" s="198"/>
      <c r="M28" s="206"/>
      <c r="N28" s="210"/>
      <c r="O28" s="198"/>
      <c r="P28" s="211"/>
      <c r="Q28" s="198"/>
      <c r="R28" s="198"/>
      <c r="S28" s="206"/>
      <c r="T28" s="210"/>
      <c r="U28" s="198"/>
      <c r="V28" s="211"/>
      <c r="W28" s="198"/>
      <c r="X28" s="111"/>
      <c r="Y28" s="206"/>
      <c r="Z28" s="210"/>
      <c r="AA28" s="198"/>
      <c r="AB28" s="211"/>
      <c r="AC28" s="198"/>
      <c r="AD28" s="111"/>
      <c r="AE28" s="206"/>
      <c r="AF28" s="210"/>
      <c r="AG28" s="198"/>
      <c r="AH28" s="211"/>
      <c r="AI28" s="111"/>
    </row>
    <row r="29" ht="15.0" customHeight="1">
      <c r="A29" s="199"/>
      <c r="B29" s="191"/>
      <c r="C29" s="191" t="s">
        <v>43</v>
      </c>
      <c r="D29" s="191"/>
      <c r="E29" s="191"/>
      <c r="F29" s="195"/>
      <c r="G29" s="206" t="s">
        <v>44</v>
      </c>
      <c r="H29" s="203"/>
      <c r="I29" s="203"/>
      <c r="J29" s="204"/>
      <c r="K29" s="203"/>
      <c r="L29" s="212"/>
      <c r="M29" s="200" t="s">
        <v>44</v>
      </c>
      <c r="N29" s="203"/>
      <c r="O29" s="203"/>
      <c r="P29" s="204"/>
      <c r="Q29" s="203"/>
      <c r="R29" s="212"/>
      <c r="S29" s="206" t="s">
        <v>44</v>
      </c>
      <c r="T29" s="212"/>
      <c r="V29" s="19"/>
      <c r="W29" s="212"/>
      <c r="X29" s="111"/>
      <c r="Y29" s="206" t="s">
        <v>44</v>
      </c>
      <c r="Z29" s="212"/>
      <c r="AB29" s="19"/>
      <c r="AC29" s="212"/>
      <c r="AD29" s="111"/>
      <c r="AE29" s="206" t="s">
        <v>44</v>
      </c>
      <c r="AF29" s="212"/>
      <c r="AH29" s="19"/>
      <c r="AI29" s="111"/>
    </row>
    <row r="30" ht="15.0" customHeight="1">
      <c r="A30" s="199"/>
      <c r="B30" s="191"/>
      <c r="C30" s="191" t="s">
        <v>45</v>
      </c>
      <c r="D30" s="191"/>
      <c r="E30" s="191"/>
      <c r="F30" s="195"/>
      <c r="G30" s="213" t="s">
        <v>46</v>
      </c>
      <c r="J30" s="19"/>
      <c r="K30" s="212"/>
      <c r="L30" s="212"/>
      <c r="M30" s="214" t="s">
        <v>47</v>
      </c>
      <c r="P30" s="19"/>
      <c r="Q30" s="215"/>
      <c r="R30" s="212"/>
      <c r="S30" s="216" t="s">
        <v>48</v>
      </c>
      <c r="V30" s="19"/>
      <c r="W30" s="215"/>
      <c r="X30" s="111"/>
      <c r="Y30" s="217" t="s">
        <v>49</v>
      </c>
      <c r="AB30" s="19"/>
      <c r="AC30" s="215"/>
      <c r="AD30" s="111"/>
      <c r="AE30" s="218" t="s">
        <v>50</v>
      </c>
      <c r="AH30" s="19"/>
      <c r="AI30" s="111"/>
    </row>
    <row r="31" ht="15.0" customHeight="1">
      <c r="A31" s="199"/>
      <c r="B31" s="191"/>
      <c r="C31" s="191" t="s">
        <v>51</v>
      </c>
      <c r="D31" s="191"/>
      <c r="E31" s="191"/>
      <c r="F31" s="195"/>
      <c r="G31" s="219"/>
      <c r="J31" s="19"/>
      <c r="K31" s="212"/>
      <c r="L31" s="212"/>
      <c r="M31" s="219"/>
      <c r="P31" s="19"/>
      <c r="Q31" s="215"/>
      <c r="R31" s="212"/>
      <c r="S31" s="219"/>
      <c r="V31" s="19"/>
      <c r="W31" s="212"/>
      <c r="X31" s="111"/>
      <c r="Y31" s="220"/>
      <c r="AB31" s="19"/>
      <c r="AC31" s="212"/>
      <c r="AD31" s="111"/>
      <c r="AE31" s="220"/>
      <c r="AH31" s="19"/>
      <c r="AI31" s="111"/>
    </row>
    <row r="32" ht="71.25" customHeight="1">
      <c r="A32" s="199"/>
      <c r="B32" s="191"/>
      <c r="C32" s="191"/>
      <c r="D32" s="191"/>
      <c r="E32" s="191"/>
      <c r="F32" s="195"/>
      <c r="G32" s="219"/>
      <c r="J32" s="19"/>
      <c r="K32" s="212"/>
      <c r="L32" s="212"/>
      <c r="M32" s="219"/>
      <c r="P32" s="19"/>
      <c r="Q32" s="215"/>
      <c r="R32" s="212"/>
      <c r="S32" s="219"/>
      <c r="V32" s="19"/>
      <c r="W32" s="212"/>
      <c r="X32" s="111"/>
      <c r="Y32" s="220"/>
      <c r="AB32" s="19"/>
      <c r="AC32" s="212"/>
      <c r="AD32" s="111"/>
      <c r="AE32" s="220"/>
      <c r="AH32" s="19"/>
      <c r="AI32" s="111"/>
    </row>
    <row r="33" ht="15.0" customHeight="1">
      <c r="A33" s="199"/>
      <c r="B33" s="191"/>
      <c r="C33" s="191"/>
      <c r="D33" s="191"/>
      <c r="E33" s="191"/>
      <c r="F33" s="195"/>
      <c r="G33" s="206" t="s">
        <v>52</v>
      </c>
      <c r="H33" s="201"/>
      <c r="I33" s="201"/>
      <c r="J33" s="202"/>
      <c r="K33" s="201"/>
      <c r="L33" s="198"/>
      <c r="M33" s="200" t="s">
        <v>52</v>
      </c>
      <c r="N33" s="203"/>
      <c r="O33" s="203"/>
      <c r="P33" s="204"/>
      <c r="Q33" s="203"/>
      <c r="R33" s="198"/>
      <c r="S33" s="206" t="s">
        <v>52</v>
      </c>
      <c r="T33" s="201"/>
      <c r="U33" s="201"/>
      <c r="V33" s="202"/>
      <c r="W33" s="201"/>
      <c r="X33" s="111"/>
      <c r="Y33" s="206" t="s">
        <v>52</v>
      </c>
      <c r="Z33" s="198" t="s">
        <v>53</v>
      </c>
      <c r="AB33" s="19"/>
      <c r="AC33" s="198"/>
      <c r="AD33" s="111"/>
      <c r="AE33" s="206" t="s">
        <v>52</v>
      </c>
      <c r="AF33" s="198" t="s">
        <v>53</v>
      </c>
      <c r="AH33" s="19"/>
      <c r="AI33" s="111"/>
    </row>
    <row r="34" ht="15.0" customHeight="1">
      <c r="A34" s="221"/>
      <c r="B34" s="191"/>
      <c r="C34" s="191"/>
      <c r="D34" s="191"/>
      <c r="E34" s="191"/>
      <c r="F34" s="195"/>
      <c r="G34" s="222"/>
      <c r="H34" s="155"/>
      <c r="I34" s="155"/>
      <c r="J34" s="156"/>
      <c r="K34" s="223"/>
      <c r="L34" s="223"/>
      <c r="M34" s="222"/>
      <c r="N34" s="155"/>
      <c r="O34" s="155"/>
      <c r="P34" s="156"/>
      <c r="Q34" s="223"/>
      <c r="R34" s="223"/>
      <c r="S34" s="222"/>
      <c r="T34" s="155"/>
      <c r="U34" s="155"/>
      <c r="V34" s="156"/>
      <c r="W34" s="223"/>
      <c r="X34" s="111"/>
      <c r="Y34" s="222"/>
      <c r="Z34" s="155"/>
      <c r="AA34" s="155"/>
      <c r="AB34" s="156"/>
      <c r="AC34" s="223"/>
      <c r="AD34" s="111"/>
      <c r="AE34" s="222"/>
      <c r="AF34" s="155"/>
      <c r="AG34" s="155"/>
      <c r="AH34" s="156"/>
      <c r="AI34" s="111"/>
    </row>
    <row r="35" ht="15.75" customHeight="1">
      <c r="A35" s="194"/>
      <c r="B35" s="191"/>
      <c r="C35" s="111"/>
      <c r="D35" s="111"/>
      <c r="E35" s="111"/>
      <c r="F35" s="195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</row>
    <row r="36" ht="15.75" customHeight="1">
      <c r="A36" s="199"/>
      <c r="B36" s="191"/>
      <c r="C36" s="111"/>
      <c r="D36" s="111"/>
      <c r="E36" s="111"/>
      <c r="F36" s="195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</row>
    <row r="37" ht="15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</row>
    <row r="38" ht="15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</row>
    <row r="39" ht="15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</row>
    <row r="40" ht="15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</row>
  </sheetData>
  <mergeCells count="102">
    <mergeCell ref="M1:P1"/>
    <mergeCell ref="M2:P2"/>
    <mergeCell ref="M4:N4"/>
    <mergeCell ref="O4:P4"/>
    <mergeCell ref="Y1:AB1"/>
    <mergeCell ref="Y2:AB2"/>
    <mergeCell ref="Y4:Z4"/>
    <mergeCell ref="AA4:AB4"/>
    <mergeCell ref="AA5:AA6"/>
    <mergeCell ref="AB5:AB6"/>
    <mergeCell ref="S2:V2"/>
    <mergeCell ref="S3:V3"/>
    <mergeCell ref="S4:T4"/>
    <mergeCell ref="U4:V4"/>
    <mergeCell ref="AE2:AH2"/>
    <mergeCell ref="AE3:AH3"/>
    <mergeCell ref="AE4:AF4"/>
    <mergeCell ref="AG4:AH4"/>
    <mergeCell ref="AE5:AE6"/>
    <mergeCell ref="AG5:AG6"/>
    <mergeCell ref="AH5:AH6"/>
    <mergeCell ref="B1:D3"/>
    <mergeCell ref="E1:E3"/>
    <mergeCell ref="G1:J1"/>
    <mergeCell ref="S1:V1"/>
    <mergeCell ref="AE1:AH1"/>
    <mergeCell ref="M3:P3"/>
    <mergeCell ref="Y3:AB3"/>
    <mergeCell ref="G4:H4"/>
    <mergeCell ref="G5:G6"/>
    <mergeCell ref="G2:J2"/>
    <mergeCell ref="G3:J3"/>
    <mergeCell ref="B4:B6"/>
    <mergeCell ref="C4:C6"/>
    <mergeCell ref="D4:E4"/>
    <mergeCell ref="I4:J4"/>
    <mergeCell ref="D5:E5"/>
    <mergeCell ref="AE27:AF27"/>
    <mergeCell ref="AG27:AH27"/>
    <mergeCell ref="AF33:AH33"/>
    <mergeCell ref="AE34:AH34"/>
    <mergeCell ref="T25:V25"/>
    <mergeCell ref="Z25:AB25"/>
    <mergeCell ref="AF25:AH25"/>
    <mergeCell ref="S27:T27"/>
    <mergeCell ref="U27:V27"/>
    <mergeCell ref="Y27:Z27"/>
    <mergeCell ref="AA27:AB27"/>
    <mergeCell ref="Y30:AB30"/>
    <mergeCell ref="Y31:AB31"/>
    <mergeCell ref="Z29:AB29"/>
    <mergeCell ref="Y32:AB32"/>
    <mergeCell ref="Z33:AB33"/>
    <mergeCell ref="Y34:AB34"/>
    <mergeCell ref="G30:J32"/>
    <mergeCell ref="G34:J34"/>
    <mergeCell ref="M34:P34"/>
    <mergeCell ref="S34:V34"/>
    <mergeCell ref="T29:V29"/>
    <mergeCell ref="AF29:AH29"/>
    <mergeCell ref="M30:P32"/>
    <mergeCell ref="S30:V32"/>
    <mergeCell ref="AE30:AH30"/>
    <mergeCell ref="AE31:AH31"/>
    <mergeCell ref="AE32:AH32"/>
    <mergeCell ref="V5:V6"/>
    <mergeCell ref="Y5:Y6"/>
    <mergeCell ref="I5:I6"/>
    <mergeCell ref="J5:J6"/>
    <mergeCell ref="M5:M6"/>
    <mergeCell ref="O5:O6"/>
    <mergeCell ref="P5:P6"/>
    <mergeCell ref="S5:S6"/>
    <mergeCell ref="U5:U6"/>
    <mergeCell ref="Y14:AA15"/>
    <mergeCell ref="AB14:AB15"/>
    <mergeCell ref="AE14:AG15"/>
    <mergeCell ref="AH14:AH15"/>
    <mergeCell ref="M14:O15"/>
    <mergeCell ref="M17:O18"/>
    <mergeCell ref="H21:J21"/>
    <mergeCell ref="N21:P21"/>
    <mergeCell ref="H25:J25"/>
    <mergeCell ref="N25:P25"/>
    <mergeCell ref="G27:H27"/>
    <mergeCell ref="I27:J27"/>
    <mergeCell ref="C14:E15"/>
    <mergeCell ref="G14:I15"/>
    <mergeCell ref="J14:J15"/>
    <mergeCell ref="P14:P15"/>
    <mergeCell ref="S14:U15"/>
    <mergeCell ref="V14:V15"/>
    <mergeCell ref="G17:I18"/>
    <mergeCell ref="Z23:AB23"/>
    <mergeCell ref="AF23:AH23"/>
    <mergeCell ref="S17:U18"/>
    <mergeCell ref="Y17:AA18"/>
    <mergeCell ref="AE17:AG18"/>
    <mergeCell ref="T21:V21"/>
    <mergeCell ref="Z21:AB21"/>
    <mergeCell ref="AF21:AH21"/>
    <mergeCell ref="T23:V2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38"/>
    <col customWidth="1" min="3" max="3" width="151.38"/>
    <col customWidth="1" min="4" max="4" width="16.63"/>
    <col customWidth="1" min="5" max="5" width="15.63"/>
    <col customWidth="1" min="6" max="6" width="7.88"/>
    <col customWidth="1" min="7" max="7" width="10.75"/>
    <col customWidth="1" hidden="1" min="8" max="8" width="1.63"/>
    <col customWidth="1" hidden="1" min="9" max="9" width="22.38"/>
    <col customWidth="1" hidden="1" min="10" max="10" width="18.63"/>
    <col customWidth="1" hidden="1" min="11" max="11" width="18.38"/>
    <col customWidth="1" hidden="1" min="12" max="12" width="20.13"/>
    <col customWidth="1" hidden="1" min="13" max="13" width="1.75"/>
    <col customWidth="1" hidden="1" min="14" max="14" width="22.75"/>
    <col customWidth="1" hidden="1" min="15" max="15" width="17.38"/>
    <col customWidth="1" hidden="1" min="16" max="16" width="21.38"/>
    <col customWidth="1" hidden="1" min="17" max="17" width="26.0"/>
    <col customWidth="1" hidden="1" min="18" max="18" width="2.75"/>
    <col customWidth="1" hidden="1" min="19" max="19" width="22.38"/>
    <col customWidth="1" hidden="1" min="20" max="20" width="14.38"/>
    <col customWidth="1" hidden="1" min="21" max="21" width="25.13"/>
    <col customWidth="1" hidden="1" min="22" max="22" width="20.25"/>
    <col customWidth="1" min="23" max="23" width="3.38"/>
    <col customWidth="1" min="24" max="24" width="22.88"/>
    <col customWidth="1" min="25" max="26" width="17.75"/>
    <col customWidth="1" min="27" max="27" width="27.13"/>
    <col customWidth="1" min="28" max="28" width="17.13"/>
    <col customWidth="1" min="29" max="29" width="15.88"/>
  </cols>
  <sheetData>
    <row r="1" ht="33.0" customHeight="1">
      <c r="A1" s="1"/>
      <c r="B1" s="224" t="s">
        <v>54</v>
      </c>
      <c r="C1" s="225"/>
      <c r="D1" s="225"/>
      <c r="E1" s="225"/>
      <c r="F1" s="226"/>
      <c r="G1" s="227" t="s">
        <v>1</v>
      </c>
      <c r="H1" s="4"/>
      <c r="I1" s="228" t="s">
        <v>55</v>
      </c>
      <c r="J1" s="229"/>
      <c r="K1" s="229"/>
      <c r="L1" s="38"/>
      <c r="M1" s="9"/>
      <c r="N1" s="10" t="s">
        <v>56</v>
      </c>
      <c r="O1" s="6"/>
      <c r="P1" s="6"/>
      <c r="Q1" s="7"/>
      <c r="R1" s="9"/>
      <c r="S1" s="12" t="s">
        <v>57</v>
      </c>
      <c r="T1" s="6"/>
      <c r="U1" s="6"/>
      <c r="V1" s="7"/>
      <c r="W1" s="14"/>
      <c r="X1" s="230" t="s">
        <v>58</v>
      </c>
      <c r="Y1" s="6"/>
      <c r="Z1" s="6"/>
      <c r="AA1" s="7"/>
      <c r="AB1" s="14"/>
      <c r="AC1" s="14"/>
    </row>
    <row r="2" ht="33.0" customHeight="1">
      <c r="A2" s="18"/>
      <c r="B2" s="231"/>
      <c r="F2" s="232"/>
      <c r="G2" s="233"/>
      <c r="H2" s="4"/>
      <c r="I2" s="20" t="s">
        <v>59</v>
      </c>
      <c r="J2" s="21"/>
      <c r="K2" s="21"/>
      <c r="L2" s="22"/>
      <c r="M2" s="9"/>
      <c r="N2" s="234" t="s">
        <v>6</v>
      </c>
      <c r="O2" s="235"/>
      <c r="P2" s="235"/>
      <c r="Q2" s="236"/>
      <c r="R2" s="9"/>
      <c r="S2" s="24" t="s">
        <v>60</v>
      </c>
      <c r="T2" s="21"/>
      <c r="U2" s="21"/>
      <c r="V2" s="22"/>
      <c r="W2" s="14"/>
      <c r="X2" s="237" t="s">
        <v>60</v>
      </c>
      <c r="Y2" s="21"/>
      <c r="Z2" s="21"/>
      <c r="AA2" s="22"/>
      <c r="AB2" s="14"/>
      <c r="AC2" s="14"/>
    </row>
    <row r="3" ht="33.0" customHeight="1">
      <c r="A3" s="18"/>
      <c r="B3" s="238"/>
      <c r="C3" s="239"/>
      <c r="D3" s="239"/>
      <c r="E3" s="239"/>
      <c r="F3" s="240"/>
      <c r="G3" s="241"/>
      <c r="H3" s="4"/>
      <c r="I3" s="228" t="s">
        <v>61</v>
      </c>
      <c r="J3" s="229"/>
      <c r="K3" s="229"/>
      <c r="L3" s="38"/>
      <c r="M3" s="9"/>
      <c r="N3" s="30" t="s">
        <v>62</v>
      </c>
      <c r="O3" s="28"/>
      <c r="P3" s="28"/>
      <c r="Q3" s="29"/>
      <c r="R3" s="9"/>
      <c r="S3" s="31" t="s">
        <v>63</v>
      </c>
      <c r="T3" s="28"/>
      <c r="U3" s="28"/>
      <c r="V3" s="29"/>
      <c r="W3" s="14"/>
      <c r="X3" s="242" t="s">
        <v>64</v>
      </c>
      <c r="Y3" s="28"/>
      <c r="Z3" s="28"/>
      <c r="AA3" s="29"/>
      <c r="AB3" s="14"/>
      <c r="AC3" s="14"/>
    </row>
    <row r="4" ht="22.5" customHeight="1">
      <c r="A4" s="34"/>
      <c r="B4" s="243" t="s">
        <v>11</v>
      </c>
      <c r="C4" s="244" t="s">
        <v>12</v>
      </c>
      <c r="D4" s="245" t="s">
        <v>13</v>
      </c>
      <c r="E4" s="235"/>
      <c r="F4" s="235"/>
      <c r="G4" s="236"/>
      <c r="H4" s="4"/>
      <c r="I4" s="39" t="s">
        <v>65</v>
      </c>
      <c r="J4" s="40"/>
      <c r="K4" s="41" t="s">
        <v>66</v>
      </c>
      <c r="L4" s="38"/>
      <c r="M4" s="43"/>
      <c r="N4" s="44" t="s">
        <v>65</v>
      </c>
      <c r="O4" s="45"/>
      <c r="P4" s="46" t="s">
        <v>67</v>
      </c>
      <c r="Q4" s="38"/>
      <c r="R4" s="43"/>
      <c r="S4" s="48" t="s">
        <v>65</v>
      </c>
      <c r="T4" s="45"/>
      <c r="U4" s="49" t="s">
        <v>68</v>
      </c>
      <c r="V4" s="38"/>
      <c r="W4" s="14"/>
      <c r="X4" s="246" t="s">
        <v>65</v>
      </c>
      <c r="Y4" s="45"/>
      <c r="Z4" s="247" t="s">
        <v>69</v>
      </c>
      <c r="AA4" s="38"/>
      <c r="AB4" s="14"/>
      <c r="AC4" s="14"/>
    </row>
    <row r="5" ht="15.75" customHeight="1">
      <c r="A5" s="56"/>
      <c r="B5" s="233"/>
      <c r="C5" s="233"/>
      <c r="D5" s="248">
        <f>+TODAY()</f>
        <v>46136</v>
      </c>
      <c r="E5" s="235"/>
      <c r="F5" s="235"/>
      <c r="G5" s="236"/>
      <c r="H5" s="4"/>
      <c r="I5" s="59" t="s">
        <v>17</v>
      </c>
      <c r="J5" s="60" t="s">
        <v>18</v>
      </c>
      <c r="K5" s="61" t="s">
        <v>19</v>
      </c>
      <c r="L5" s="62" t="s">
        <v>20</v>
      </c>
      <c r="M5" s="4"/>
      <c r="N5" s="64" t="s">
        <v>17</v>
      </c>
      <c r="O5" s="65" t="s">
        <v>21</v>
      </c>
      <c r="P5" s="66" t="s">
        <v>19</v>
      </c>
      <c r="Q5" s="67" t="s">
        <v>20</v>
      </c>
      <c r="R5" s="4"/>
      <c r="S5" s="69" t="s">
        <v>17</v>
      </c>
      <c r="T5" s="70" t="s">
        <v>22</v>
      </c>
      <c r="U5" s="71" t="s">
        <v>19</v>
      </c>
      <c r="V5" s="72" t="s">
        <v>20</v>
      </c>
      <c r="W5" s="14"/>
      <c r="X5" s="249" t="s">
        <v>17</v>
      </c>
      <c r="Y5" s="250" t="s">
        <v>22</v>
      </c>
      <c r="Z5" s="251" t="s">
        <v>19</v>
      </c>
      <c r="AA5" s="252" t="s">
        <v>20</v>
      </c>
      <c r="AB5" s="14"/>
      <c r="AC5" s="14"/>
    </row>
    <row r="6" ht="15.75" customHeight="1">
      <c r="A6" s="83"/>
      <c r="B6" s="241"/>
      <c r="C6" s="241"/>
      <c r="D6" s="253" t="s">
        <v>23</v>
      </c>
      <c r="E6" s="253" t="s">
        <v>24</v>
      </c>
      <c r="F6" s="253" t="s">
        <v>70</v>
      </c>
      <c r="G6" s="253" t="s">
        <v>71</v>
      </c>
      <c r="H6" s="4"/>
      <c r="I6" s="85"/>
      <c r="J6" s="86">
        <v>0.19</v>
      </c>
      <c r="K6" s="87"/>
      <c r="L6" s="88"/>
      <c r="M6" s="4"/>
      <c r="N6" s="85"/>
      <c r="O6" s="89">
        <v>0.19</v>
      </c>
      <c r="P6" s="87"/>
      <c r="Q6" s="88"/>
      <c r="R6" s="4"/>
      <c r="S6" s="90"/>
      <c r="T6" s="91">
        <v>0.19</v>
      </c>
      <c r="U6" s="92"/>
      <c r="V6" s="93"/>
      <c r="W6" s="14"/>
      <c r="X6" s="90"/>
      <c r="Y6" s="254">
        <v>0.19</v>
      </c>
      <c r="Z6" s="92"/>
      <c r="AA6" s="93"/>
      <c r="AB6" s="255" t="s">
        <v>72</v>
      </c>
      <c r="AC6" s="255" t="s">
        <v>73</v>
      </c>
    </row>
    <row r="7" ht="15.75" customHeight="1">
      <c r="A7" s="96"/>
      <c r="B7" s="256">
        <v>1.0</v>
      </c>
      <c r="C7" s="257" t="s">
        <v>74</v>
      </c>
      <c r="D7" s="258" t="s">
        <v>75</v>
      </c>
      <c r="E7" s="259">
        <v>1.0</v>
      </c>
      <c r="F7" s="260"/>
      <c r="G7" s="260">
        <f t="shared" ref="G7:G8" si="1">E7*F7</f>
        <v>0</v>
      </c>
      <c r="H7" s="261"/>
      <c r="I7" s="262">
        <v>392419.50000000006</v>
      </c>
      <c r="J7" s="263">
        <f t="shared" ref="J7:J217" si="2">I7*$J$6</f>
        <v>74559.705</v>
      </c>
      <c r="K7" s="263">
        <f t="shared" ref="K7:K217" si="3">I7+J7</f>
        <v>466979.205</v>
      </c>
      <c r="L7" s="264">
        <f t="shared" ref="L7:L217" si="4">E7*K7</f>
        <v>466979.205</v>
      </c>
      <c r="M7" s="265"/>
      <c r="N7" s="266">
        <v>356745.0</v>
      </c>
      <c r="O7" s="263">
        <f t="shared" ref="O7:O217" si="5">N7*$O$6</f>
        <v>67781.55</v>
      </c>
      <c r="P7" s="267">
        <f t="shared" ref="P7:P217" si="6">N7+O7</f>
        <v>424526.55</v>
      </c>
      <c r="Q7" s="268">
        <f t="shared" ref="Q7:Q217" si="7">E7*P7</f>
        <v>424526.55</v>
      </c>
      <c r="R7" s="265"/>
      <c r="S7" s="269">
        <v>367447.0</v>
      </c>
      <c r="T7" s="270">
        <f t="shared" ref="T7:T217" si="8">S7*$T$6</f>
        <v>69814.93</v>
      </c>
      <c r="U7" s="270">
        <f t="shared" ref="U7:U217" si="9">S7+T7</f>
        <v>437261.93</v>
      </c>
      <c r="V7" s="271">
        <f t="shared" ref="V7:V217" si="10">E7*U7</f>
        <v>437261.93</v>
      </c>
      <c r="W7" s="272"/>
      <c r="X7" s="269">
        <v>282492.0</v>
      </c>
      <c r="Y7" s="270">
        <f t="shared" ref="Y7:Y217" si="11">X7*$T$6</f>
        <v>53673.48</v>
      </c>
      <c r="Z7" s="270">
        <f t="shared" ref="Z7:Z217" si="12">X7+Y7</f>
        <v>336165.48</v>
      </c>
      <c r="AA7" s="273">
        <f t="shared" ref="AA7:AA217" si="13">E7*Z7</f>
        <v>336165.48</v>
      </c>
      <c r="AB7" s="274">
        <f t="shared" ref="AB7:AB217" si="14">MIN(I7,N7,S7,X7)</f>
        <v>282492</v>
      </c>
      <c r="AC7" s="274">
        <f t="shared" ref="AC7:AC217" si="15">MAX(I7,N7,S7,X7)</f>
        <v>392419.5</v>
      </c>
    </row>
    <row r="8" ht="15.75" customHeight="1">
      <c r="A8" s="275"/>
      <c r="B8" s="256">
        <v>2.0</v>
      </c>
      <c r="C8" s="257" t="s">
        <v>76</v>
      </c>
      <c r="D8" s="258" t="s">
        <v>75</v>
      </c>
      <c r="E8" s="259">
        <v>1.0</v>
      </c>
      <c r="F8" s="260"/>
      <c r="G8" s="260">
        <f t="shared" si="1"/>
        <v>0</v>
      </c>
      <c r="H8" s="261"/>
      <c r="I8" s="262">
        <v>380345.9</v>
      </c>
      <c r="J8" s="263">
        <f t="shared" si="2"/>
        <v>72265.721</v>
      </c>
      <c r="K8" s="263">
        <f t="shared" si="3"/>
        <v>452611.621</v>
      </c>
      <c r="L8" s="264">
        <f t="shared" si="4"/>
        <v>452611.621</v>
      </c>
      <c r="M8" s="265"/>
      <c r="N8" s="266">
        <v>345769.0</v>
      </c>
      <c r="O8" s="263">
        <f t="shared" si="5"/>
        <v>65696.11</v>
      </c>
      <c r="P8" s="267">
        <f t="shared" si="6"/>
        <v>411465.11</v>
      </c>
      <c r="Q8" s="268">
        <f t="shared" si="7"/>
        <v>411465.11</v>
      </c>
      <c r="R8" s="265"/>
      <c r="S8" s="269">
        <v>356142.0</v>
      </c>
      <c r="T8" s="270">
        <f t="shared" si="8"/>
        <v>67666.98</v>
      </c>
      <c r="U8" s="270">
        <f t="shared" si="9"/>
        <v>423808.98</v>
      </c>
      <c r="V8" s="271">
        <f t="shared" si="10"/>
        <v>423808.98</v>
      </c>
      <c r="W8" s="272"/>
      <c r="X8" s="269">
        <v>281580.0</v>
      </c>
      <c r="Y8" s="270">
        <f t="shared" si="11"/>
        <v>53500.2</v>
      </c>
      <c r="Z8" s="270">
        <f t="shared" si="12"/>
        <v>335080.2</v>
      </c>
      <c r="AA8" s="273">
        <f t="shared" si="13"/>
        <v>335080.2</v>
      </c>
      <c r="AB8" s="274">
        <f t="shared" si="14"/>
        <v>281580</v>
      </c>
      <c r="AC8" s="274">
        <f t="shared" si="15"/>
        <v>380345.9</v>
      </c>
    </row>
    <row r="9" ht="15.75" customHeight="1">
      <c r="A9" s="275"/>
      <c r="B9" s="256">
        <v>3.0</v>
      </c>
      <c r="C9" s="257" t="s">
        <v>77</v>
      </c>
      <c r="D9" s="258" t="s">
        <v>75</v>
      </c>
      <c r="E9" s="259">
        <v>1.0</v>
      </c>
      <c r="F9" s="260"/>
      <c r="G9" s="260"/>
      <c r="H9" s="261"/>
      <c r="I9" s="262">
        <v>1909344.8</v>
      </c>
      <c r="J9" s="263">
        <f t="shared" si="2"/>
        <v>362775.512</v>
      </c>
      <c r="K9" s="263">
        <f t="shared" si="3"/>
        <v>2272120.312</v>
      </c>
      <c r="L9" s="264">
        <f t="shared" si="4"/>
        <v>2272120.312</v>
      </c>
      <c r="M9" s="265"/>
      <c r="N9" s="266">
        <v>1735768.0</v>
      </c>
      <c r="O9" s="263">
        <f t="shared" si="5"/>
        <v>329795.92</v>
      </c>
      <c r="P9" s="267">
        <f t="shared" si="6"/>
        <v>2065563.92</v>
      </c>
      <c r="Q9" s="268">
        <f t="shared" si="7"/>
        <v>2065563.92</v>
      </c>
      <c r="R9" s="265"/>
      <c r="S9" s="269">
        <v>1787841.0</v>
      </c>
      <c r="T9" s="270">
        <f t="shared" si="8"/>
        <v>339689.79</v>
      </c>
      <c r="U9" s="270">
        <f t="shared" si="9"/>
        <v>2127530.79</v>
      </c>
      <c r="V9" s="271">
        <f t="shared" si="10"/>
        <v>2127530.79</v>
      </c>
      <c r="W9" s="272"/>
      <c r="X9" s="269">
        <v>547200.0</v>
      </c>
      <c r="Y9" s="270">
        <f t="shared" si="11"/>
        <v>103968</v>
      </c>
      <c r="Z9" s="270">
        <f t="shared" si="12"/>
        <v>651168</v>
      </c>
      <c r="AA9" s="273">
        <f t="shared" si="13"/>
        <v>651168</v>
      </c>
      <c r="AB9" s="274">
        <f t="shared" si="14"/>
        <v>547200</v>
      </c>
      <c r="AC9" s="274">
        <f t="shared" si="15"/>
        <v>1909344.8</v>
      </c>
    </row>
    <row r="10" ht="15.75" customHeight="1">
      <c r="A10" s="275"/>
      <c r="B10" s="276">
        <v>4.0</v>
      </c>
      <c r="C10" s="277" t="s">
        <v>78</v>
      </c>
      <c r="D10" s="116" t="s">
        <v>79</v>
      </c>
      <c r="E10" s="278">
        <v>1.0</v>
      </c>
      <c r="F10" s="279"/>
      <c r="G10" s="279">
        <f>E10*F10</f>
        <v>0</v>
      </c>
      <c r="H10" s="101"/>
      <c r="I10" s="280">
        <v>27719.62</v>
      </c>
      <c r="J10" s="103">
        <f t="shared" si="2"/>
        <v>5266.7278</v>
      </c>
      <c r="K10" s="103">
        <f t="shared" si="3"/>
        <v>32986.3478</v>
      </c>
      <c r="L10" s="281">
        <f t="shared" si="4"/>
        <v>32986.3478</v>
      </c>
      <c r="M10" s="106"/>
      <c r="N10" s="282">
        <v>27709.0</v>
      </c>
      <c r="O10" s="103">
        <f t="shared" si="5"/>
        <v>5264.71</v>
      </c>
      <c r="P10" s="107">
        <f t="shared" si="6"/>
        <v>32973.71</v>
      </c>
      <c r="Q10" s="283">
        <f t="shared" si="7"/>
        <v>32973.71</v>
      </c>
      <c r="R10" s="106"/>
      <c r="S10" s="112">
        <v>28540.0</v>
      </c>
      <c r="T10" s="109">
        <f t="shared" si="8"/>
        <v>5422.6</v>
      </c>
      <c r="U10" s="109">
        <f t="shared" si="9"/>
        <v>33962.6</v>
      </c>
      <c r="V10" s="284">
        <f t="shared" si="10"/>
        <v>33962.6</v>
      </c>
      <c r="W10" s="111"/>
      <c r="X10" s="112">
        <v>25080.0</v>
      </c>
      <c r="Y10" s="109">
        <f t="shared" si="11"/>
        <v>4765.2</v>
      </c>
      <c r="Z10" s="109">
        <f t="shared" si="12"/>
        <v>29845.2</v>
      </c>
      <c r="AA10" s="285">
        <f t="shared" si="13"/>
        <v>29845.2</v>
      </c>
      <c r="AB10" s="286">
        <f t="shared" si="14"/>
        <v>25080</v>
      </c>
      <c r="AC10" s="286">
        <f t="shared" si="15"/>
        <v>28540</v>
      </c>
    </row>
    <row r="11" ht="15.75" customHeight="1">
      <c r="A11" s="275"/>
      <c r="B11" s="276">
        <v>5.0</v>
      </c>
      <c r="C11" s="277" t="s">
        <v>80</v>
      </c>
      <c r="D11" s="116" t="s">
        <v>79</v>
      </c>
      <c r="E11" s="278">
        <v>1.0</v>
      </c>
      <c r="F11" s="279"/>
      <c r="G11" s="279"/>
      <c r="H11" s="101"/>
      <c r="I11" s="280">
        <v>38030.78</v>
      </c>
      <c r="J11" s="103">
        <f t="shared" si="2"/>
        <v>7225.8482</v>
      </c>
      <c r="K11" s="103">
        <f t="shared" si="3"/>
        <v>45256.6282</v>
      </c>
      <c r="L11" s="281">
        <f t="shared" si="4"/>
        <v>45256.6282</v>
      </c>
      <c r="M11" s="106"/>
      <c r="N11" s="282">
        <v>37629.0</v>
      </c>
      <c r="O11" s="103">
        <f t="shared" si="5"/>
        <v>7149.51</v>
      </c>
      <c r="P11" s="107">
        <f t="shared" si="6"/>
        <v>44778.51</v>
      </c>
      <c r="Q11" s="283">
        <f t="shared" si="7"/>
        <v>44778.51</v>
      </c>
      <c r="R11" s="106"/>
      <c r="S11" s="112">
        <v>38758.0</v>
      </c>
      <c r="T11" s="109">
        <f t="shared" si="8"/>
        <v>7364.02</v>
      </c>
      <c r="U11" s="109">
        <f t="shared" si="9"/>
        <v>46122.02</v>
      </c>
      <c r="V11" s="284">
        <f t="shared" si="10"/>
        <v>46122.02</v>
      </c>
      <c r="W11" s="111"/>
      <c r="X11" s="112">
        <v>39900.0</v>
      </c>
      <c r="Y11" s="109">
        <f t="shared" si="11"/>
        <v>7581</v>
      </c>
      <c r="Z11" s="109">
        <f t="shared" si="12"/>
        <v>47481</v>
      </c>
      <c r="AA11" s="285">
        <f t="shared" si="13"/>
        <v>47481</v>
      </c>
      <c r="AB11" s="286">
        <f t="shared" si="14"/>
        <v>37629</v>
      </c>
      <c r="AC11" s="286">
        <f t="shared" si="15"/>
        <v>39900</v>
      </c>
    </row>
    <row r="12" ht="15.75" customHeight="1">
      <c r="A12" s="275"/>
      <c r="B12" s="276"/>
      <c r="C12" s="277" t="s">
        <v>81</v>
      </c>
      <c r="D12" s="116" t="s">
        <v>79</v>
      </c>
      <c r="E12" s="278">
        <v>1.0</v>
      </c>
      <c r="F12" s="279"/>
      <c r="G12" s="279"/>
      <c r="H12" s="101"/>
      <c r="I12" s="280">
        <v>51243.5</v>
      </c>
      <c r="J12" s="103">
        <f t="shared" si="2"/>
        <v>9736.265</v>
      </c>
      <c r="K12" s="103">
        <f t="shared" si="3"/>
        <v>60979.765</v>
      </c>
      <c r="L12" s="287">
        <f t="shared" si="4"/>
        <v>60979.765</v>
      </c>
      <c r="M12" s="106"/>
      <c r="N12" s="282">
        <v>51534.0</v>
      </c>
      <c r="O12" s="103">
        <f t="shared" si="5"/>
        <v>9791.46</v>
      </c>
      <c r="P12" s="107">
        <f t="shared" si="6"/>
        <v>61325.46</v>
      </c>
      <c r="Q12" s="288">
        <f t="shared" si="7"/>
        <v>61325.46</v>
      </c>
      <c r="R12" s="106"/>
      <c r="S12" s="112">
        <v>53080.0</v>
      </c>
      <c r="T12" s="109">
        <f t="shared" si="8"/>
        <v>10085.2</v>
      </c>
      <c r="U12" s="109">
        <f t="shared" si="9"/>
        <v>63165.2</v>
      </c>
      <c r="V12" s="284">
        <f t="shared" si="10"/>
        <v>63165.2</v>
      </c>
      <c r="W12" s="111"/>
      <c r="X12" s="112">
        <v>53352.0</v>
      </c>
      <c r="Y12" s="109">
        <f t="shared" si="11"/>
        <v>10136.88</v>
      </c>
      <c r="Z12" s="109">
        <f t="shared" si="12"/>
        <v>63488.88</v>
      </c>
      <c r="AA12" s="285">
        <f t="shared" si="13"/>
        <v>63488.88</v>
      </c>
      <c r="AB12" s="286">
        <f t="shared" si="14"/>
        <v>51243.5</v>
      </c>
      <c r="AC12" s="286">
        <f t="shared" si="15"/>
        <v>53352</v>
      </c>
    </row>
    <row r="13" ht="15.75" customHeight="1">
      <c r="A13" s="275"/>
      <c r="B13" s="276">
        <v>6.0</v>
      </c>
      <c r="C13" s="277" t="s">
        <v>82</v>
      </c>
      <c r="D13" s="116" t="s">
        <v>83</v>
      </c>
      <c r="E13" s="278">
        <v>1.0</v>
      </c>
      <c r="F13" s="279"/>
      <c r="G13" s="279"/>
      <c r="H13" s="101"/>
      <c r="I13" s="280">
        <v>773.84</v>
      </c>
      <c r="J13" s="103">
        <f t="shared" si="2"/>
        <v>147.0296</v>
      </c>
      <c r="K13" s="103">
        <f t="shared" si="3"/>
        <v>920.8696</v>
      </c>
      <c r="L13" s="289">
        <f t="shared" si="4"/>
        <v>920.8696</v>
      </c>
      <c r="M13" s="106"/>
      <c r="N13" s="282">
        <v>735.0</v>
      </c>
      <c r="O13" s="103">
        <f t="shared" si="5"/>
        <v>139.65</v>
      </c>
      <c r="P13" s="107">
        <f t="shared" si="6"/>
        <v>874.65</v>
      </c>
      <c r="Q13" s="283">
        <f t="shared" si="7"/>
        <v>874.65</v>
      </c>
      <c r="R13" s="106"/>
      <c r="S13" s="112">
        <v>757.0</v>
      </c>
      <c r="T13" s="109">
        <f t="shared" si="8"/>
        <v>143.83</v>
      </c>
      <c r="U13" s="109">
        <f t="shared" si="9"/>
        <v>900.83</v>
      </c>
      <c r="V13" s="281">
        <f t="shared" si="10"/>
        <v>900.83</v>
      </c>
      <c r="W13" s="111"/>
      <c r="X13" s="112">
        <v>763.8</v>
      </c>
      <c r="Y13" s="109">
        <f t="shared" si="11"/>
        <v>145.122</v>
      </c>
      <c r="Z13" s="109">
        <f t="shared" si="12"/>
        <v>908.922</v>
      </c>
      <c r="AA13" s="285">
        <f t="shared" si="13"/>
        <v>908.922</v>
      </c>
      <c r="AB13" s="286">
        <f t="shared" si="14"/>
        <v>735</v>
      </c>
      <c r="AC13" s="286">
        <f t="shared" si="15"/>
        <v>773.84</v>
      </c>
    </row>
    <row r="14" ht="15.75" customHeight="1">
      <c r="A14" s="275"/>
      <c r="B14" s="276">
        <v>7.0</v>
      </c>
      <c r="C14" s="277" t="s">
        <v>84</v>
      </c>
      <c r="D14" s="116" t="s">
        <v>83</v>
      </c>
      <c r="E14" s="278">
        <v>1.0</v>
      </c>
      <c r="F14" s="279"/>
      <c r="G14" s="279"/>
      <c r="H14" s="101"/>
      <c r="I14" s="280">
        <v>1011.14</v>
      </c>
      <c r="J14" s="103">
        <f t="shared" si="2"/>
        <v>192.1166</v>
      </c>
      <c r="K14" s="103">
        <f t="shared" si="3"/>
        <v>1203.2566</v>
      </c>
      <c r="L14" s="281">
        <f t="shared" si="4"/>
        <v>1203.2566</v>
      </c>
      <c r="M14" s="106"/>
      <c r="N14" s="282">
        <v>1009.0</v>
      </c>
      <c r="O14" s="103">
        <f t="shared" si="5"/>
        <v>191.71</v>
      </c>
      <c r="P14" s="107">
        <f t="shared" si="6"/>
        <v>1200.71</v>
      </c>
      <c r="Q14" s="283">
        <f t="shared" si="7"/>
        <v>1200.71</v>
      </c>
      <c r="R14" s="106"/>
      <c r="S14" s="112">
        <v>1039.0</v>
      </c>
      <c r="T14" s="109">
        <f t="shared" si="8"/>
        <v>197.41</v>
      </c>
      <c r="U14" s="109">
        <f t="shared" si="9"/>
        <v>1236.41</v>
      </c>
      <c r="V14" s="284">
        <f t="shared" si="10"/>
        <v>1236.41</v>
      </c>
      <c r="W14" s="111"/>
      <c r="X14" s="112">
        <v>1094.4</v>
      </c>
      <c r="Y14" s="109">
        <f t="shared" si="11"/>
        <v>207.936</v>
      </c>
      <c r="Z14" s="109">
        <f t="shared" si="12"/>
        <v>1302.336</v>
      </c>
      <c r="AA14" s="285">
        <f t="shared" si="13"/>
        <v>1302.336</v>
      </c>
      <c r="AB14" s="286">
        <f t="shared" si="14"/>
        <v>1009</v>
      </c>
      <c r="AC14" s="286">
        <f t="shared" si="15"/>
        <v>1094.4</v>
      </c>
    </row>
    <row r="15" ht="15.75" customHeight="1">
      <c r="A15" s="275"/>
      <c r="B15" s="276"/>
      <c r="C15" s="277" t="s">
        <v>85</v>
      </c>
      <c r="D15" s="116" t="s">
        <v>83</v>
      </c>
      <c r="E15" s="278">
        <v>1.0</v>
      </c>
      <c r="F15" s="279"/>
      <c r="G15" s="279"/>
      <c r="H15" s="101"/>
      <c r="I15" s="280">
        <f>2079*1.1</f>
        <v>2286.9</v>
      </c>
      <c r="J15" s="103">
        <f t="shared" si="2"/>
        <v>434.511</v>
      </c>
      <c r="K15" s="103">
        <f t="shared" si="3"/>
        <v>2721.411</v>
      </c>
      <c r="L15" s="289">
        <f t="shared" si="4"/>
        <v>2721.411</v>
      </c>
      <c r="M15" s="106"/>
      <c r="N15" s="282">
        <v>2018.0</v>
      </c>
      <c r="O15" s="103">
        <f t="shared" si="5"/>
        <v>383.42</v>
      </c>
      <c r="P15" s="107">
        <f t="shared" si="6"/>
        <v>2401.42</v>
      </c>
      <c r="Q15" s="283">
        <f t="shared" si="7"/>
        <v>2401.42</v>
      </c>
      <c r="R15" s="106"/>
      <c r="S15" s="112">
        <v>2079.0</v>
      </c>
      <c r="T15" s="109">
        <f t="shared" si="8"/>
        <v>395.01</v>
      </c>
      <c r="U15" s="109">
        <f t="shared" si="9"/>
        <v>2474.01</v>
      </c>
      <c r="V15" s="284">
        <f t="shared" si="10"/>
        <v>2474.01</v>
      </c>
      <c r="W15" s="111"/>
      <c r="X15" s="112">
        <v>2257.2</v>
      </c>
      <c r="Y15" s="109">
        <f t="shared" si="11"/>
        <v>428.868</v>
      </c>
      <c r="Z15" s="109">
        <f t="shared" si="12"/>
        <v>2686.068</v>
      </c>
      <c r="AA15" s="285">
        <f t="shared" si="13"/>
        <v>2686.068</v>
      </c>
      <c r="AB15" s="286">
        <f t="shared" si="14"/>
        <v>2018</v>
      </c>
      <c r="AC15" s="286">
        <f t="shared" si="15"/>
        <v>2286.9</v>
      </c>
    </row>
    <row r="16" ht="15.75" customHeight="1">
      <c r="A16" s="275"/>
      <c r="B16" s="276">
        <v>8.0</v>
      </c>
      <c r="C16" s="277" t="s">
        <v>86</v>
      </c>
      <c r="D16" s="116" t="s">
        <v>87</v>
      </c>
      <c r="E16" s="278">
        <v>1.0</v>
      </c>
      <c r="F16" s="279"/>
      <c r="G16" s="279"/>
      <c r="H16" s="101"/>
      <c r="I16" s="280">
        <v>187.48</v>
      </c>
      <c r="J16" s="103">
        <f t="shared" si="2"/>
        <v>35.6212</v>
      </c>
      <c r="K16" s="103">
        <f t="shared" si="3"/>
        <v>223.1012</v>
      </c>
      <c r="L16" s="287">
        <f t="shared" si="4"/>
        <v>223.1012</v>
      </c>
      <c r="M16" s="106"/>
      <c r="N16" s="282">
        <v>355.0</v>
      </c>
      <c r="O16" s="103">
        <f t="shared" si="5"/>
        <v>67.45</v>
      </c>
      <c r="P16" s="107">
        <f t="shared" si="6"/>
        <v>422.45</v>
      </c>
      <c r="Q16" s="281">
        <f t="shared" si="7"/>
        <v>422.45</v>
      </c>
      <c r="R16" s="106"/>
      <c r="S16" s="112">
        <v>366.0</v>
      </c>
      <c r="T16" s="109">
        <f t="shared" si="8"/>
        <v>69.54</v>
      </c>
      <c r="U16" s="109">
        <f t="shared" si="9"/>
        <v>435.54</v>
      </c>
      <c r="V16" s="284">
        <f t="shared" si="10"/>
        <v>435.54</v>
      </c>
      <c r="W16" s="111"/>
      <c r="X16" s="112">
        <v>627.0</v>
      </c>
      <c r="Y16" s="109">
        <f t="shared" si="11"/>
        <v>119.13</v>
      </c>
      <c r="Z16" s="109">
        <f t="shared" si="12"/>
        <v>746.13</v>
      </c>
      <c r="AA16" s="285">
        <f t="shared" si="13"/>
        <v>746.13</v>
      </c>
      <c r="AB16" s="286">
        <f t="shared" si="14"/>
        <v>187.48</v>
      </c>
      <c r="AC16" s="286">
        <f t="shared" si="15"/>
        <v>627</v>
      </c>
    </row>
    <row r="17" ht="15.75" customHeight="1">
      <c r="A17" s="275"/>
      <c r="B17" s="276">
        <v>9.0</v>
      </c>
      <c r="C17" s="277" t="s">
        <v>88</v>
      </c>
      <c r="D17" s="116" t="s">
        <v>87</v>
      </c>
      <c r="E17" s="278">
        <v>1.0</v>
      </c>
      <c r="F17" s="279"/>
      <c r="G17" s="279"/>
      <c r="H17" s="101"/>
      <c r="I17" s="280">
        <v>233.95</v>
      </c>
      <c r="J17" s="103">
        <f t="shared" si="2"/>
        <v>44.4505</v>
      </c>
      <c r="K17" s="103">
        <f t="shared" si="3"/>
        <v>278.4005</v>
      </c>
      <c r="L17" s="287">
        <f t="shared" si="4"/>
        <v>278.4005</v>
      </c>
      <c r="M17" s="106"/>
      <c r="N17" s="282">
        <v>687.0</v>
      </c>
      <c r="O17" s="103">
        <f t="shared" si="5"/>
        <v>130.53</v>
      </c>
      <c r="P17" s="107">
        <f t="shared" si="6"/>
        <v>817.53</v>
      </c>
      <c r="Q17" s="281">
        <f t="shared" si="7"/>
        <v>817.53</v>
      </c>
      <c r="R17" s="106"/>
      <c r="S17" s="112">
        <v>708.0</v>
      </c>
      <c r="T17" s="109">
        <f t="shared" si="8"/>
        <v>134.52</v>
      </c>
      <c r="U17" s="109">
        <f t="shared" si="9"/>
        <v>842.52</v>
      </c>
      <c r="V17" s="284">
        <f t="shared" si="10"/>
        <v>842.52</v>
      </c>
      <c r="W17" s="111"/>
      <c r="X17" s="112">
        <v>741.0</v>
      </c>
      <c r="Y17" s="109">
        <f t="shared" si="11"/>
        <v>140.79</v>
      </c>
      <c r="Z17" s="109">
        <f t="shared" si="12"/>
        <v>881.79</v>
      </c>
      <c r="AA17" s="285">
        <f t="shared" si="13"/>
        <v>881.79</v>
      </c>
      <c r="AB17" s="286">
        <f t="shared" si="14"/>
        <v>233.95</v>
      </c>
      <c r="AC17" s="286">
        <f t="shared" si="15"/>
        <v>741</v>
      </c>
    </row>
    <row r="18" ht="15.75" customHeight="1">
      <c r="A18" s="275"/>
      <c r="B18" s="276">
        <v>10.0</v>
      </c>
      <c r="C18" s="277" t="s">
        <v>89</v>
      </c>
      <c r="D18" s="116" t="s">
        <v>90</v>
      </c>
      <c r="E18" s="278">
        <v>1.0</v>
      </c>
      <c r="F18" s="279"/>
      <c r="G18" s="279"/>
      <c r="H18" s="101"/>
      <c r="I18" s="280">
        <v>90822.6</v>
      </c>
      <c r="J18" s="103">
        <f t="shared" si="2"/>
        <v>17256.294</v>
      </c>
      <c r="K18" s="103">
        <f t="shared" si="3"/>
        <v>108078.894</v>
      </c>
      <c r="L18" s="289">
        <f t="shared" si="4"/>
        <v>108078.894</v>
      </c>
      <c r="M18" s="106"/>
      <c r="N18" s="282">
        <v>87318.0</v>
      </c>
      <c r="O18" s="103">
        <f t="shared" si="5"/>
        <v>16590.42</v>
      </c>
      <c r="P18" s="107">
        <f t="shared" si="6"/>
        <v>103908.42</v>
      </c>
      <c r="Q18" s="283">
        <f t="shared" si="7"/>
        <v>103908.42</v>
      </c>
      <c r="R18" s="106"/>
      <c r="S18" s="112">
        <v>89938.0</v>
      </c>
      <c r="T18" s="109">
        <f t="shared" si="8"/>
        <v>17088.22</v>
      </c>
      <c r="U18" s="109">
        <f t="shared" si="9"/>
        <v>107026.22</v>
      </c>
      <c r="V18" s="281">
        <f t="shared" si="10"/>
        <v>107026.22</v>
      </c>
      <c r="W18" s="111"/>
      <c r="X18" s="112">
        <v>85500.0</v>
      </c>
      <c r="Y18" s="109">
        <f t="shared" si="11"/>
        <v>16245</v>
      </c>
      <c r="Z18" s="109">
        <f t="shared" si="12"/>
        <v>101745</v>
      </c>
      <c r="AA18" s="285">
        <f t="shared" si="13"/>
        <v>101745</v>
      </c>
      <c r="AB18" s="286">
        <f t="shared" si="14"/>
        <v>85500</v>
      </c>
      <c r="AC18" s="286">
        <f t="shared" si="15"/>
        <v>90822.6</v>
      </c>
    </row>
    <row r="19" ht="15.75" customHeight="1">
      <c r="A19" s="275"/>
      <c r="B19" s="276">
        <v>11.0</v>
      </c>
      <c r="C19" s="277" t="s">
        <v>91</v>
      </c>
      <c r="D19" s="116" t="s">
        <v>79</v>
      </c>
      <c r="E19" s="278">
        <v>1.0</v>
      </c>
      <c r="F19" s="279"/>
      <c r="G19" s="279"/>
      <c r="H19" s="101"/>
      <c r="I19" s="280">
        <v>27719.62</v>
      </c>
      <c r="J19" s="103">
        <f t="shared" si="2"/>
        <v>5266.7278</v>
      </c>
      <c r="K19" s="103">
        <f t="shared" si="3"/>
        <v>32986.3478</v>
      </c>
      <c r="L19" s="281">
        <f t="shared" si="4"/>
        <v>32986.3478</v>
      </c>
      <c r="M19" s="106"/>
      <c r="N19" s="282">
        <v>27709.0</v>
      </c>
      <c r="O19" s="103">
        <f t="shared" si="5"/>
        <v>5264.71</v>
      </c>
      <c r="P19" s="107">
        <f t="shared" si="6"/>
        <v>32973.71</v>
      </c>
      <c r="Q19" s="283">
        <f t="shared" si="7"/>
        <v>32973.71</v>
      </c>
      <c r="R19" s="106"/>
      <c r="S19" s="112">
        <v>28540.0</v>
      </c>
      <c r="T19" s="109">
        <f t="shared" si="8"/>
        <v>5422.6</v>
      </c>
      <c r="U19" s="109">
        <f t="shared" si="9"/>
        <v>33962.6</v>
      </c>
      <c r="V19" s="284">
        <f t="shared" si="10"/>
        <v>33962.6</v>
      </c>
      <c r="W19" s="111"/>
      <c r="X19" s="112">
        <v>33744.0</v>
      </c>
      <c r="Y19" s="109">
        <f t="shared" si="11"/>
        <v>6411.36</v>
      </c>
      <c r="Z19" s="109">
        <f t="shared" si="12"/>
        <v>40155.36</v>
      </c>
      <c r="AA19" s="285">
        <f t="shared" si="13"/>
        <v>40155.36</v>
      </c>
      <c r="AB19" s="286">
        <f t="shared" si="14"/>
        <v>27709</v>
      </c>
      <c r="AC19" s="286">
        <f t="shared" si="15"/>
        <v>33744</v>
      </c>
    </row>
    <row r="20" ht="15.75" customHeight="1">
      <c r="A20" s="275"/>
      <c r="B20" s="276">
        <v>12.0</v>
      </c>
      <c r="C20" s="277" t="s">
        <v>92</v>
      </c>
      <c r="D20" s="116" t="s">
        <v>79</v>
      </c>
      <c r="E20" s="278">
        <v>1.0</v>
      </c>
      <c r="F20" s="279"/>
      <c r="G20" s="279"/>
      <c r="H20" s="101"/>
      <c r="I20" s="280">
        <v>38030.78</v>
      </c>
      <c r="J20" s="103">
        <f t="shared" si="2"/>
        <v>7225.8482</v>
      </c>
      <c r="K20" s="103">
        <f t="shared" si="3"/>
        <v>45256.6282</v>
      </c>
      <c r="L20" s="281">
        <f t="shared" si="4"/>
        <v>45256.6282</v>
      </c>
      <c r="M20" s="106"/>
      <c r="N20" s="282">
        <v>37629.0</v>
      </c>
      <c r="O20" s="103">
        <f t="shared" si="5"/>
        <v>7149.51</v>
      </c>
      <c r="P20" s="107">
        <f t="shared" si="6"/>
        <v>44778.51</v>
      </c>
      <c r="Q20" s="283">
        <f t="shared" si="7"/>
        <v>44778.51</v>
      </c>
      <c r="R20" s="106"/>
      <c r="S20" s="112">
        <v>38758.0</v>
      </c>
      <c r="T20" s="109">
        <f t="shared" si="8"/>
        <v>7364.02</v>
      </c>
      <c r="U20" s="109">
        <f t="shared" si="9"/>
        <v>46122.02</v>
      </c>
      <c r="V20" s="284">
        <f t="shared" si="10"/>
        <v>46122.02</v>
      </c>
      <c r="W20" s="111"/>
      <c r="X20" s="112">
        <v>43320.0</v>
      </c>
      <c r="Y20" s="109">
        <f t="shared" si="11"/>
        <v>8230.8</v>
      </c>
      <c r="Z20" s="109">
        <f t="shared" si="12"/>
        <v>51550.8</v>
      </c>
      <c r="AA20" s="285">
        <f t="shared" si="13"/>
        <v>51550.8</v>
      </c>
      <c r="AB20" s="286">
        <f t="shared" si="14"/>
        <v>37629</v>
      </c>
      <c r="AC20" s="286">
        <f t="shared" si="15"/>
        <v>43320</v>
      </c>
    </row>
    <row r="21" ht="15.75" customHeight="1">
      <c r="A21" s="275"/>
      <c r="B21" s="276">
        <v>13.0</v>
      </c>
      <c r="C21" s="277" t="s">
        <v>93</v>
      </c>
      <c r="D21" s="116" t="s">
        <v>94</v>
      </c>
      <c r="E21" s="278">
        <v>1.0</v>
      </c>
      <c r="F21" s="279"/>
      <c r="G21" s="279"/>
      <c r="H21" s="101"/>
      <c r="I21" s="280">
        <v>12052.01</v>
      </c>
      <c r="J21" s="103">
        <f t="shared" si="2"/>
        <v>2289.8819</v>
      </c>
      <c r="K21" s="103">
        <f t="shared" si="3"/>
        <v>14341.8919</v>
      </c>
      <c r="L21" s="289">
        <f t="shared" si="4"/>
        <v>14341.8919</v>
      </c>
      <c r="M21" s="106"/>
      <c r="N21" s="282">
        <v>11456.0</v>
      </c>
      <c r="O21" s="103">
        <f t="shared" si="5"/>
        <v>2176.64</v>
      </c>
      <c r="P21" s="107">
        <f t="shared" si="6"/>
        <v>13632.64</v>
      </c>
      <c r="Q21" s="283">
        <f t="shared" si="7"/>
        <v>13632.64</v>
      </c>
      <c r="R21" s="106"/>
      <c r="S21" s="112">
        <v>11800.0</v>
      </c>
      <c r="T21" s="109">
        <f t="shared" si="8"/>
        <v>2242</v>
      </c>
      <c r="U21" s="109">
        <f t="shared" si="9"/>
        <v>14042</v>
      </c>
      <c r="V21" s="281">
        <f t="shared" si="10"/>
        <v>14042</v>
      </c>
      <c r="W21" s="111"/>
      <c r="X21" s="112">
        <v>12084.0</v>
      </c>
      <c r="Y21" s="109">
        <f t="shared" si="11"/>
        <v>2295.96</v>
      </c>
      <c r="Z21" s="109">
        <f t="shared" si="12"/>
        <v>14379.96</v>
      </c>
      <c r="AA21" s="285">
        <f t="shared" si="13"/>
        <v>14379.96</v>
      </c>
      <c r="AB21" s="286">
        <f t="shared" si="14"/>
        <v>11456</v>
      </c>
      <c r="AC21" s="286">
        <f t="shared" si="15"/>
        <v>12084</v>
      </c>
    </row>
    <row r="22" ht="15.75" customHeight="1">
      <c r="A22" s="275"/>
      <c r="B22" s="276">
        <v>14.0</v>
      </c>
      <c r="C22" s="277" t="s">
        <v>95</v>
      </c>
      <c r="D22" s="116" t="s">
        <v>96</v>
      </c>
      <c r="E22" s="278">
        <v>1.0</v>
      </c>
      <c r="F22" s="279"/>
      <c r="G22" s="279"/>
      <c r="H22" s="101"/>
      <c r="I22" s="280">
        <v>3481.69</v>
      </c>
      <c r="J22" s="103">
        <f t="shared" si="2"/>
        <v>661.5211</v>
      </c>
      <c r="K22" s="103">
        <f t="shared" si="3"/>
        <v>4143.2111</v>
      </c>
      <c r="L22" s="287">
        <f t="shared" si="4"/>
        <v>4143.2111</v>
      </c>
      <c r="M22" s="106"/>
      <c r="N22" s="282">
        <v>5115.0</v>
      </c>
      <c r="O22" s="103">
        <f t="shared" si="5"/>
        <v>971.85</v>
      </c>
      <c r="P22" s="107">
        <f t="shared" si="6"/>
        <v>6086.85</v>
      </c>
      <c r="Q22" s="281">
        <f t="shared" si="7"/>
        <v>6086.85</v>
      </c>
      <c r="R22" s="106"/>
      <c r="S22" s="112">
        <v>5268.0</v>
      </c>
      <c r="T22" s="109">
        <f t="shared" si="8"/>
        <v>1000.92</v>
      </c>
      <c r="U22" s="109">
        <f t="shared" si="9"/>
        <v>6268.92</v>
      </c>
      <c r="V22" s="284">
        <f t="shared" si="10"/>
        <v>6268.92</v>
      </c>
      <c r="W22" s="111"/>
      <c r="X22" s="112">
        <v>7296.0</v>
      </c>
      <c r="Y22" s="109">
        <f t="shared" si="11"/>
        <v>1386.24</v>
      </c>
      <c r="Z22" s="109">
        <f t="shared" si="12"/>
        <v>8682.24</v>
      </c>
      <c r="AA22" s="285">
        <f t="shared" si="13"/>
        <v>8682.24</v>
      </c>
      <c r="AB22" s="286">
        <f t="shared" si="14"/>
        <v>3481.69</v>
      </c>
      <c r="AC22" s="286">
        <f t="shared" si="15"/>
        <v>7296</v>
      </c>
    </row>
    <row r="23" ht="15.75" customHeight="1">
      <c r="A23" s="275"/>
      <c r="B23" s="276">
        <v>15.0</v>
      </c>
      <c r="C23" s="277" t="s">
        <v>97</v>
      </c>
      <c r="D23" s="116" t="s">
        <v>96</v>
      </c>
      <c r="E23" s="278">
        <v>1.0</v>
      </c>
      <c r="F23" s="279"/>
      <c r="G23" s="279"/>
      <c r="H23" s="101"/>
      <c r="I23" s="280">
        <v>4627.25</v>
      </c>
      <c r="J23" s="103">
        <f t="shared" si="2"/>
        <v>879.1775</v>
      </c>
      <c r="K23" s="103">
        <f t="shared" si="3"/>
        <v>5506.4275</v>
      </c>
      <c r="L23" s="287">
        <f t="shared" si="4"/>
        <v>5506.4275</v>
      </c>
      <c r="M23" s="106"/>
      <c r="N23" s="282">
        <v>4636.0</v>
      </c>
      <c r="O23" s="103">
        <f t="shared" si="5"/>
        <v>880.84</v>
      </c>
      <c r="P23" s="107">
        <f t="shared" si="6"/>
        <v>5516.84</v>
      </c>
      <c r="Q23" s="281">
        <f t="shared" si="7"/>
        <v>5516.84</v>
      </c>
      <c r="R23" s="106"/>
      <c r="S23" s="112">
        <v>4775.0</v>
      </c>
      <c r="T23" s="109">
        <f t="shared" si="8"/>
        <v>907.25</v>
      </c>
      <c r="U23" s="109">
        <f t="shared" si="9"/>
        <v>5682.25</v>
      </c>
      <c r="V23" s="284">
        <f t="shared" si="10"/>
        <v>5682.25</v>
      </c>
      <c r="W23" s="111"/>
      <c r="X23" s="112">
        <v>4788.0</v>
      </c>
      <c r="Y23" s="109">
        <f t="shared" si="11"/>
        <v>909.72</v>
      </c>
      <c r="Z23" s="109">
        <f t="shared" si="12"/>
        <v>5697.72</v>
      </c>
      <c r="AA23" s="285">
        <f t="shared" si="13"/>
        <v>5697.72</v>
      </c>
      <c r="AB23" s="286">
        <f t="shared" si="14"/>
        <v>4627.25</v>
      </c>
      <c r="AC23" s="286">
        <f t="shared" si="15"/>
        <v>4788</v>
      </c>
    </row>
    <row r="24" ht="15.75" customHeight="1">
      <c r="A24" s="275"/>
      <c r="B24" s="276">
        <v>16.0</v>
      </c>
      <c r="C24" s="277" t="s">
        <v>98</v>
      </c>
      <c r="D24" s="116" t="s">
        <v>83</v>
      </c>
      <c r="E24" s="278">
        <v>1.0</v>
      </c>
      <c r="F24" s="279"/>
      <c r="G24" s="279"/>
      <c r="H24" s="101"/>
      <c r="I24" s="280">
        <v>59539.26</v>
      </c>
      <c r="J24" s="103">
        <f t="shared" si="2"/>
        <v>11312.4594</v>
      </c>
      <c r="K24" s="103">
        <f t="shared" si="3"/>
        <v>70851.7194</v>
      </c>
      <c r="L24" s="287">
        <f t="shared" si="4"/>
        <v>70851.7194</v>
      </c>
      <c r="M24" s="106"/>
      <c r="N24" s="282">
        <v>64576.0</v>
      </c>
      <c r="O24" s="103">
        <f t="shared" si="5"/>
        <v>12269.44</v>
      </c>
      <c r="P24" s="107">
        <f t="shared" si="6"/>
        <v>76845.44</v>
      </c>
      <c r="Q24" s="281">
        <f t="shared" si="7"/>
        <v>76845.44</v>
      </c>
      <c r="R24" s="106"/>
      <c r="S24" s="112">
        <v>66513.0</v>
      </c>
      <c r="T24" s="109">
        <f t="shared" si="8"/>
        <v>12637.47</v>
      </c>
      <c r="U24" s="109">
        <f t="shared" si="9"/>
        <v>79150.47</v>
      </c>
      <c r="V24" s="284">
        <f t="shared" si="10"/>
        <v>79150.47</v>
      </c>
      <c r="W24" s="111"/>
      <c r="X24" s="112">
        <v>82764.0</v>
      </c>
      <c r="Y24" s="109">
        <f t="shared" si="11"/>
        <v>15725.16</v>
      </c>
      <c r="Z24" s="109">
        <f t="shared" si="12"/>
        <v>98489.16</v>
      </c>
      <c r="AA24" s="285">
        <f t="shared" si="13"/>
        <v>98489.16</v>
      </c>
      <c r="AB24" s="286">
        <f t="shared" si="14"/>
        <v>59539.26</v>
      </c>
      <c r="AC24" s="286">
        <f t="shared" si="15"/>
        <v>82764</v>
      </c>
    </row>
    <row r="25" ht="15.75" customHeight="1">
      <c r="A25" s="275"/>
      <c r="B25" s="276">
        <v>17.0</v>
      </c>
      <c r="C25" s="277" t="s">
        <v>99</v>
      </c>
      <c r="D25" s="116" t="s">
        <v>83</v>
      </c>
      <c r="E25" s="278">
        <v>1.0</v>
      </c>
      <c r="F25" s="279"/>
      <c r="G25" s="279"/>
      <c r="H25" s="101"/>
      <c r="I25" s="280">
        <v>66955.59</v>
      </c>
      <c r="J25" s="103">
        <f t="shared" si="2"/>
        <v>12721.5621</v>
      </c>
      <c r="K25" s="103">
        <f t="shared" si="3"/>
        <v>79677.1521</v>
      </c>
      <c r="L25" s="287">
        <f t="shared" si="4"/>
        <v>79677.1521</v>
      </c>
      <c r="M25" s="106"/>
      <c r="N25" s="282">
        <v>81567.0</v>
      </c>
      <c r="O25" s="103">
        <f t="shared" si="5"/>
        <v>15497.73</v>
      </c>
      <c r="P25" s="107">
        <f t="shared" si="6"/>
        <v>97064.73</v>
      </c>
      <c r="Q25" s="281">
        <f t="shared" si="7"/>
        <v>97064.73</v>
      </c>
      <c r="R25" s="106"/>
      <c r="S25" s="112">
        <v>84014.0</v>
      </c>
      <c r="T25" s="109">
        <f t="shared" si="8"/>
        <v>15962.66</v>
      </c>
      <c r="U25" s="109">
        <f t="shared" si="9"/>
        <v>99976.66</v>
      </c>
      <c r="V25" s="284">
        <f t="shared" si="10"/>
        <v>99976.66</v>
      </c>
      <c r="W25" s="111"/>
      <c r="X25" s="112">
        <v>95988.0</v>
      </c>
      <c r="Y25" s="109">
        <f t="shared" si="11"/>
        <v>18237.72</v>
      </c>
      <c r="Z25" s="109">
        <f t="shared" si="12"/>
        <v>114225.72</v>
      </c>
      <c r="AA25" s="285">
        <f t="shared" si="13"/>
        <v>114225.72</v>
      </c>
      <c r="AB25" s="286">
        <f t="shared" si="14"/>
        <v>66955.59</v>
      </c>
      <c r="AC25" s="286">
        <f t="shared" si="15"/>
        <v>95988</v>
      </c>
    </row>
    <row r="26" ht="15.75" customHeight="1">
      <c r="A26" s="275"/>
      <c r="B26" s="276">
        <v>18.0</v>
      </c>
      <c r="C26" s="277" t="s">
        <v>100</v>
      </c>
      <c r="D26" s="116" t="s">
        <v>96</v>
      </c>
      <c r="E26" s="278">
        <v>1.0</v>
      </c>
      <c r="F26" s="279"/>
      <c r="G26" s="279"/>
      <c r="H26" s="101"/>
      <c r="I26" s="280">
        <v>11248.54</v>
      </c>
      <c r="J26" s="103">
        <f t="shared" si="2"/>
        <v>2137.2226</v>
      </c>
      <c r="K26" s="103">
        <f t="shared" si="3"/>
        <v>13385.7626</v>
      </c>
      <c r="L26" s="289">
        <f t="shared" si="4"/>
        <v>13385.7626</v>
      </c>
      <c r="M26" s="106"/>
      <c r="N26" s="282">
        <v>10681.0</v>
      </c>
      <c r="O26" s="103">
        <f t="shared" si="5"/>
        <v>2029.39</v>
      </c>
      <c r="P26" s="107">
        <f t="shared" si="6"/>
        <v>12710.39</v>
      </c>
      <c r="Q26" s="283">
        <f t="shared" si="7"/>
        <v>12710.39</v>
      </c>
      <c r="R26" s="106"/>
      <c r="S26" s="112">
        <v>11001.0</v>
      </c>
      <c r="T26" s="109">
        <f t="shared" si="8"/>
        <v>2090.19</v>
      </c>
      <c r="U26" s="109">
        <f t="shared" si="9"/>
        <v>13091.19</v>
      </c>
      <c r="V26" s="281">
        <f t="shared" si="10"/>
        <v>13091.19</v>
      </c>
      <c r="W26" s="111"/>
      <c r="X26" s="112">
        <v>9918.0</v>
      </c>
      <c r="Y26" s="109">
        <f t="shared" si="11"/>
        <v>1884.42</v>
      </c>
      <c r="Z26" s="109">
        <f t="shared" si="12"/>
        <v>11802.42</v>
      </c>
      <c r="AA26" s="285">
        <f t="shared" si="13"/>
        <v>11802.42</v>
      </c>
      <c r="AB26" s="286">
        <f t="shared" si="14"/>
        <v>9918</v>
      </c>
      <c r="AC26" s="286">
        <f t="shared" si="15"/>
        <v>11248.54</v>
      </c>
    </row>
    <row r="27" ht="15.75" customHeight="1">
      <c r="A27" s="275"/>
      <c r="B27" s="276">
        <v>19.0</v>
      </c>
      <c r="C27" s="277" t="s">
        <v>101</v>
      </c>
      <c r="D27" s="116" t="s">
        <v>102</v>
      </c>
      <c r="E27" s="278">
        <v>1.0</v>
      </c>
      <c r="F27" s="279"/>
      <c r="G27" s="279"/>
      <c r="H27" s="101"/>
      <c r="I27" s="280">
        <v>14730.23</v>
      </c>
      <c r="J27" s="103">
        <f t="shared" si="2"/>
        <v>2798.7437</v>
      </c>
      <c r="K27" s="103">
        <f t="shared" si="3"/>
        <v>17528.9737</v>
      </c>
      <c r="L27" s="281">
        <f t="shared" si="4"/>
        <v>17528.9737</v>
      </c>
      <c r="M27" s="106"/>
      <c r="N27" s="282">
        <v>14384.0</v>
      </c>
      <c r="O27" s="103">
        <f t="shared" si="5"/>
        <v>2732.96</v>
      </c>
      <c r="P27" s="107">
        <f t="shared" si="6"/>
        <v>17116.96</v>
      </c>
      <c r="Q27" s="283">
        <f t="shared" si="7"/>
        <v>17116.96</v>
      </c>
      <c r="R27" s="106"/>
      <c r="S27" s="112">
        <v>14816.0</v>
      </c>
      <c r="T27" s="109">
        <f t="shared" si="8"/>
        <v>2815.04</v>
      </c>
      <c r="U27" s="109">
        <f t="shared" si="9"/>
        <v>17631.04</v>
      </c>
      <c r="V27" s="284">
        <f t="shared" si="10"/>
        <v>17631.04</v>
      </c>
      <c r="W27" s="111"/>
      <c r="X27" s="112">
        <v>15811.8</v>
      </c>
      <c r="Y27" s="109">
        <f t="shared" si="11"/>
        <v>3004.242</v>
      </c>
      <c r="Z27" s="109">
        <f t="shared" si="12"/>
        <v>18816.042</v>
      </c>
      <c r="AA27" s="285">
        <f t="shared" si="13"/>
        <v>18816.042</v>
      </c>
      <c r="AB27" s="286">
        <f t="shared" si="14"/>
        <v>14384</v>
      </c>
      <c r="AC27" s="286">
        <f t="shared" si="15"/>
        <v>15811.8</v>
      </c>
    </row>
    <row r="28" ht="15.75" customHeight="1">
      <c r="A28" s="275"/>
      <c r="B28" s="276">
        <v>20.0</v>
      </c>
      <c r="C28" s="277" t="s">
        <v>103</v>
      </c>
      <c r="D28" s="116" t="s">
        <v>102</v>
      </c>
      <c r="E28" s="278">
        <v>1.0</v>
      </c>
      <c r="F28" s="279"/>
      <c r="G28" s="279"/>
      <c r="H28" s="101"/>
      <c r="I28" s="280">
        <v>10043.34</v>
      </c>
      <c r="J28" s="103">
        <f t="shared" si="2"/>
        <v>1908.2346</v>
      </c>
      <c r="K28" s="103">
        <f t="shared" si="3"/>
        <v>11951.5746</v>
      </c>
      <c r="L28" s="289">
        <f t="shared" si="4"/>
        <v>11951.5746</v>
      </c>
      <c r="M28" s="106"/>
      <c r="N28" s="282">
        <v>9545.0</v>
      </c>
      <c r="O28" s="103">
        <f t="shared" si="5"/>
        <v>1813.55</v>
      </c>
      <c r="P28" s="107">
        <f t="shared" si="6"/>
        <v>11358.55</v>
      </c>
      <c r="Q28" s="283">
        <f t="shared" si="7"/>
        <v>11358.55</v>
      </c>
      <c r="R28" s="106"/>
      <c r="S28" s="112">
        <v>9831.0</v>
      </c>
      <c r="T28" s="109">
        <f t="shared" si="8"/>
        <v>1867.89</v>
      </c>
      <c r="U28" s="109">
        <f t="shared" si="9"/>
        <v>11698.89</v>
      </c>
      <c r="V28" s="281">
        <f t="shared" si="10"/>
        <v>11698.89</v>
      </c>
      <c r="W28" s="111"/>
      <c r="X28" s="112">
        <v>16074.0</v>
      </c>
      <c r="Y28" s="109">
        <f t="shared" si="11"/>
        <v>3054.06</v>
      </c>
      <c r="Z28" s="109">
        <f t="shared" si="12"/>
        <v>19128.06</v>
      </c>
      <c r="AA28" s="285">
        <f t="shared" si="13"/>
        <v>19128.06</v>
      </c>
      <c r="AB28" s="286">
        <f t="shared" si="14"/>
        <v>9545</v>
      </c>
      <c r="AC28" s="286">
        <f t="shared" si="15"/>
        <v>16074</v>
      </c>
    </row>
    <row r="29" ht="15.75" customHeight="1">
      <c r="A29" s="101"/>
      <c r="B29" s="276">
        <v>21.0</v>
      </c>
      <c r="C29" s="277" t="s">
        <v>104</v>
      </c>
      <c r="D29" s="116" t="s">
        <v>102</v>
      </c>
      <c r="E29" s="278">
        <v>1.0</v>
      </c>
      <c r="F29" s="279"/>
      <c r="G29" s="279"/>
      <c r="H29" s="101"/>
      <c r="I29" s="280">
        <v>11114.63</v>
      </c>
      <c r="J29" s="103">
        <f t="shared" si="2"/>
        <v>2111.7797</v>
      </c>
      <c r="K29" s="103">
        <f t="shared" si="3"/>
        <v>13226.4097</v>
      </c>
      <c r="L29" s="289">
        <f t="shared" si="4"/>
        <v>13226.4097</v>
      </c>
      <c r="M29" s="106"/>
      <c r="N29" s="282">
        <v>10563.0</v>
      </c>
      <c r="O29" s="103">
        <f t="shared" si="5"/>
        <v>2006.97</v>
      </c>
      <c r="P29" s="107">
        <f t="shared" si="6"/>
        <v>12569.97</v>
      </c>
      <c r="Q29" s="283">
        <f t="shared" si="7"/>
        <v>12569.97</v>
      </c>
      <c r="R29" s="106"/>
      <c r="S29" s="112">
        <v>10880.0</v>
      </c>
      <c r="T29" s="109">
        <f t="shared" si="8"/>
        <v>2067.2</v>
      </c>
      <c r="U29" s="109">
        <f t="shared" si="9"/>
        <v>12947.2</v>
      </c>
      <c r="V29" s="281">
        <f t="shared" si="10"/>
        <v>12947.2</v>
      </c>
      <c r="W29" s="111"/>
      <c r="X29" s="112">
        <v>9918.0</v>
      </c>
      <c r="Y29" s="109">
        <f t="shared" si="11"/>
        <v>1884.42</v>
      </c>
      <c r="Z29" s="109">
        <f t="shared" si="12"/>
        <v>11802.42</v>
      </c>
      <c r="AA29" s="285">
        <f t="shared" si="13"/>
        <v>11802.42</v>
      </c>
      <c r="AB29" s="286">
        <f t="shared" si="14"/>
        <v>9918</v>
      </c>
      <c r="AC29" s="286">
        <f t="shared" si="15"/>
        <v>11114.63</v>
      </c>
    </row>
    <row r="30" ht="15.75" customHeight="1">
      <c r="A30" s="101"/>
      <c r="B30" s="276">
        <v>22.0</v>
      </c>
      <c r="C30" s="277" t="s">
        <v>105</v>
      </c>
      <c r="D30" s="116" t="s">
        <v>102</v>
      </c>
      <c r="E30" s="278">
        <v>1.0</v>
      </c>
      <c r="F30" s="279"/>
      <c r="G30" s="279"/>
      <c r="H30" s="101"/>
      <c r="I30" s="280">
        <v>19149.3</v>
      </c>
      <c r="J30" s="103">
        <f t="shared" si="2"/>
        <v>3638.367</v>
      </c>
      <c r="K30" s="103">
        <f t="shared" si="3"/>
        <v>22787.667</v>
      </c>
      <c r="L30" s="289">
        <f t="shared" si="4"/>
        <v>22787.667</v>
      </c>
      <c r="M30" s="106"/>
      <c r="N30" s="282">
        <v>18223.0</v>
      </c>
      <c r="O30" s="103">
        <f t="shared" si="5"/>
        <v>3462.37</v>
      </c>
      <c r="P30" s="107">
        <f t="shared" si="6"/>
        <v>21685.37</v>
      </c>
      <c r="Q30" s="283">
        <f t="shared" si="7"/>
        <v>21685.37</v>
      </c>
      <c r="R30" s="106"/>
      <c r="S30" s="112">
        <v>18770.0</v>
      </c>
      <c r="T30" s="109">
        <f t="shared" si="8"/>
        <v>3566.3</v>
      </c>
      <c r="U30" s="109">
        <f t="shared" si="9"/>
        <v>22336.3</v>
      </c>
      <c r="V30" s="281">
        <f t="shared" si="10"/>
        <v>22336.3</v>
      </c>
      <c r="W30" s="111"/>
      <c r="X30" s="112">
        <v>11172.0</v>
      </c>
      <c r="Y30" s="109">
        <f t="shared" si="11"/>
        <v>2122.68</v>
      </c>
      <c r="Z30" s="109">
        <f t="shared" si="12"/>
        <v>13294.68</v>
      </c>
      <c r="AA30" s="285">
        <f t="shared" si="13"/>
        <v>13294.68</v>
      </c>
      <c r="AB30" s="286">
        <f t="shared" si="14"/>
        <v>11172</v>
      </c>
      <c r="AC30" s="286">
        <f t="shared" si="15"/>
        <v>19149.3</v>
      </c>
    </row>
    <row r="31" ht="15.75" customHeight="1">
      <c r="A31" s="101"/>
      <c r="B31" s="276">
        <v>23.0</v>
      </c>
      <c r="C31" s="277" t="s">
        <v>106</v>
      </c>
      <c r="D31" s="116" t="s">
        <v>94</v>
      </c>
      <c r="E31" s="278">
        <v>1.0</v>
      </c>
      <c r="F31" s="279"/>
      <c r="G31" s="279"/>
      <c r="H31" s="101"/>
      <c r="I31" s="280">
        <v>10445.07</v>
      </c>
      <c r="J31" s="103">
        <f t="shared" si="2"/>
        <v>1984.5633</v>
      </c>
      <c r="K31" s="103">
        <f t="shared" si="3"/>
        <v>12429.6333</v>
      </c>
      <c r="L31" s="287">
        <f t="shared" si="4"/>
        <v>12429.6333</v>
      </c>
      <c r="M31" s="106"/>
      <c r="N31" s="282">
        <v>17800.0</v>
      </c>
      <c r="O31" s="103">
        <f t="shared" si="5"/>
        <v>3382</v>
      </c>
      <c r="P31" s="107">
        <f t="shared" si="6"/>
        <v>21182</v>
      </c>
      <c r="Q31" s="281">
        <f t="shared" si="7"/>
        <v>21182</v>
      </c>
      <c r="R31" s="106"/>
      <c r="S31" s="112">
        <v>18334.0</v>
      </c>
      <c r="T31" s="109">
        <f t="shared" si="8"/>
        <v>3483.46</v>
      </c>
      <c r="U31" s="109">
        <f t="shared" si="9"/>
        <v>21817.46</v>
      </c>
      <c r="V31" s="284">
        <f t="shared" si="10"/>
        <v>21817.46</v>
      </c>
      <c r="W31" s="111"/>
      <c r="X31" s="112">
        <v>20064.0</v>
      </c>
      <c r="Y31" s="109">
        <f t="shared" si="11"/>
        <v>3812.16</v>
      </c>
      <c r="Z31" s="109">
        <f t="shared" si="12"/>
        <v>23876.16</v>
      </c>
      <c r="AA31" s="285">
        <f t="shared" si="13"/>
        <v>23876.16</v>
      </c>
      <c r="AB31" s="286">
        <f t="shared" si="14"/>
        <v>10445.07</v>
      </c>
      <c r="AC31" s="286">
        <f t="shared" si="15"/>
        <v>20064</v>
      </c>
    </row>
    <row r="32" ht="15.75" customHeight="1">
      <c r="A32" s="101"/>
      <c r="B32" s="276"/>
      <c r="C32" s="277" t="s">
        <v>107</v>
      </c>
      <c r="D32" s="116" t="s">
        <v>94</v>
      </c>
      <c r="E32" s="278">
        <v>1.0</v>
      </c>
      <c r="F32" s="279"/>
      <c r="G32" s="279"/>
      <c r="H32" s="101"/>
      <c r="I32" s="280">
        <v>19845.64</v>
      </c>
      <c r="J32" s="103">
        <f t="shared" si="2"/>
        <v>3770.6716</v>
      </c>
      <c r="K32" s="103">
        <f t="shared" si="3"/>
        <v>23616.3116</v>
      </c>
      <c r="L32" s="289">
        <f t="shared" si="4"/>
        <v>23616.3116</v>
      </c>
      <c r="M32" s="106"/>
      <c r="N32" s="282">
        <v>14870.0</v>
      </c>
      <c r="O32" s="103">
        <f t="shared" si="5"/>
        <v>2825.3</v>
      </c>
      <c r="P32" s="107">
        <f t="shared" si="6"/>
        <v>17695.3</v>
      </c>
      <c r="Q32" s="283">
        <f t="shared" si="7"/>
        <v>17695.3</v>
      </c>
      <c r="R32" s="106"/>
      <c r="S32" s="112">
        <v>15316.0</v>
      </c>
      <c r="T32" s="109">
        <f t="shared" si="8"/>
        <v>2910.04</v>
      </c>
      <c r="U32" s="109">
        <f t="shared" si="9"/>
        <v>18226.04</v>
      </c>
      <c r="V32" s="281">
        <f t="shared" si="10"/>
        <v>18226.04</v>
      </c>
      <c r="W32" s="111"/>
      <c r="X32" s="112">
        <v>22344.0</v>
      </c>
      <c r="Y32" s="109">
        <f t="shared" si="11"/>
        <v>4245.36</v>
      </c>
      <c r="Z32" s="109">
        <f t="shared" si="12"/>
        <v>26589.36</v>
      </c>
      <c r="AA32" s="285">
        <f t="shared" si="13"/>
        <v>26589.36</v>
      </c>
      <c r="AB32" s="286">
        <f t="shared" si="14"/>
        <v>14870</v>
      </c>
      <c r="AC32" s="286">
        <f t="shared" si="15"/>
        <v>22344</v>
      </c>
    </row>
    <row r="33" ht="15.75" customHeight="1">
      <c r="A33" s="101"/>
      <c r="B33" s="276">
        <v>24.0</v>
      </c>
      <c r="C33" s="277" t="s">
        <v>108</v>
      </c>
      <c r="D33" s="116" t="s">
        <v>83</v>
      </c>
      <c r="E33" s="278">
        <v>1.0</v>
      </c>
      <c r="F33" s="279"/>
      <c r="G33" s="279"/>
      <c r="H33" s="101"/>
      <c r="I33" s="280">
        <v>5382.08</v>
      </c>
      <c r="J33" s="103">
        <f t="shared" si="2"/>
        <v>1022.5952</v>
      </c>
      <c r="K33" s="103">
        <f t="shared" si="3"/>
        <v>6404.6752</v>
      </c>
      <c r="L33" s="289">
        <f t="shared" si="4"/>
        <v>6404.6752</v>
      </c>
      <c r="M33" s="106"/>
      <c r="N33" s="282">
        <v>5145.0</v>
      </c>
      <c r="O33" s="103">
        <f t="shared" si="5"/>
        <v>977.55</v>
      </c>
      <c r="P33" s="107">
        <f t="shared" si="6"/>
        <v>6122.55</v>
      </c>
      <c r="Q33" s="283">
        <f t="shared" si="7"/>
        <v>6122.55</v>
      </c>
      <c r="R33" s="106"/>
      <c r="S33" s="112">
        <v>5299.0</v>
      </c>
      <c r="T33" s="109">
        <f t="shared" si="8"/>
        <v>1006.81</v>
      </c>
      <c r="U33" s="109">
        <f t="shared" si="9"/>
        <v>6305.81</v>
      </c>
      <c r="V33" s="281">
        <f t="shared" si="10"/>
        <v>6305.81</v>
      </c>
      <c r="W33" s="111"/>
      <c r="X33" s="112">
        <v>7638.0</v>
      </c>
      <c r="Y33" s="109">
        <f t="shared" si="11"/>
        <v>1451.22</v>
      </c>
      <c r="Z33" s="109">
        <f t="shared" si="12"/>
        <v>9089.22</v>
      </c>
      <c r="AA33" s="285">
        <f t="shared" si="13"/>
        <v>9089.22</v>
      </c>
      <c r="AB33" s="286">
        <f t="shared" si="14"/>
        <v>5145</v>
      </c>
      <c r="AC33" s="286">
        <f t="shared" si="15"/>
        <v>7638</v>
      </c>
    </row>
    <row r="34" ht="15.75" customHeight="1">
      <c r="A34" s="101"/>
      <c r="B34" s="276">
        <v>25.0</v>
      </c>
      <c r="C34" s="277" t="s">
        <v>109</v>
      </c>
      <c r="D34" s="116" t="s">
        <v>83</v>
      </c>
      <c r="E34" s="278">
        <v>1.0</v>
      </c>
      <c r="F34" s="279"/>
      <c r="G34" s="279"/>
      <c r="H34" s="101"/>
      <c r="I34" s="280">
        <v>4285.16</v>
      </c>
      <c r="J34" s="103">
        <f t="shared" si="2"/>
        <v>814.1804</v>
      </c>
      <c r="K34" s="103">
        <f t="shared" si="3"/>
        <v>5099.3404</v>
      </c>
      <c r="L34" s="287">
        <f t="shared" si="4"/>
        <v>5099.3404</v>
      </c>
      <c r="M34" s="106"/>
      <c r="N34" s="282">
        <v>4835.0</v>
      </c>
      <c r="O34" s="103">
        <f t="shared" si="5"/>
        <v>918.65</v>
      </c>
      <c r="P34" s="107">
        <f t="shared" si="6"/>
        <v>5753.65</v>
      </c>
      <c r="Q34" s="281">
        <f t="shared" si="7"/>
        <v>5753.65</v>
      </c>
      <c r="R34" s="106"/>
      <c r="S34" s="112">
        <v>4980.0</v>
      </c>
      <c r="T34" s="109">
        <f t="shared" si="8"/>
        <v>946.2</v>
      </c>
      <c r="U34" s="109">
        <f t="shared" si="9"/>
        <v>5926.2</v>
      </c>
      <c r="V34" s="284">
        <f t="shared" si="10"/>
        <v>5926.2</v>
      </c>
      <c r="W34" s="111"/>
      <c r="X34" s="112">
        <v>5472.0</v>
      </c>
      <c r="Y34" s="109">
        <f t="shared" si="11"/>
        <v>1039.68</v>
      </c>
      <c r="Z34" s="109">
        <f t="shared" si="12"/>
        <v>6511.68</v>
      </c>
      <c r="AA34" s="285">
        <f t="shared" si="13"/>
        <v>6511.68</v>
      </c>
      <c r="AB34" s="286">
        <f t="shared" si="14"/>
        <v>4285.16</v>
      </c>
      <c r="AC34" s="286">
        <f t="shared" si="15"/>
        <v>5472</v>
      </c>
    </row>
    <row r="35" ht="15.75" customHeight="1">
      <c r="A35" s="101"/>
      <c r="B35" s="276">
        <v>26.0</v>
      </c>
      <c r="C35" s="277" t="s">
        <v>110</v>
      </c>
      <c r="D35" s="116" t="s">
        <v>111</v>
      </c>
      <c r="E35" s="278">
        <v>1.0</v>
      </c>
      <c r="F35" s="279"/>
      <c r="G35" s="279"/>
      <c r="H35" s="101"/>
      <c r="I35" s="280">
        <v>1138.25</v>
      </c>
      <c r="J35" s="103">
        <f t="shared" si="2"/>
        <v>216.2675</v>
      </c>
      <c r="K35" s="103">
        <f t="shared" si="3"/>
        <v>1354.5175</v>
      </c>
      <c r="L35" s="287">
        <f t="shared" si="4"/>
        <v>1354.5175</v>
      </c>
      <c r="M35" s="106"/>
      <c r="N35" s="282">
        <v>1251.0</v>
      </c>
      <c r="O35" s="103">
        <f t="shared" si="5"/>
        <v>237.69</v>
      </c>
      <c r="P35" s="107">
        <f t="shared" si="6"/>
        <v>1488.69</v>
      </c>
      <c r="Q35" s="281">
        <f t="shared" si="7"/>
        <v>1488.69</v>
      </c>
      <c r="R35" s="106"/>
      <c r="S35" s="112">
        <v>1289.0</v>
      </c>
      <c r="T35" s="109">
        <f t="shared" si="8"/>
        <v>244.91</v>
      </c>
      <c r="U35" s="109">
        <f t="shared" si="9"/>
        <v>1533.91</v>
      </c>
      <c r="V35" s="284">
        <f t="shared" si="10"/>
        <v>1533.91</v>
      </c>
      <c r="W35" s="111"/>
      <c r="X35" s="112">
        <v>1276.8</v>
      </c>
      <c r="Y35" s="109">
        <f t="shared" si="11"/>
        <v>242.592</v>
      </c>
      <c r="Z35" s="109">
        <f t="shared" si="12"/>
        <v>1519.392</v>
      </c>
      <c r="AA35" s="285">
        <f t="shared" si="13"/>
        <v>1519.392</v>
      </c>
      <c r="AB35" s="286">
        <f t="shared" si="14"/>
        <v>1138.25</v>
      </c>
      <c r="AC35" s="286">
        <f t="shared" si="15"/>
        <v>1289</v>
      </c>
    </row>
    <row r="36" ht="15.75" customHeight="1">
      <c r="A36" s="101"/>
      <c r="B36" s="276">
        <v>27.0</v>
      </c>
      <c r="C36" s="277" t="s">
        <v>112</v>
      </c>
      <c r="D36" s="116" t="s">
        <v>111</v>
      </c>
      <c r="E36" s="278">
        <v>1.0</v>
      </c>
      <c r="F36" s="279"/>
      <c r="G36" s="279"/>
      <c r="H36" s="101"/>
      <c r="I36" s="280">
        <v>1231.98</v>
      </c>
      <c r="J36" s="103">
        <f t="shared" si="2"/>
        <v>234.0762</v>
      </c>
      <c r="K36" s="103">
        <f t="shared" si="3"/>
        <v>1466.0562</v>
      </c>
      <c r="L36" s="287">
        <f t="shared" si="4"/>
        <v>1466.0562</v>
      </c>
      <c r="M36" s="106"/>
      <c r="N36" s="282">
        <v>1320.0</v>
      </c>
      <c r="O36" s="103">
        <f t="shared" si="5"/>
        <v>250.8</v>
      </c>
      <c r="P36" s="107">
        <f t="shared" si="6"/>
        <v>1570.8</v>
      </c>
      <c r="Q36" s="281">
        <f t="shared" si="7"/>
        <v>1570.8</v>
      </c>
      <c r="R36" s="106"/>
      <c r="S36" s="112">
        <v>1360.0</v>
      </c>
      <c r="T36" s="109">
        <f t="shared" si="8"/>
        <v>258.4</v>
      </c>
      <c r="U36" s="109">
        <f t="shared" si="9"/>
        <v>1618.4</v>
      </c>
      <c r="V36" s="284">
        <f t="shared" si="10"/>
        <v>1618.4</v>
      </c>
      <c r="W36" s="111"/>
      <c r="X36" s="112">
        <v>1459.2</v>
      </c>
      <c r="Y36" s="109">
        <f t="shared" si="11"/>
        <v>277.248</v>
      </c>
      <c r="Z36" s="109">
        <f t="shared" si="12"/>
        <v>1736.448</v>
      </c>
      <c r="AA36" s="285">
        <f t="shared" si="13"/>
        <v>1736.448</v>
      </c>
      <c r="AB36" s="286">
        <f t="shared" si="14"/>
        <v>1231.98</v>
      </c>
      <c r="AC36" s="286">
        <f t="shared" si="15"/>
        <v>1459.2</v>
      </c>
    </row>
    <row r="37" ht="15.75" customHeight="1">
      <c r="A37" s="101"/>
      <c r="B37" s="276">
        <v>28.0</v>
      </c>
      <c r="C37" s="277" t="s">
        <v>113</v>
      </c>
      <c r="D37" s="116" t="s">
        <v>96</v>
      </c>
      <c r="E37" s="278">
        <v>1.0</v>
      </c>
      <c r="F37" s="279"/>
      <c r="G37" s="279"/>
      <c r="H37" s="101"/>
      <c r="I37" s="280">
        <v>6323.94</v>
      </c>
      <c r="J37" s="103">
        <f t="shared" si="2"/>
        <v>1201.5486</v>
      </c>
      <c r="K37" s="103">
        <f t="shared" si="3"/>
        <v>7525.4886</v>
      </c>
      <c r="L37" s="289">
        <f t="shared" si="4"/>
        <v>7525.4886</v>
      </c>
      <c r="M37" s="106"/>
      <c r="N37" s="282">
        <v>6019.0</v>
      </c>
      <c r="O37" s="103">
        <f t="shared" si="5"/>
        <v>1143.61</v>
      </c>
      <c r="P37" s="107">
        <f t="shared" si="6"/>
        <v>7162.61</v>
      </c>
      <c r="Q37" s="283">
        <f t="shared" si="7"/>
        <v>7162.61</v>
      </c>
      <c r="R37" s="106"/>
      <c r="S37" s="112">
        <v>6200.0</v>
      </c>
      <c r="T37" s="109">
        <f t="shared" si="8"/>
        <v>1178</v>
      </c>
      <c r="U37" s="109">
        <f t="shared" si="9"/>
        <v>7378</v>
      </c>
      <c r="V37" s="281">
        <f t="shared" si="10"/>
        <v>7378</v>
      </c>
      <c r="W37" s="111"/>
      <c r="X37" s="112">
        <v>6384.0</v>
      </c>
      <c r="Y37" s="109">
        <f t="shared" si="11"/>
        <v>1212.96</v>
      </c>
      <c r="Z37" s="109">
        <f t="shared" si="12"/>
        <v>7596.96</v>
      </c>
      <c r="AA37" s="285">
        <f t="shared" si="13"/>
        <v>7596.96</v>
      </c>
      <c r="AB37" s="286">
        <f t="shared" si="14"/>
        <v>6019</v>
      </c>
      <c r="AC37" s="286">
        <f t="shared" si="15"/>
        <v>6384</v>
      </c>
    </row>
    <row r="38" ht="15.75" customHeight="1">
      <c r="A38" s="101"/>
      <c r="B38" s="276">
        <v>29.0</v>
      </c>
      <c r="C38" s="277" t="s">
        <v>114</v>
      </c>
      <c r="D38" s="116" t="s">
        <v>83</v>
      </c>
      <c r="E38" s="278">
        <v>1.0</v>
      </c>
      <c r="F38" s="279"/>
      <c r="G38" s="279"/>
      <c r="H38" s="101"/>
      <c r="I38" s="280">
        <v>49616.05</v>
      </c>
      <c r="J38" s="103">
        <f t="shared" si="2"/>
        <v>9427.0495</v>
      </c>
      <c r="K38" s="103">
        <f t="shared" si="3"/>
        <v>59043.0995</v>
      </c>
      <c r="L38" s="281">
        <f t="shared" si="4"/>
        <v>59043.0995</v>
      </c>
      <c r="M38" s="106"/>
      <c r="N38" s="282">
        <v>48363.0</v>
      </c>
      <c r="O38" s="103">
        <f t="shared" si="5"/>
        <v>9188.97</v>
      </c>
      <c r="P38" s="107">
        <f t="shared" si="6"/>
        <v>57551.97</v>
      </c>
      <c r="Q38" s="283">
        <f t="shared" si="7"/>
        <v>57551.97</v>
      </c>
      <c r="R38" s="106"/>
      <c r="S38" s="112">
        <v>49814.0</v>
      </c>
      <c r="T38" s="109">
        <f t="shared" si="8"/>
        <v>9464.66</v>
      </c>
      <c r="U38" s="109">
        <f t="shared" si="9"/>
        <v>59278.66</v>
      </c>
      <c r="V38" s="284">
        <f t="shared" si="10"/>
        <v>59278.66</v>
      </c>
      <c r="W38" s="111"/>
      <c r="X38" s="112">
        <v>48564.0</v>
      </c>
      <c r="Y38" s="109">
        <f t="shared" si="11"/>
        <v>9227.16</v>
      </c>
      <c r="Z38" s="109">
        <f t="shared" si="12"/>
        <v>57791.16</v>
      </c>
      <c r="AA38" s="285">
        <f t="shared" si="13"/>
        <v>57791.16</v>
      </c>
      <c r="AB38" s="286">
        <f t="shared" si="14"/>
        <v>48363</v>
      </c>
      <c r="AC38" s="286">
        <f t="shared" si="15"/>
        <v>49814</v>
      </c>
    </row>
    <row r="39" ht="15.75" customHeight="1">
      <c r="A39" s="101"/>
      <c r="B39" s="276">
        <v>30.0</v>
      </c>
      <c r="C39" s="277" t="s">
        <v>115</v>
      </c>
      <c r="D39" s="116" t="s">
        <v>116</v>
      </c>
      <c r="E39" s="278">
        <v>1.0</v>
      </c>
      <c r="F39" s="279"/>
      <c r="G39" s="279"/>
      <c r="H39" s="101"/>
      <c r="I39" s="280">
        <v>7232.17</v>
      </c>
      <c r="J39" s="103">
        <f t="shared" si="2"/>
        <v>1374.1123</v>
      </c>
      <c r="K39" s="103">
        <f t="shared" si="3"/>
        <v>8606.2823</v>
      </c>
      <c r="L39" s="289">
        <f t="shared" si="4"/>
        <v>8606.2823</v>
      </c>
      <c r="M39" s="106"/>
      <c r="N39" s="282">
        <v>5836.0</v>
      </c>
      <c r="O39" s="103">
        <f t="shared" si="5"/>
        <v>1108.84</v>
      </c>
      <c r="P39" s="107">
        <f t="shared" si="6"/>
        <v>6944.84</v>
      </c>
      <c r="Q39" s="283">
        <f t="shared" si="7"/>
        <v>6944.84</v>
      </c>
      <c r="R39" s="106"/>
      <c r="S39" s="112">
        <v>6011.0</v>
      </c>
      <c r="T39" s="109">
        <f t="shared" si="8"/>
        <v>1142.09</v>
      </c>
      <c r="U39" s="109">
        <f t="shared" si="9"/>
        <v>7153.09</v>
      </c>
      <c r="V39" s="281">
        <f t="shared" si="10"/>
        <v>7153.09</v>
      </c>
      <c r="W39" s="111"/>
      <c r="X39" s="112">
        <v>4765.2</v>
      </c>
      <c r="Y39" s="109">
        <f t="shared" si="11"/>
        <v>905.388</v>
      </c>
      <c r="Z39" s="109">
        <f t="shared" si="12"/>
        <v>5670.588</v>
      </c>
      <c r="AA39" s="285">
        <f t="shared" si="13"/>
        <v>5670.588</v>
      </c>
      <c r="AB39" s="286">
        <f t="shared" si="14"/>
        <v>4765.2</v>
      </c>
      <c r="AC39" s="286">
        <f t="shared" si="15"/>
        <v>7232.17</v>
      </c>
    </row>
    <row r="40" ht="15.75" customHeight="1">
      <c r="A40" s="101"/>
      <c r="B40" s="276">
        <v>31.0</v>
      </c>
      <c r="C40" s="277" t="s">
        <v>117</v>
      </c>
      <c r="D40" s="116" t="s">
        <v>96</v>
      </c>
      <c r="E40" s="278">
        <v>1.0</v>
      </c>
      <c r="F40" s="279"/>
      <c r="G40" s="279"/>
      <c r="H40" s="101"/>
      <c r="I40" s="280">
        <v>4017.34</v>
      </c>
      <c r="J40" s="103">
        <f t="shared" si="2"/>
        <v>763.2946</v>
      </c>
      <c r="K40" s="103">
        <f t="shared" si="3"/>
        <v>4780.6346</v>
      </c>
      <c r="L40" s="287">
        <f t="shared" si="4"/>
        <v>4780.6346</v>
      </c>
      <c r="M40" s="106"/>
      <c r="N40" s="282">
        <v>4116.0</v>
      </c>
      <c r="O40" s="103">
        <f t="shared" si="5"/>
        <v>782.04</v>
      </c>
      <c r="P40" s="107">
        <f t="shared" si="6"/>
        <v>4898.04</v>
      </c>
      <c r="Q40" s="281">
        <f t="shared" si="7"/>
        <v>4898.04</v>
      </c>
      <c r="R40" s="106"/>
      <c r="S40" s="112">
        <v>4239.0</v>
      </c>
      <c r="T40" s="109">
        <f t="shared" si="8"/>
        <v>805.41</v>
      </c>
      <c r="U40" s="109">
        <f t="shared" si="9"/>
        <v>5044.41</v>
      </c>
      <c r="V40" s="284">
        <f t="shared" si="10"/>
        <v>5044.41</v>
      </c>
      <c r="W40" s="111"/>
      <c r="X40" s="112">
        <v>4446.0</v>
      </c>
      <c r="Y40" s="109">
        <f t="shared" si="11"/>
        <v>844.74</v>
      </c>
      <c r="Z40" s="109">
        <f t="shared" si="12"/>
        <v>5290.74</v>
      </c>
      <c r="AA40" s="285">
        <f t="shared" si="13"/>
        <v>5290.74</v>
      </c>
      <c r="AB40" s="286">
        <f t="shared" si="14"/>
        <v>4017.34</v>
      </c>
      <c r="AC40" s="286">
        <f t="shared" si="15"/>
        <v>4446</v>
      </c>
    </row>
    <row r="41" ht="15.75" customHeight="1">
      <c r="A41" s="101"/>
      <c r="B41" s="276">
        <v>32.0</v>
      </c>
      <c r="C41" s="277" t="s">
        <v>118</v>
      </c>
      <c r="D41" s="116" t="s">
        <v>83</v>
      </c>
      <c r="E41" s="278">
        <v>1.0</v>
      </c>
      <c r="F41" s="279"/>
      <c r="G41" s="279"/>
      <c r="H41" s="101"/>
      <c r="I41" s="280">
        <v>14730.23</v>
      </c>
      <c r="J41" s="103">
        <f t="shared" si="2"/>
        <v>2798.7437</v>
      </c>
      <c r="K41" s="103">
        <f t="shared" si="3"/>
        <v>17528.9737</v>
      </c>
      <c r="L41" s="287">
        <f t="shared" si="4"/>
        <v>17528.9737</v>
      </c>
      <c r="M41" s="106"/>
      <c r="N41" s="112">
        <v>17653.0</v>
      </c>
      <c r="O41" s="103">
        <f t="shared" si="5"/>
        <v>3354.07</v>
      </c>
      <c r="P41" s="107">
        <f t="shared" si="6"/>
        <v>21007.07</v>
      </c>
      <c r="Q41" s="281">
        <f t="shared" si="7"/>
        <v>21007.07</v>
      </c>
      <c r="R41" s="106"/>
      <c r="S41" s="112">
        <v>18183.0</v>
      </c>
      <c r="T41" s="109">
        <f t="shared" si="8"/>
        <v>3454.77</v>
      </c>
      <c r="U41" s="109">
        <f t="shared" si="9"/>
        <v>21637.77</v>
      </c>
      <c r="V41" s="284">
        <f t="shared" si="10"/>
        <v>21637.77</v>
      </c>
      <c r="W41" s="111"/>
      <c r="X41" s="112">
        <v>19836.0</v>
      </c>
      <c r="Y41" s="109">
        <f t="shared" si="11"/>
        <v>3768.84</v>
      </c>
      <c r="Z41" s="109">
        <f t="shared" si="12"/>
        <v>23604.84</v>
      </c>
      <c r="AA41" s="285">
        <f t="shared" si="13"/>
        <v>23604.84</v>
      </c>
      <c r="AB41" s="286">
        <f t="shared" si="14"/>
        <v>14730.23</v>
      </c>
      <c r="AC41" s="286">
        <f t="shared" si="15"/>
        <v>19836</v>
      </c>
    </row>
    <row r="42" ht="15.75" customHeight="1">
      <c r="A42" s="101"/>
      <c r="B42" s="276">
        <v>33.0</v>
      </c>
      <c r="C42" s="277" t="s">
        <v>119</v>
      </c>
      <c r="D42" s="116" t="s">
        <v>96</v>
      </c>
      <c r="E42" s="278">
        <v>1.0</v>
      </c>
      <c r="F42" s="279"/>
      <c r="G42" s="279"/>
      <c r="H42" s="101"/>
      <c r="I42" s="280">
        <v>18747.57</v>
      </c>
      <c r="J42" s="103">
        <f t="shared" si="2"/>
        <v>3562.0383</v>
      </c>
      <c r="K42" s="103">
        <f t="shared" si="3"/>
        <v>22309.6083</v>
      </c>
      <c r="L42" s="287">
        <f t="shared" si="4"/>
        <v>22309.6083</v>
      </c>
      <c r="M42" s="106"/>
      <c r="N42" s="112">
        <v>20338.0</v>
      </c>
      <c r="O42" s="103">
        <f t="shared" si="5"/>
        <v>3864.22</v>
      </c>
      <c r="P42" s="107">
        <f t="shared" si="6"/>
        <v>24202.22</v>
      </c>
      <c r="Q42" s="281">
        <f t="shared" si="7"/>
        <v>24202.22</v>
      </c>
      <c r="R42" s="106"/>
      <c r="S42" s="112">
        <v>20948.0</v>
      </c>
      <c r="T42" s="109">
        <f t="shared" si="8"/>
        <v>3980.12</v>
      </c>
      <c r="U42" s="109">
        <f t="shared" si="9"/>
        <v>24928.12</v>
      </c>
      <c r="V42" s="284">
        <f t="shared" si="10"/>
        <v>24928.12</v>
      </c>
      <c r="W42" s="111"/>
      <c r="X42" s="112">
        <v>24624.0</v>
      </c>
      <c r="Y42" s="109">
        <f t="shared" si="11"/>
        <v>4678.56</v>
      </c>
      <c r="Z42" s="109">
        <f t="shared" si="12"/>
        <v>29302.56</v>
      </c>
      <c r="AA42" s="285">
        <f t="shared" si="13"/>
        <v>29302.56</v>
      </c>
      <c r="AB42" s="286">
        <f t="shared" si="14"/>
        <v>18747.57</v>
      </c>
      <c r="AC42" s="286">
        <f t="shared" si="15"/>
        <v>24624</v>
      </c>
    </row>
    <row r="43" ht="15.75" customHeight="1">
      <c r="A43" s="101"/>
      <c r="B43" s="276">
        <v>34.0</v>
      </c>
      <c r="C43" s="277" t="s">
        <v>120</v>
      </c>
      <c r="D43" s="116" t="s">
        <v>96</v>
      </c>
      <c r="E43" s="278">
        <v>1.0</v>
      </c>
      <c r="F43" s="279"/>
      <c r="G43" s="279"/>
      <c r="H43" s="101"/>
      <c r="I43" s="280">
        <v>18747.57</v>
      </c>
      <c r="J43" s="103">
        <f t="shared" si="2"/>
        <v>3562.0383</v>
      </c>
      <c r="K43" s="103">
        <f t="shared" si="3"/>
        <v>22309.6083</v>
      </c>
      <c r="L43" s="287">
        <f t="shared" si="4"/>
        <v>22309.6083</v>
      </c>
      <c r="M43" s="106"/>
      <c r="N43" s="112">
        <v>18810.0</v>
      </c>
      <c r="O43" s="103">
        <f t="shared" si="5"/>
        <v>3573.9</v>
      </c>
      <c r="P43" s="107">
        <f t="shared" si="6"/>
        <v>22383.9</v>
      </c>
      <c r="Q43" s="281">
        <f t="shared" si="7"/>
        <v>22383.9</v>
      </c>
      <c r="R43" s="106"/>
      <c r="S43" s="112">
        <v>19374.0</v>
      </c>
      <c r="T43" s="109">
        <f t="shared" si="8"/>
        <v>3681.06</v>
      </c>
      <c r="U43" s="109">
        <f t="shared" si="9"/>
        <v>23055.06</v>
      </c>
      <c r="V43" s="284">
        <f t="shared" si="10"/>
        <v>23055.06</v>
      </c>
      <c r="W43" s="111"/>
      <c r="X43" s="112">
        <v>19950.0</v>
      </c>
      <c r="Y43" s="109">
        <f t="shared" si="11"/>
        <v>3790.5</v>
      </c>
      <c r="Z43" s="109">
        <f t="shared" si="12"/>
        <v>23740.5</v>
      </c>
      <c r="AA43" s="285">
        <f t="shared" si="13"/>
        <v>23740.5</v>
      </c>
      <c r="AB43" s="286">
        <f t="shared" si="14"/>
        <v>18747.57</v>
      </c>
      <c r="AC43" s="286">
        <f t="shared" si="15"/>
        <v>19950</v>
      </c>
    </row>
    <row r="44" ht="15.75" customHeight="1">
      <c r="A44" s="101"/>
      <c r="B44" s="276">
        <v>35.0</v>
      </c>
      <c r="C44" s="277" t="s">
        <v>121</v>
      </c>
      <c r="D44" s="116" t="s">
        <v>96</v>
      </c>
      <c r="E44" s="278">
        <v>1.0</v>
      </c>
      <c r="F44" s="279"/>
      <c r="G44" s="279"/>
      <c r="H44" s="101"/>
      <c r="I44" s="280">
        <v>16146.24</v>
      </c>
      <c r="J44" s="103">
        <f t="shared" si="2"/>
        <v>3067.7856</v>
      </c>
      <c r="K44" s="103">
        <f t="shared" si="3"/>
        <v>19214.0256</v>
      </c>
      <c r="L44" s="289">
        <f t="shared" si="4"/>
        <v>19214.0256</v>
      </c>
      <c r="M44" s="106"/>
      <c r="N44" s="112">
        <v>15346.0</v>
      </c>
      <c r="O44" s="103">
        <f t="shared" si="5"/>
        <v>2915.74</v>
      </c>
      <c r="P44" s="107">
        <f t="shared" si="6"/>
        <v>18261.74</v>
      </c>
      <c r="Q44" s="283">
        <f t="shared" si="7"/>
        <v>18261.74</v>
      </c>
      <c r="R44" s="106"/>
      <c r="S44" s="112">
        <v>15806.0</v>
      </c>
      <c r="T44" s="109">
        <f t="shared" si="8"/>
        <v>3003.14</v>
      </c>
      <c r="U44" s="109">
        <f t="shared" si="9"/>
        <v>18809.14</v>
      </c>
      <c r="V44" s="281">
        <f t="shared" si="10"/>
        <v>18809.14</v>
      </c>
      <c r="W44" s="111"/>
      <c r="X44" s="112">
        <v>16872.0</v>
      </c>
      <c r="Y44" s="109">
        <f t="shared" si="11"/>
        <v>3205.68</v>
      </c>
      <c r="Z44" s="109">
        <f t="shared" si="12"/>
        <v>20077.68</v>
      </c>
      <c r="AA44" s="285">
        <f t="shared" si="13"/>
        <v>20077.68</v>
      </c>
      <c r="AB44" s="286">
        <f t="shared" si="14"/>
        <v>15346</v>
      </c>
      <c r="AC44" s="286">
        <f t="shared" si="15"/>
        <v>16872</v>
      </c>
    </row>
    <row r="45" ht="15.75" customHeight="1">
      <c r="A45" s="101"/>
      <c r="B45" s="276">
        <v>36.0</v>
      </c>
      <c r="C45" s="277" t="s">
        <v>122</v>
      </c>
      <c r="D45" s="116" t="s">
        <v>83</v>
      </c>
      <c r="E45" s="278">
        <v>1.0</v>
      </c>
      <c r="F45" s="279"/>
      <c r="G45" s="279"/>
      <c r="H45" s="101"/>
      <c r="I45" s="280">
        <v>14464.34</v>
      </c>
      <c r="J45" s="103">
        <f t="shared" si="2"/>
        <v>2748.2246</v>
      </c>
      <c r="K45" s="103">
        <f t="shared" si="3"/>
        <v>17212.5646</v>
      </c>
      <c r="L45" s="287">
        <f t="shared" si="4"/>
        <v>17212.5646</v>
      </c>
      <c r="M45" s="106"/>
      <c r="N45" s="112">
        <v>17990.0</v>
      </c>
      <c r="O45" s="103">
        <f t="shared" si="5"/>
        <v>3418.1</v>
      </c>
      <c r="P45" s="107">
        <f t="shared" si="6"/>
        <v>21408.1</v>
      </c>
      <c r="Q45" s="281">
        <f t="shared" si="7"/>
        <v>21408.1</v>
      </c>
      <c r="R45" s="106"/>
      <c r="S45" s="112">
        <v>18530.0</v>
      </c>
      <c r="T45" s="109">
        <f t="shared" si="8"/>
        <v>3520.7</v>
      </c>
      <c r="U45" s="109">
        <f t="shared" si="9"/>
        <v>22050.7</v>
      </c>
      <c r="V45" s="281">
        <f t="shared" si="10"/>
        <v>22050.7</v>
      </c>
      <c r="W45" s="111"/>
      <c r="X45" s="112">
        <v>17784.0</v>
      </c>
      <c r="Y45" s="109">
        <f t="shared" si="11"/>
        <v>3378.96</v>
      </c>
      <c r="Z45" s="109">
        <f t="shared" si="12"/>
        <v>21162.96</v>
      </c>
      <c r="AA45" s="285">
        <f t="shared" si="13"/>
        <v>21162.96</v>
      </c>
      <c r="AB45" s="286">
        <f t="shared" si="14"/>
        <v>14464.34</v>
      </c>
      <c r="AC45" s="286">
        <f t="shared" si="15"/>
        <v>18530</v>
      </c>
    </row>
    <row r="46" ht="15.75" customHeight="1">
      <c r="A46" s="101"/>
      <c r="B46" s="276">
        <v>37.0</v>
      </c>
      <c r="C46" s="277" t="s">
        <v>123</v>
      </c>
      <c r="D46" s="116" t="s">
        <v>96</v>
      </c>
      <c r="E46" s="278">
        <v>1.0</v>
      </c>
      <c r="F46" s="279"/>
      <c r="G46" s="279"/>
      <c r="H46" s="101"/>
      <c r="I46" s="280">
        <v>7635.83</v>
      </c>
      <c r="J46" s="103">
        <f t="shared" si="2"/>
        <v>1450.8077</v>
      </c>
      <c r="K46" s="103">
        <f t="shared" si="3"/>
        <v>9086.6377</v>
      </c>
      <c r="L46" s="289">
        <f t="shared" si="4"/>
        <v>9086.6377</v>
      </c>
      <c r="M46" s="106"/>
      <c r="N46" s="112">
        <v>7357.0</v>
      </c>
      <c r="O46" s="103">
        <f t="shared" si="5"/>
        <v>1397.83</v>
      </c>
      <c r="P46" s="107">
        <f t="shared" si="6"/>
        <v>8754.83</v>
      </c>
      <c r="Q46" s="283">
        <f t="shared" si="7"/>
        <v>8754.83</v>
      </c>
      <c r="R46" s="106"/>
      <c r="S46" s="112">
        <v>7578.0</v>
      </c>
      <c r="T46" s="109">
        <f t="shared" si="8"/>
        <v>1439.82</v>
      </c>
      <c r="U46" s="109">
        <f t="shared" si="9"/>
        <v>9017.82</v>
      </c>
      <c r="V46" s="281">
        <f t="shared" si="10"/>
        <v>9017.82</v>
      </c>
      <c r="W46" s="111"/>
      <c r="X46" s="112">
        <v>19608.0</v>
      </c>
      <c r="Y46" s="109">
        <f t="shared" si="11"/>
        <v>3725.52</v>
      </c>
      <c r="Z46" s="109">
        <f t="shared" si="12"/>
        <v>23333.52</v>
      </c>
      <c r="AA46" s="285">
        <f t="shared" si="13"/>
        <v>23333.52</v>
      </c>
      <c r="AB46" s="286">
        <f t="shared" si="14"/>
        <v>7357</v>
      </c>
      <c r="AC46" s="286">
        <f t="shared" si="15"/>
        <v>19608</v>
      </c>
    </row>
    <row r="47" ht="15.75" customHeight="1">
      <c r="A47" s="101"/>
      <c r="B47" s="276">
        <v>38.0</v>
      </c>
      <c r="C47" s="277" t="s">
        <v>124</v>
      </c>
      <c r="D47" s="116" t="s">
        <v>96</v>
      </c>
      <c r="E47" s="278">
        <v>1.0</v>
      </c>
      <c r="F47" s="279"/>
      <c r="G47" s="279"/>
      <c r="H47" s="101"/>
      <c r="I47" s="280">
        <v>9923.21</v>
      </c>
      <c r="J47" s="103">
        <f t="shared" si="2"/>
        <v>1885.4099</v>
      </c>
      <c r="K47" s="103">
        <f t="shared" si="3"/>
        <v>11808.6199</v>
      </c>
      <c r="L47" s="289">
        <f t="shared" si="4"/>
        <v>11808.6199</v>
      </c>
      <c r="M47" s="106"/>
      <c r="N47" s="112">
        <v>9400.0</v>
      </c>
      <c r="O47" s="103">
        <f t="shared" si="5"/>
        <v>1786</v>
      </c>
      <c r="P47" s="107">
        <f t="shared" si="6"/>
        <v>11186</v>
      </c>
      <c r="Q47" s="283">
        <f t="shared" si="7"/>
        <v>11186</v>
      </c>
      <c r="R47" s="106"/>
      <c r="S47" s="112">
        <v>9682.0</v>
      </c>
      <c r="T47" s="109">
        <f t="shared" si="8"/>
        <v>1839.58</v>
      </c>
      <c r="U47" s="109">
        <f t="shared" si="9"/>
        <v>11521.58</v>
      </c>
      <c r="V47" s="281">
        <f t="shared" si="10"/>
        <v>11521.58</v>
      </c>
      <c r="W47" s="111"/>
      <c r="X47" s="112">
        <v>6384.0</v>
      </c>
      <c r="Y47" s="109">
        <f t="shared" si="11"/>
        <v>1212.96</v>
      </c>
      <c r="Z47" s="109">
        <f t="shared" si="12"/>
        <v>7596.96</v>
      </c>
      <c r="AA47" s="285">
        <f t="shared" si="13"/>
        <v>7596.96</v>
      </c>
      <c r="AB47" s="286">
        <f t="shared" si="14"/>
        <v>6384</v>
      </c>
      <c r="AC47" s="286">
        <f t="shared" si="15"/>
        <v>9923.21</v>
      </c>
    </row>
    <row r="48" ht="15.75" customHeight="1">
      <c r="A48" s="101"/>
      <c r="B48" s="276">
        <v>39.0</v>
      </c>
      <c r="C48" s="277" t="s">
        <v>125</v>
      </c>
      <c r="D48" s="116" t="s">
        <v>83</v>
      </c>
      <c r="E48" s="278">
        <v>1.0</v>
      </c>
      <c r="F48" s="279"/>
      <c r="G48" s="279"/>
      <c r="H48" s="101"/>
      <c r="I48" s="280">
        <v>15305.29</v>
      </c>
      <c r="J48" s="103">
        <f t="shared" si="2"/>
        <v>2908.0051</v>
      </c>
      <c r="K48" s="103">
        <f t="shared" si="3"/>
        <v>18213.2951</v>
      </c>
      <c r="L48" s="289">
        <f t="shared" si="4"/>
        <v>18213.2951</v>
      </c>
      <c r="M48" s="106"/>
      <c r="N48" s="112">
        <v>14560.0</v>
      </c>
      <c r="O48" s="103">
        <f t="shared" si="5"/>
        <v>2766.4</v>
      </c>
      <c r="P48" s="107">
        <f t="shared" si="6"/>
        <v>17326.4</v>
      </c>
      <c r="Q48" s="283">
        <f t="shared" si="7"/>
        <v>17326.4</v>
      </c>
      <c r="R48" s="106"/>
      <c r="S48" s="112">
        <v>14997.0</v>
      </c>
      <c r="T48" s="109">
        <f t="shared" si="8"/>
        <v>2849.43</v>
      </c>
      <c r="U48" s="109">
        <f t="shared" si="9"/>
        <v>17846.43</v>
      </c>
      <c r="V48" s="281">
        <f t="shared" si="10"/>
        <v>17846.43</v>
      </c>
      <c r="W48" s="111"/>
      <c r="X48" s="112">
        <v>15504.0</v>
      </c>
      <c r="Y48" s="109">
        <f t="shared" si="11"/>
        <v>2945.76</v>
      </c>
      <c r="Z48" s="109">
        <f t="shared" si="12"/>
        <v>18449.76</v>
      </c>
      <c r="AA48" s="285">
        <f t="shared" si="13"/>
        <v>18449.76</v>
      </c>
      <c r="AB48" s="286">
        <f t="shared" si="14"/>
        <v>14560</v>
      </c>
      <c r="AC48" s="286">
        <f t="shared" si="15"/>
        <v>15504</v>
      </c>
    </row>
    <row r="49" ht="15.75" customHeight="1">
      <c r="A49" s="101"/>
      <c r="B49" s="276">
        <v>40.0</v>
      </c>
      <c r="C49" s="277" t="s">
        <v>126</v>
      </c>
      <c r="D49" s="116" t="s">
        <v>96</v>
      </c>
      <c r="E49" s="278">
        <v>1.0</v>
      </c>
      <c r="F49" s="279"/>
      <c r="G49" s="279"/>
      <c r="H49" s="101"/>
      <c r="I49" s="280">
        <v>6559.41</v>
      </c>
      <c r="J49" s="103">
        <f t="shared" si="2"/>
        <v>1246.2879</v>
      </c>
      <c r="K49" s="103">
        <f t="shared" si="3"/>
        <v>7805.6979</v>
      </c>
      <c r="L49" s="287">
        <f t="shared" si="4"/>
        <v>7805.6979</v>
      </c>
      <c r="M49" s="106"/>
      <c r="N49" s="112">
        <v>8764.0</v>
      </c>
      <c r="O49" s="103">
        <f t="shared" si="5"/>
        <v>1665.16</v>
      </c>
      <c r="P49" s="107">
        <f t="shared" si="6"/>
        <v>10429.16</v>
      </c>
      <c r="Q49" s="281">
        <f t="shared" si="7"/>
        <v>10429.16</v>
      </c>
      <c r="R49" s="106"/>
      <c r="S49" s="112">
        <v>9027.0</v>
      </c>
      <c r="T49" s="109">
        <f t="shared" si="8"/>
        <v>1715.13</v>
      </c>
      <c r="U49" s="109">
        <f t="shared" si="9"/>
        <v>10742.13</v>
      </c>
      <c r="V49" s="284">
        <f t="shared" si="10"/>
        <v>10742.13</v>
      </c>
      <c r="W49" s="111"/>
      <c r="X49" s="112">
        <v>7752.0</v>
      </c>
      <c r="Y49" s="109">
        <f t="shared" si="11"/>
        <v>1472.88</v>
      </c>
      <c r="Z49" s="109">
        <f t="shared" si="12"/>
        <v>9224.88</v>
      </c>
      <c r="AA49" s="285">
        <f t="shared" si="13"/>
        <v>9224.88</v>
      </c>
      <c r="AB49" s="286">
        <f t="shared" si="14"/>
        <v>6559.41</v>
      </c>
      <c r="AC49" s="286">
        <f t="shared" si="15"/>
        <v>9027</v>
      </c>
    </row>
    <row r="50" ht="15.75" customHeight="1">
      <c r="A50" s="101"/>
      <c r="B50" s="276">
        <v>41.0</v>
      </c>
      <c r="C50" s="277" t="s">
        <v>127</v>
      </c>
      <c r="D50" s="116" t="s">
        <v>83</v>
      </c>
      <c r="E50" s="278">
        <v>1.0</v>
      </c>
      <c r="F50" s="279"/>
      <c r="G50" s="279"/>
      <c r="H50" s="101"/>
      <c r="I50" s="280">
        <v>12277.87</v>
      </c>
      <c r="J50" s="103">
        <f t="shared" si="2"/>
        <v>2332.7953</v>
      </c>
      <c r="K50" s="103">
        <f t="shared" si="3"/>
        <v>14610.6653</v>
      </c>
      <c r="L50" s="289">
        <f t="shared" si="4"/>
        <v>14610.6653</v>
      </c>
      <c r="M50" s="106"/>
      <c r="N50" s="112">
        <v>11670.0</v>
      </c>
      <c r="O50" s="103">
        <f t="shared" si="5"/>
        <v>2217.3</v>
      </c>
      <c r="P50" s="107">
        <f t="shared" si="6"/>
        <v>13887.3</v>
      </c>
      <c r="Q50" s="283">
        <f t="shared" si="7"/>
        <v>13887.3</v>
      </c>
      <c r="R50" s="106"/>
      <c r="S50" s="112">
        <v>12020.0</v>
      </c>
      <c r="T50" s="109">
        <f t="shared" si="8"/>
        <v>2283.8</v>
      </c>
      <c r="U50" s="109">
        <f t="shared" si="9"/>
        <v>14303.8</v>
      </c>
      <c r="V50" s="281">
        <f t="shared" si="10"/>
        <v>14303.8</v>
      </c>
      <c r="W50" s="111"/>
      <c r="X50" s="112">
        <v>12426.0</v>
      </c>
      <c r="Y50" s="109">
        <f t="shared" si="11"/>
        <v>2360.94</v>
      </c>
      <c r="Z50" s="109">
        <f t="shared" si="12"/>
        <v>14786.94</v>
      </c>
      <c r="AA50" s="285">
        <f t="shared" si="13"/>
        <v>14786.94</v>
      </c>
      <c r="AB50" s="286">
        <f t="shared" si="14"/>
        <v>11670</v>
      </c>
      <c r="AC50" s="286">
        <f t="shared" si="15"/>
        <v>12426</v>
      </c>
    </row>
    <row r="51" ht="15.75" customHeight="1">
      <c r="A51" s="101"/>
      <c r="B51" s="276">
        <v>42.0</v>
      </c>
      <c r="C51" s="277" t="s">
        <v>128</v>
      </c>
      <c r="D51" s="116" t="s">
        <v>83</v>
      </c>
      <c r="E51" s="278">
        <v>1.0</v>
      </c>
      <c r="F51" s="279"/>
      <c r="G51" s="279"/>
      <c r="H51" s="101"/>
      <c r="I51" s="280">
        <v>21157.97</v>
      </c>
      <c r="J51" s="103">
        <f t="shared" si="2"/>
        <v>4020.0143</v>
      </c>
      <c r="K51" s="103">
        <f t="shared" si="3"/>
        <v>25177.9843</v>
      </c>
      <c r="L51" s="287">
        <f t="shared" si="4"/>
        <v>25177.9843</v>
      </c>
      <c r="M51" s="106"/>
      <c r="N51" s="112">
        <v>26530.0</v>
      </c>
      <c r="O51" s="103">
        <f t="shared" si="5"/>
        <v>5040.7</v>
      </c>
      <c r="P51" s="107">
        <f t="shared" si="6"/>
        <v>31570.7</v>
      </c>
      <c r="Q51" s="281">
        <f t="shared" si="7"/>
        <v>31570.7</v>
      </c>
      <c r="R51" s="106"/>
      <c r="S51" s="112">
        <v>27326.0</v>
      </c>
      <c r="T51" s="109">
        <f t="shared" si="8"/>
        <v>5191.94</v>
      </c>
      <c r="U51" s="109">
        <f t="shared" si="9"/>
        <v>32517.94</v>
      </c>
      <c r="V51" s="284">
        <f t="shared" si="10"/>
        <v>32517.94</v>
      </c>
      <c r="W51" s="111"/>
      <c r="X51" s="112">
        <v>31008.0</v>
      </c>
      <c r="Y51" s="109">
        <f t="shared" si="11"/>
        <v>5891.52</v>
      </c>
      <c r="Z51" s="109">
        <f t="shared" si="12"/>
        <v>36899.52</v>
      </c>
      <c r="AA51" s="285">
        <f t="shared" si="13"/>
        <v>36899.52</v>
      </c>
      <c r="AB51" s="286">
        <f t="shared" si="14"/>
        <v>21157.97</v>
      </c>
      <c r="AC51" s="286">
        <f t="shared" si="15"/>
        <v>31008</v>
      </c>
    </row>
    <row r="52" ht="15.75" customHeight="1">
      <c r="A52" s="101"/>
      <c r="B52" s="276">
        <v>43.0</v>
      </c>
      <c r="C52" s="277" t="s">
        <v>129</v>
      </c>
      <c r="D52" s="116" t="s">
        <v>96</v>
      </c>
      <c r="E52" s="278">
        <v>1.0</v>
      </c>
      <c r="F52" s="279"/>
      <c r="G52" s="279"/>
      <c r="H52" s="101"/>
      <c r="I52" s="280">
        <v>10177.25</v>
      </c>
      <c r="J52" s="103">
        <f t="shared" si="2"/>
        <v>1933.6775</v>
      </c>
      <c r="K52" s="103">
        <f t="shared" si="3"/>
        <v>12110.9275</v>
      </c>
      <c r="L52" s="287">
        <f t="shared" si="4"/>
        <v>12110.9275</v>
      </c>
      <c r="M52" s="106"/>
      <c r="N52" s="112">
        <v>12865.0</v>
      </c>
      <c r="O52" s="103">
        <f t="shared" si="5"/>
        <v>2444.35</v>
      </c>
      <c r="P52" s="107">
        <f t="shared" si="6"/>
        <v>15309.35</v>
      </c>
      <c r="Q52" s="281">
        <f t="shared" si="7"/>
        <v>15309.35</v>
      </c>
      <c r="R52" s="106"/>
      <c r="S52" s="112">
        <v>13251.0</v>
      </c>
      <c r="T52" s="109">
        <f t="shared" si="8"/>
        <v>2517.69</v>
      </c>
      <c r="U52" s="109">
        <f t="shared" si="9"/>
        <v>15768.69</v>
      </c>
      <c r="V52" s="284">
        <f t="shared" si="10"/>
        <v>15768.69</v>
      </c>
      <c r="W52" s="111"/>
      <c r="X52" s="112">
        <v>13908.0</v>
      </c>
      <c r="Y52" s="109">
        <f t="shared" si="11"/>
        <v>2642.52</v>
      </c>
      <c r="Z52" s="109">
        <f t="shared" si="12"/>
        <v>16550.52</v>
      </c>
      <c r="AA52" s="285">
        <f t="shared" si="13"/>
        <v>16550.52</v>
      </c>
      <c r="AB52" s="286">
        <f t="shared" si="14"/>
        <v>10177.25</v>
      </c>
      <c r="AC52" s="286">
        <f t="shared" si="15"/>
        <v>13908</v>
      </c>
    </row>
    <row r="53" ht="15.75" customHeight="1">
      <c r="A53" s="101"/>
      <c r="B53" s="276">
        <v>44.0</v>
      </c>
      <c r="C53" s="277" t="s">
        <v>130</v>
      </c>
      <c r="D53" s="116" t="s">
        <v>83</v>
      </c>
      <c r="E53" s="278">
        <v>1.0</v>
      </c>
      <c r="F53" s="279"/>
      <c r="G53" s="279"/>
      <c r="H53" s="101"/>
      <c r="I53" s="280">
        <v>20394.16</v>
      </c>
      <c r="J53" s="103">
        <f t="shared" si="2"/>
        <v>3874.8904</v>
      </c>
      <c r="K53" s="103">
        <f t="shared" si="3"/>
        <v>24269.0504</v>
      </c>
      <c r="L53" s="287">
        <f t="shared" si="4"/>
        <v>24269.0504</v>
      </c>
      <c r="M53" s="106"/>
      <c r="N53" s="112">
        <v>23350.0</v>
      </c>
      <c r="O53" s="103">
        <f t="shared" si="5"/>
        <v>4436.5</v>
      </c>
      <c r="P53" s="107">
        <f t="shared" si="6"/>
        <v>27786.5</v>
      </c>
      <c r="Q53" s="281">
        <f t="shared" si="7"/>
        <v>27786.5</v>
      </c>
      <c r="R53" s="106"/>
      <c r="S53" s="112">
        <v>24051.0</v>
      </c>
      <c r="T53" s="109">
        <f t="shared" si="8"/>
        <v>4569.69</v>
      </c>
      <c r="U53" s="109">
        <f t="shared" si="9"/>
        <v>28620.69</v>
      </c>
      <c r="V53" s="284">
        <f t="shared" si="10"/>
        <v>28620.69</v>
      </c>
      <c r="W53" s="111"/>
      <c r="X53" s="112">
        <v>25422.0</v>
      </c>
      <c r="Y53" s="109">
        <f t="shared" si="11"/>
        <v>4830.18</v>
      </c>
      <c r="Z53" s="109">
        <f t="shared" si="12"/>
        <v>30252.18</v>
      </c>
      <c r="AA53" s="285">
        <f t="shared" si="13"/>
        <v>30252.18</v>
      </c>
      <c r="AB53" s="286">
        <f t="shared" si="14"/>
        <v>20394.16</v>
      </c>
      <c r="AC53" s="286">
        <f t="shared" si="15"/>
        <v>25422</v>
      </c>
    </row>
    <row r="54" ht="15.75" customHeight="1">
      <c r="A54" s="101"/>
      <c r="B54" s="276"/>
      <c r="C54" s="277" t="s">
        <v>131</v>
      </c>
      <c r="D54" s="116" t="s">
        <v>83</v>
      </c>
      <c r="E54" s="278">
        <v>1.0</v>
      </c>
      <c r="F54" s="279"/>
      <c r="G54" s="279"/>
      <c r="H54" s="101"/>
      <c r="I54" s="280">
        <v>36709.5</v>
      </c>
      <c r="J54" s="103">
        <f t="shared" si="2"/>
        <v>6974.805</v>
      </c>
      <c r="K54" s="103">
        <f t="shared" si="3"/>
        <v>43684.305</v>
      </c>
      <c r="L54" s="289">
        <f t="shared" si="4"/>
        <v>43684.305</v>
      </c>
      <c r="M54" s="106"/>
      <c r="N54" s="112">
        <v>31020.0</v>
      </c>
      <c r="O54" s="103">
        <f t="shared" si="5"/>
        <v>5893.8</v>
      </c>
      <c r="P54" s="107">
        <f t="shared" si="6"/>
        <v>36913.8</v>
      </c>
      <c r="Q54" s="283">
        <f t="shared" si="7"/>
        <v>36913.8</v>
      </c>
      <c r="R54" s="106"/>
      <c r="S54" s="112">
        <v>31951.0</v>
      </c>
      <c r="T54" s="109">
        <f t="shared" si="8"/>
        <v>6070.69</v>
      </c>
      <c r="U54" s="109">
        <f t="shared" si="9"/>
        <v>38021.69</v>
      </c>
      <c r="V54" s="281">
        <f t="shared" si="10"/>
        <v>38021.69</v>
      </c>
      <c r="W54" s="111"/>
      <c r="X54" s="112">
        <v>38190.0</v>
      </c>
      <c r="Y54" s="109">
        <f t="shared" si="11"/>
        <v>7256.1</v>
      </c>
      <c r="Z54" s="109">
        <f t="shared" si="12"/>
        <v>45446.1</v>
      </c>
      <c r="AA54" s="285">
        <f t="shared" si="13"/>
        <v>45446.1</v>
      </c>
      <c r="AB54" s="286">
        <f t="shared" si="14"/>
        <v>31020</v>
      </c>
      <c r="AC54" s="286">
        <f t="shared" si="15"/>
        <v>38190</v>
      </c>
    </row>
    <row r="55" ht="15.75" customHeight="1">
      <c r="A55" s="101"/>
      <c r="B55" s="276">
        <v>45.0</v>
      </c>
      <c r="C55" s="277" t="s">
        <v>132</v>
      </c>
      <c r="D55" s="116" t="s">
        <v>83</v>
      </c>
      <c r="E55" s="278">
        <v>1.0</v>
      </c>
      <c r="F55" s="279"/>
      <c r="G55" s="279"/>
      <c r="H55" s="101"/>
      <c r="I55" s="280">
        <v>8914.07</v>
      </c>
      <c r="J55" s="103">
        <f t="shared" si="2"/>
        <v>1693.6733</v>
      </c>
      <c r="K55" s="103">
        <f t="shared" si="3"/>
        <v>10607.7433</v>
      </c>
      <c r="L55" s="289">
        <f t="shared" si="4"/>
        <v>10607.7433</v>
      </c>
      <c r="M55" s="106"/>
      <c r="N55" s="112">
        <v>8400.0</v>
      </c>
      <c r="O55" s="103">
        <f t="shared" si="5"/>
        <v>1596</v>
      </c>
      <c r="P55" s="107">
        <f t="shared" si="6"/>
        <v>9996</v>
      </c>
      <c r="Q55" s="283">
        <f t="shared" si="7"/>
        <v>9996</v>
      </c>
      <c r="R55" s="106"/>
      <c r="S55" s="112">
        <v>8652.0</v>
      </c>
      <c r="T55" s="109">
        <f t="shared" si="8"/>
        <v>1643.88</v>
      </c>
      <c r="U55" s="109">
        <f t="shared" si="9"/>
        <v>10295.88</v>
      </c>
      <c r="V55" s="281">
        <f t="shared" si="10"/>
        <v>10295.88</v>
      </c>
      <c r="W55" s="111"/>
      <c r="X55" s="112">
        <v>8664.0</v>
      </c>
      <c r="Y55" s="109">
        <f t="shared" si="11"/>
        <v>1646.16</v>
      </c>
      <c r="Z55" s="109">
        <f t="shared" si="12"/>
        <v>10310.16</v>
      </c>
      <c r="AA55" s="285">
        <f t="shared" si="13"/>
        <v>10310.16</v>
      </c>
      <c r="AB55" s="286">
        <f t="shared" si="14"/>
        <v>8400</v>
      </c>
      <c r="AC55" s="286">
        <f t="shared" si="15"/>
        <v>8914.07</v>
      </c>
    </row>
    <row r="56" ht="15.75" customHeight="1">
      <c r="A56" s="101"/>
      <c r="B56" s="276"/>
      <c r="C56" s="277" t="s">
        <v>133</v>
      </c>
      <c r="D56" s="116" t="s">
        <v>83</v>
      </c>
      <c r="E56" s="278">
        <v>1.0</v>
      </c>
      <c r="F56" s="279"/>
      <c r="G56" s="279"/>
      <c r="H56" s="101"/>
      <c r="I56" s="280">
        <v>16936.73</v>
      </c>
      <c r="J56" s="103">
        <f t="shared" si="2"/>
        <v>3217.9787</v>
      </c>
      <c r="K56" s="103">
        <f t="shared" si="3"/>
        <v>20154.7087</v>
      </c>
      <c r="L56" s="281">
        <f t="shared" si="4"/>
        <v>20154.7087</v>
      </c>
      <c r="M56" s="106"/>
      <c r="N56" s="112">
        <v>21350.0</v>
      </c>
      <c r="O56" s="103">
        <f t="shared" si="5"/>
        <v>4056.5</v>
      </c>
      <c r="P56" s="107">
        <f t="shared" si="6"/>
        <v>25406.5</v>
      </c>
      <c r="Q56" s="281">
        <f t="shared" si="7"/>
        <v>25406.5</v>
      </c>
      <c r="R56" s="106"/>
      <c r="S56" s="112">
        <v>21991.0</v>
      </c>
      <c r="T56" s="109">
        <f t="shared" si="8"/>
        <v>4178.29</v>
      </c>
      <c r="U56" s="109">
        <f t="shared" si="9"/>
        <v>26169.29</v>
      </c>
      <c r="V56" s="284">
        <f t="shared" si="10"/>
        <v>26169.29</v>
      </c>
      <c r="W56" s="111"/>
      <c r="X56" s="112">
        <v>22002.0</v>
      </c>
      <c r="Y56" s="109">
        <f t="shared" si="11"/>
        <v>4180.38</v>
      </c>
      <c r="Z56" s="109">
        <f t="shared" si="12"/>
        <v>26182.38</v>
      </c>
      <c r="AA56" s="285">
        <f t="shared" si="13"/>
        <v>26182.38</v>
      </c>
      <c r="AB56" s="286">
        <f t="shared" si="14"/>
        <v>16936.73</v>
      </c>
      <c r="AC56" s="286">
        <f t="shared" si="15"/>
        <v>22002</v>
      </c>
    </row>
    <row r="57" ht="15.75" customHeight="1">
      <c r="A57" s="101"/>
      <c r="B57" s="276">
        <v>46.0</v>
      </c>
      <c r="C57" s="277" t="s">
        <v>134</v>
      </c>
      <c r="D57" s="116" t="s">
        <v>96</v>
      </c>
      <c r="E57" s="278">
        <v>1.0</v>
      </c>
      <c r="F57" s="279"/>
      <c r="G57" s="279"/>
      <c r="H57" s="101"/>
      <c r="I57" s="280">
        <v>13959.77</v>
      </c>
      <c r="J57" s="103">
        <f t="shared" si="2"/>
        <v>2652.3563</v>
      </c>
      <c r="K57" s="103">
        <f t="shared" si="3"/>
        <v>16612.1263</v>
      </c>
      <c r="L57" s="289">
        <f t="shared" si="4"/>
        <v>16612.1263</v>
      </c>
      <c r="M57" s="106"/>
      <c r="N57" s="112">
        <v>13268.0</v>
      </c>
      <c r="O57" s="103">
        <f t="shared" si="5"/>
        <v>2520.92</v>
      </c>
      <c r="P57" s="107">
        <f t="shared" si="6"/>
        <v>15788.92</v>
      </c>
      <c r="Q57" s="283">
        <f t="shared" si="7"/>
        <v>15788.92</v>
      </c>
      <c r="R57" s="106"/>
      <c r="S57" s="112">
        <v>13666.0</v>
      </c>
      <c r="T57" s="109">
        <f t="shared" si="8"/>
        <v>2596.54</v>
      </c>
      <c r="U57" s="109">
        <f t="shared" si="9"/>
        <v>16262.54</v>
      </c>
      <c r="V57" s="281">
        <f t="shared" si="10"/>
        <v>16262.54</v>
      </c>
      <c r="W57" s="111"/>
      <c r="X57" s="112">
        <v>13452.0</v>
      </c>
      <c r="Y57" s="109">
        <f t="shared" si="11"/>
        <v>2555.88</v>
      </c>
      <c r="Z57" s="109">
        <f t="shared" si="12"/>
        <v>16007.88</v>
      </c>
      <c r="AA57" s="285">
        <f t="shared" si="13"/>
        <v>16007.88</v>
      </c>
      <c r="AB57" s="286">
        <f t="shared" si="14"/>
        <v>13268</v>
      </c>
      <c r="AC57" s="286">
        <f t="shared" si="15"/>
        <v>13959.77</v>
      </c>
    </row>
    <row r="58" ht="15.75" customHeight="1">
      <c r="A58" s="101"/>
      <c r="B58" s="276">
        <v>47.0</v>
      </c>
      <c r="C58" s="277" t="s">
        <v>135</v>
      </c>
      <c r="D58" s="116" t="s">
        <v>83</v>
      </c>
      <c r="E58" s="278">
        <v>1.0</v>
      </c>
      <c r="F58" s="279"/>
      <c r="G58" s="279"/>
      <c r="H58" s="101"/>
      <c r="I58" s="280">
        <v>23546.6</v>
      </c>
      <c r="J58" s="103">
        <f t="shared" si="2"/>
        <v>4473.854</v>
      </c>
      <c r="K58" s="103">
        <f t="shared" si="3"/>
        <v>28020.454</v>
      </c>
      <c r="L58" s="289">
        <f t="shared" si="4"/>
        <v>28020.454</v>
      </c>
      <c r="M58" s="106"/>
      <c r="N58" s="112">
        <v>22300.0</v>
      </c>
      <c r="O58" s="103">
        <f t="shared" si="5"/>
        <v>4237</v>
      </c>
      <c r="P58" s="107">
        <f t="shared" si="6"/>
        <v>26537</v>
      </c>
      <c r="Q58" s="283">
        <f t="shared" si="7"/>
        <v>26537</v>
      </c>
      <c r="R58" s="106"/>
      <c r="S58" s="112">
        <v>22969.0</v>
      </c>
      <c r="T58" s="109">
        <f t="shared" si="8"/>
        <v>4364.11</v>
      </c>
      <c r="U58" s="109">
        <f t="shared" si="9"/>
        <v>27333.11</v>
      </c>
      <c r="V58" s="281">
        <f t="shared" si="10"/>
        <v>27333.11</v>
      </c>
      <c r="W58" s="111"/>
      <c r="X58" s="112">
        <v>25764.0</v>
      </c>
      <c r="Y58" s="109">
        <f t="shared" si="11"/>
        <v>4895.16</v>
      </c>
      <c r="Z58" s="109">
        <f t="shared" si="12"/>
        <v>30659.16</v>
      </c>
      <c r="AA58" s="285">
        <f t="shared" si="13"/>
        <v>30659.16</v>
      </c>
      <c r="AB58" s="286">
        <f t="shared" si="14"/>
        <v>22300</v>
      </c>
      <c r="AC58" s="286">
        <f t="shared" si="15"/>
        <v>25764</v>
      </c>
    </row>
    <row r="59" ht="15.75" customHeight="1">
      <c r="A59" s="101"/>
      <c r="B59" s="276">
        <v>48.0</v>
      </c>
      <c r="C59" s="277" t="s">
        <v>136</v>
      </c>
      <c r="D59" s="116" t="s">
        <v>83</v>
      </c>
      <c r="E59" s="278">
        <v>1.0</v>
      </c>
      <c r="F59" s="279"/>
      <c r="G59" s="279"/>
      <c r="H59" s="101"/>
      <c r="I59" s="280">
        <v>26574.02</v>
      </c>
      <c r="J59" s="103">
        <f t="shared" si="2"/>
        <v>5049.0638</v>
      </c>
      <c r="K59" s="103">
        <f t="shared" si="3"/>
        <v>31623.0838</v>
      </c>
      <c r="L59" s="289">
        <f t="shared" si="4"/>
        <v>31623.0838</v>
      </c>
      <c r="M59" s="106"/>
      <c r="N59" s="112">
        <v>25250.0</v>
      </c>
      <c r="O59" s="103">
        <f t="shared" si="5"/>
        <v>4797.5</v>
      </c>
      <c r="P59" s="107">
        <f t="shared" si="6"/>
        <v>30047.5</v>
      </c>
      <c r="Q59" s="283">
        <f t="shared" si="7"/>
        <v>30047.5</v>
      </c>
      <c r="R59" s="106"/>
      <c r="S59" s="112">
        <v>26008.0</v>
      </c>
      <c r="T59" s="109">
        <f t="shared" si="8"/>
        <v>4941.52</v>
      </c>
      <c r="U59" s="109">
        <f t="shared" si="9"/>
        <v>30949.52</v>
      </c>
      <c r="V59" s="281">
        <f t="shared" si="10"/>
        <v>30949.52</v>
      </c>
      <c r="W59" s="111"/>
      <c r="X59" s="112">
        <v>27132.0</v>
      </c>
      <c r="Y59" s="109">
        <f t="shared" si="11"/>
        <v>5155.08</v>
      </c>
      <c r="Z59" s="109">
        <f t="shared" si="12"/>
        <v>32287.08</v>
      </c>
      <c r="AA59" s="285">
        <f t="shared" si="13"/>
        <v>32287.08</v>
      </c>
      <c r="AB59" s="286">
        <f t="shared" si="14"/>
        <v>25250</v>
      </c>
      <c r="AC59" s="286">
        <f t="shared" si="15"/>
        <v>27132</v>
      </c>
    </row>
    <row r="60" ht="15.75" customHeight="1">
      <c r="A60" s="101"/>
      <c r="B60" s="276">
        <v>49.0</v>
      </c>
      <c r="C60" s="277" t="s">
        <v>137</v>
      </c>
      <c r="D60" s="116" t="s">
        <v>83</v>
      </c>
      <c r="E60" s="278">
        <v>1.0</v>
      </c>
      <c r="F60" s="279"/>
      <c r="G60" s="279"/>
      <c r="H60" s="101"/>
      <c r="I60" s="280">
        <v>37001.8</v>
      </c>
      <c r="J60" s="103">
        <f t="shared" si="2"/>
        <v>7030.342</v>
      </c>
      <c r="K60" s="103">
        <f t="shared" si="3"/>
        <v>44032.142</v>
      </c>
      <c r="L60" s="289">
        <f t="shared" si="4"/>
        <v>44032.142</v>
      </c>
      <c r="M60" s="106"/>
      <c r="N60" s="112">
        <v>35300.0</v>
      </c>
      <c r="O60" s="103">
        <f t="shared" si="5"/>
        <v>6707</v>
      </c>
      <c r="P60" s="107">
        <f t="shared" si="6"/>
        <v>42007</v>
      </c>
      <c r="Q60" s="283">
        <f t="shared" si="7"/>
        <v>42007</v>
      </c>
      <c r="R60" s="106"/>
      <c r="S60" s="112">
        <v>36359.0</v>
      </c>
      <c r="T60" s="109">
        <f t="shared" si="8"/>
        <v>6908.21</v>
      </c>
      <c r="U60" s="109">
        <f t="shared" si="9"/>
        <v>43267.21</v>
      </c>
      <c r="V60" s="281">
        <f t="shared" si="10"/>
        <v>43267.21</v>
      </c>
      <c r="W60" s="111"/>
      <c r="X60" s="112">
        <v>42864.0</v>
      </c>
      <c r="Y60" s="109">
        <f t="shared" si="11"/>
        <v>8144.16</v>
      </c>
      <c r="Z60" s="109">
        <f t="shared" si="12"/>
        <v>51008.16</v>
      </c>
      <c r="AA60" s="285">
        <f t="shared" si="13"/>
        <v>51008.16</v>
      </c>
      <c r="AB60" s="286">
        <f t="shared" si="14"/>
        <v>35300</v>
      </c>
      <c r="AC60" s="286">
        <f t="shared" si="15"/>
        <v>42864</v>
      </c>
    </row>
    <row r="61" ht="15.75" customHeight="1">
      <c r="A61" s="101"/>
      <c r="B61" s="276">
        <v>50.0</v>
      </c>
      <c r="C61" s="277" t="s">
        <v>138</v>
      </c>
      <c r="D61" s="116" t="s">
        <v>96</v>
      </c>
      <c r="E61" s="278">
        <v>1.0</v>
      </c>
      <c r="F61" s="279"/>
      <c r="G61" s="279"/>
      <c r="H61" s="101"/>
      <c r="I61" s="280">
        <v>28121.35</v>
      </c>
      <c r="J61" s="103">
        <f t="shared" si="2"/>
        <v>5343.0565</v>
      </c>
      <c r="K61" s="103">
        <f t="shared" si="3"/>
        <v>33464.4065</v>
      </c>
      <c r="L61" s="289">
        <f t="shared" si="4"/>
        <v>33464.4065</v>
      </c>
      <c r="M61" s="106"/>
      <c r="N61" s="112">
        <v>22230.0</v>
      </c>
      <c r="O61" s="103">
        <f t="shared" si="5"/>
        <v>4223.7</v>
      </c>
      <c r="P61" s="107">
        <f t="shared" si="6"/>
        <v>26453.7</v>
      </c>
      <c r="Q61" s="283">
        <f t="shared" si="7"/>
        <v>26453.7</v>
      </c>
      <c r="R61" s="106"/>
      <c r="S61" s="112">
        <v>22897.0</v>
      </c>
      <c r="T61" s="109">
        <f t="shared" si="8"/>
        <v>4350.43</v>
      </c>
      <c r="U61" s="109">
        <f t="shared" si="9"/>
        <v>27247.43</v>
      </c>
      <c r="V61" s="281">
        <f t="shared" si="10"/>
        <v>27247.43</v>
      </c>
      <c r="W61" s="111"/>
      <c r="X61" s="112">
        <v>24852.0</v>
      </c>
      <c r="Y61" s="109">
        <f t="shared" si="11"/>
        <v>4721.88</v>
      </c>
      <c r="Z61" s="109">
        <f t="shared" si="12"/>
        <v>29573.88</v>
      </c>
      <c r="AA61" s="285">
        <f t="shared" si="13"/>
        <v>29573.88</v>
      </c>
      <c r="AB61" s="286">
        <f t="shared" si="14"/>
        <v>22230</v>
      </c>
      <c r="AC61" s="286">
        <f t="shared" si="15"/>
        <v>28121.35</v>
      </c>
    </row>
    <row r="62" ht="15.75" customHeight="1">
      <c r="A62" s="101"/>
      <c r="B62" s="276">
        <v>51.0</v>
      </c>
      <c r="C62" s="277" t="s">
        <v>139</v>
      </c>
      <c r="D62" s="116" t="s">
        <v>83</v>
      </c>
      <c r="E62" s="278">
        <v>1.0</v>
      </c>
      <c r="F62" s="279"/>
      <c r="G62" s="279"/>
      <c r="H62" s="101"/>
      <c r="I62" s="280">
        <v>33477.8</v>
      </c>
      <c r="J62" s="103">
        <f t="shared" si="2"/>
        <v>6360.782</v>
      </c>
      <c r="K62" s="103">
        <f t="shared" si="3"/>
        <v>39838.582</v>
      </c>
      <c r="L62" s="287">
        <f t="shared" si="4"/>
        <v>39838.582</v>
      </c>
      <c r="M62" s="106"/>
      <c r="N62" s="112">
        <v>37740.0</v>
      </c>
      <c r="O62" s="103">
        <f t="shared" si="5"/>
        <v>7170.6</v>
      </c>
      <c r="P62" s="107">
        <f t="shared" si="6"/>
        <v>44910.6</v>
      </c>
      <c r="Q62" s="281">
        <f t="shared" si="7"/>
        <v>44910.6</v>
      </c>
      <c r="R62" s="106"/>
      <c r="S62" s="112">
        <v>38872.0</v>
      </c>
      <c r="T62" s="109">
        <f t="shared" si="8"/>
        <v>7385.68</v>
      </c>
      <c r="U62" s="109">
        <f t="shared" si="9"/>
        <v>46257.68</v>
      </c>
      <c r="V62" s="284">
        <f t="shared" si="10"/>
        <v>46257.68</v>
      </c>
      <c r="W62" s="111"/>
      <c r="X62" s="112">
        <v>41382.0</v>
      </c>
      <c r="Y62" s="109">
        <f t="shared" si="11"/>
        <v>7862.58</v>
      </c>
      <c r="Z62" s="109">
        <f t="shared" si="12"/>
        <v>49244.58</v>
      </c>
      <c r="AA62" s="285">
        <f t="shared" si="13"/>
        <v>49244.58</v>
      </c>
      <c r="AB62" s="286">
        <f t="shared" si="14"/>
        <v>33477.8</v>
      </c>
      <c r="AC62" s="286">
        <f t="shared" si="15"/>
        <v>41382</v>
      </c>
    </row>
    <row r="63" ht="15.75" customHeight="1">
      <c r="A63" s="101"/>
      <c r="B63" s="276">
        <v>52.0</v>
      </c>
      <c r="C63" s="277" t="s">
        <v>140</v>
      </c>
      <c r="D63" s="116" t="s">
        <v>83</v>
      </c>
      <c r="E63" s="278">
        <v>1.0</v>
      </c>
      <c r="F63" s="279"/>
      <c r="G63" s="279"/>
      <c r="H63" s="101"/>
      <c r="I63" s="280">
        <v>29460.46</v>
      </c>
      <c r="J63" s="103">
        <f t="shared" si="2"/>
        <v>5597.4874</v>
      </c>
      <c r="K63" s="103">
        <f t="shared" si="3"/>
        <v>35057.9474</v>
      </c>
      <c r="L63" s="289">
        <f t="shared" si="4"/>
        <v>35057.9474</v>
      </c>
      <c r="M63" s="106"/>
      <c r="N63" s="112">
        <v>27930.0</v>
      </c>
      <c r="O63" s="103">
        <f t="shared" si="5"/>
        <v>5306.7</v>
      </c>
      <c r="P63" s="107">
        <f t="shared" si="6"/>
        <v>33236.7</v>
      </c>
      <c r="Q63" s="283">
        <f t="shared" si="7"/>
        <v>33236.7</v>
      </c>
      <c r="R63" s="106"/>
      <c r="S63" s="112">
        <v>28768.0</v>
      </c>
      <c r="T63" s="109">
        <f t="shared" si="8"/>
        <v>5465.92</v>
      </c>
      <c r="U63" s="109">
        <f t="shared" si="9"/>
        <v>34233.92</v>
      </c>
      <c r="V63" s="281">
        <f t="shared" si="10"/>
        <v>34233.92</v>
      </c>
      <c r="W63" s="111"/>
      <c r="X63" s="112">
        <v>30096.0</v>
      </c>
      <c r="Y63" s="109">
        <f t="shared" si="11"/>
        <v>5718.24</v>
      </c>
      <c r="Z63" s="109">
        <f t="shared" si="12"/>
        <v>35814.24</v>
      </c>
      <c r="AA63" s="285">
        <f t="shared" si="13"/>
        <v>35814.24</v>
      </c>
      <c r="AB63" s="286">
        <f t="shared" si="14"/>
        <v>27930</v>
      </c>
      <c r="AC63" s="286">
        <f t="shared" si="15"/>
        <v>30096</v>
      </c>
    </row>
    <row r="64" ht="15.75" customHeight="1">
      <c r="A64" s="101"/>
      <c r="B64" s="276">
        <v>53.0</v>
      </c>
      <c r="C64" s="277" t="s">
        <v>141</v>
      </c>
      <c r="D64" s="116" t="s">
        <v>83</v>
      </c>
      <c r="E64" s="278">
        <v>1.0</v>
      </c>
      <c r="F64" s="279"/>
      <c r="G64" s="279"/>
      <c r="H64" s="101"/>
      <c r="I64" s="280">
        <v>31619.72</v>
      </c>
      <c r="J64" s="103">
        <f t="shared" si="2"/>
        <v>6007.7468</v>
      </c>
      <c r="K64" s="103">
        <f t="shared" si="3"/>
        <v>37627.4668</v>
      </c>
      <c r="L64" s="289">
        <f t="shared" si="4"/>
        <v>37627.4668</v>
      </c>
      <c r="M64" s="106"/>
      <c r="N64" s="112">
        <v>30230.0</v>
      </c>
      <c r="O64" s="103">
        <f t="shared" si="5"/>
        <v>5743.7</v>
      </c>
      <c r="P64" s="107">
        <f t="shared" si="6"/>
        <v>35973.7</v>
      </c>
      <c r="Q64" s="283">
        <f t="shared" si="7"/>
        <v>35973.7</v>
      </c>
      <c r="R64" s="106"/>
      <c r="S64" s="112">
        <v>31137.0</v>
      </c>
      <c r="T64" s="109">
        <f t="shared" si="8"/>
        <v>5916.03</v>
      </c>
      <c r="U64" s="109">
        <f t="shared" si="9"/>
        <v>37053.03</v>
      </c>
      <c r="V64" s="281">
        <f t="shared" si="10"/>
        <v>37053.03</v>
      </c>
      <c r="W64" s="111"/>
      <c r="X64" s="112">
        <v>33972.0</v>
      </c>
      <c r="Y64" s="109">
        <f t="shared" si="11"/>
        <v>6454.68</v>
      </c>
      <c r="Z64" s="109">
        <f t="shared" si="12"/>
        <v>40426.68</v>
      </c>
      <c r="AA64" s="285">
        <f t="shared" si="13"/>
        <v>40426.68</v>
      </c>
      <c r="AB64" s="286">
        <f t="shared" si="14"/>
        <v>30230</v>
      </c>
      <c r="AC64" s="286">
        <f t="shared" si="15"/>
        <v>33972</v>
      </c>
    </row>
    <row r="65" ht="15.75" customHeight="1">
      <c r="A65" s="101"/>
      <c r="B65" s="276">
        <v>54.0</v>
      </c>
      <c r="C65" s="277" t="s">
        <v>142</v>
      </c>
      <c r="D65" s="116" t="s">
        <v>83</v>
      </c>
      <c r="E65" s="278">
        <v>1.0</v>
      </c>
      <c r="F65" s="279"/>
      <c r="G65" s="279"/>
      <c r="H65" s="101"/>
      <c r="I65" s="280">
        <v>40870.17</v>
      </c>
      <c r="J65" s="103">
        <f t="shared" si="2"/>
        <v>7765.3323</v>
      </c>
      <c r="K65" s="103">
        <f t="shared" si="3"/>
        <v>48635.5023</v>
      </c>
      <c r="L65" s="287">
        <f t="shared" si="4"/>
        <v>48635.5023</v>
      </c>
      <c r="M65" s="106"/>
      <c r="N65" s="112">
        <v>44590.0</v>
      </c>
      <c r="O65" s="103">
        <f t="shared" si="5"/>
        <v>8472.1</v>
      </c>
      <c r="P65" s="107">
        <f t="shared" si="6"/>
        <v>53062.1</v>
      </c>
      <c r="Q65" s="281">
        <f t="shared" si="7"/>
        <v>53062.1</v>
      </c>
      <c r="R65" s="106"/>
      <c r="S65" s="112">
        <v>45928.0</v>
      </c>
      <c r="T65" s="109">
        <f t="shared" si="8"/>
        <v>8726.32</v>
      </c>
      <c r="U65" s="109">
        <f t="shared" si="9"/>
        <v>54654.32</v>
      </c>
      <c r="V65" s="284">
        <f t="shared" si="10"/>
        <v>54654.32</v>
      </c>
      <c r="W65" s="111"/>
      <c r="X65" s="112">
        <v>48792.0</v>
      </c>
      <c r="Y65" s="109">
        <f t="shared" si="11"/>
        <v>9270.48</v>
      </c>
      <c r="Z65" s="109">
        <f t="shared" si="12"/>
        <v>58062.48</v>
      </c>
      <c r="AA65" s="285">
        <f t="shared" si="13"/>
        <v>58062.48</v>
      </c>
      <c r="AB65" s="286">
        <f t="shared" si="14"/>
        <v>40870.17</v>
      </c>
      <c r="AC65" s="286">
        <f t="shared" si="15"/>
        <v>48792</v>
      </c>
    </row>
    <row r="66" ht="15.75" customHeight="1">
      <c r="A66" s="101"/>
      <c r="B66" s="276">
        <v>55.0</v>
      </c>
      <c r="C66" s="277" t="s">
        <v>143</v>
      </c>
      <c r="D66" s="116" t="s">
        <v>83</v>
      </c>
      <c r="E66" s="278">
        <v>1.0</v>
      </c>
      <c r="F66" s="279"/>
      <c r="G66" s="279"/>
      <c r="H66" s="101"/>
      <c r="I66" s="280">
        <v>49548.77</v>
      </c>
      <c r="J66" s="103">
        <f t="shared" si="2"/>
        <v>9414.2663</v>
      </c>
      <c r="K66" s="103">
        <f t="shared" si="3"/>
        <v>58963.0363</v>
      </c>
      <c r="L66" s="287">
        <f t="shared" si="4"/>
        <v>58963.0363</v>
      </c>
      <c r="M66" s="106"/>
      <c r="N66" s="112">
        <v>61748.0</v>
      </c>
      <c r="O66" s="103">
        <f t="shared" si="5"/>
        <v>11732.12</v>
      </c>
      <c r="P66" s="107">
        <f t="shared" si="6"/>
        <v>73480.12</v>
      </c>
      <c r="Q66" s="281">
        <f t="shared" si="7"/>
        <v>73480.12</v>
      </c>
      <c r="R66" s="106"/>
      <c r="S66" s="112">
        <v>63600.0</v>
      </c>
      <c r="T66" s="109">
        <f t="shared" si="8"/>
        <v>12084</v>
      </c>
      <c r="U66" s="109">
        <f t="shared" si="9"/>
        <v>75684</v>
      </c>
      <c r="V66" s="284">
        <f t="shared" si="10"/>
        <v>75684</v>
      </c>
      <c r="W66" s="111"/>
      <c r="X66" s="112">
        <v>66462.0</v>
      </c>
      <c r="Y66" s="109">
        <f t="shared" si="11"/>
        <v>12627.78</v>
      </c>
      <c r="Z66" s="109">
        <f t="shared" si="12"/>
        <v>79089.78</v>
      </c>
      <c r="AA66" s="285">
        <f t="shared" si="13"/>
        <v>79089.78</v>
      </c>
      <c r="AB66" s="286">
        <f t="shared" si="14"/>
        <v>49548.77</v>
      </c>
      <c r="AC66" s="286">
        <f t="shared" si="15"/>
        <v>66462</v>
      </c>
    </row>
    <row r="67" ht="15.75" customHeight="1">
      <c r="A67" s="101"/>
      <c r="B67" s="276">
        <v>56.0</v>
      </c>
      <c r="C67" s="277" t="s">
        <v>144</v>
      </c>
      <c r="D67" s="116" t="s">
        <v>96</v>
      </c>
      <c r="E67" s="278">
        <v>1.0</v>
      </c>
      <c r="F67" s="279"/>
      <c r="G67" s="279"/>
      <c r="H67" s="101"/>
      <c r="I67" s="280">
        <v>29460.46</v>
      </c>
      <c r="J67" s="103">
        <f t="shared" si="2"/>
        <v>5597.4874</v>
      </c>
      <c r="K67" s="103">
        <f t="shared" si="3"/>
        <v>35057.9474</v>
      </c>
      <c r="L67" s="287">
        <f t="shared" si="4"/>
        <v>35057.9474</v>
      </c>
      <c r="M67" s="106"/>
      <c r="N67" s="112">
        <v>30870.0</v>
      </c>
      <c r="O67" s="103">
        <f t="shared" si="5"/>
        <v>5865.3</v>
      </c>
      <c r="P67" s="107">
        <f t="shared" si="6"/>
        <v>36735.3</v>
      </c>
      <c r="Q67" s="281">
        <f t="shared" si="7"/>
        <v>36735.3</v>
      </c>
      <c r="R67" s="106"/>
      <c r="S67" s="112">
        <v>31796.0</v>
      </c>
      <c r="T67" s="109">
        <f t="shared" si="8"/>
        <v>6041.24</v>
      </c>
      <c r="U67" s="109">
        <f t="shared" si="9"/>
        <v>37837.24</v>
      </c>
      <c r="V67" s="284">
        <f t="shared" si="10"/>
        <v>37837.24</v>
      </c>
      <c r="W67" s="111"/>
      <c r="X67" s="112">
        <v>32148.0</v>
      </c>
      <c r="Y67" s="109">
        <f t="shared" si="11"/>
        <v>6108.12</v>
      </c>
      <c r="Z67" s="109">
        <f t="shared" si="12"/>
        <v>38256.12</v>
      </c>
      <c r="AA67" s="285">
        <f t="shared" si="13"/>
        <v>38256.12</v>
      </c>
      <c r="AB67" s="286">
        <f t="shared" si="14"/>
        <v>29460.46</v>
      </c>
      <c r="AC67" s="286">
        <f t="shared" si="15"/>
        <v>32148</v>
      </c>
    </row>
    <row r="68" ht="15.75" customHeight="1">
      <c r="A68" s="101"/>
      <c r="B68" s="276">
        <v>57.0</v>
      </c>
      <c r="C68" s="277" t="s">
        <v>145</v>
      </c>
      <c r="D68" s="116" t="s">
        <v>96</v>
      </c>
      <c r="E68" s="278">
        <v>1.0</v>
      </c>
      <c r="F68" s="279"/>
      <c r="G68" s="279"/>
      <c r="H68" s="101"/>
      <c r="I68" s="280">
        <v>30274.2</v>
      </c>
      <c r="J68" s="103">
        <f t="shared" si="2"/>
        <v>5752.098</v>
      </c>
      <c r="K68" s="103">
        <f t="shared" si="3"/>
        <v>36026.298</v>
      </c>
      <c r="L68" s="287">
        <f t="shared" si="4"/>
        <v>36026.298</v>
      </c>
      <c r="M68" s="106"/>
      <c r="N68" s="112">
        <v>30870.0</v>
      </c>
      <c r="O68" s="103">
        <f t="shared" si="5"/>
        <v>5865.3</v>
      </c>
      <c r="P68" s="107">
        <f t="shared" si="6"/>
        <v>36735.3</v>
      </c>
      <c r="Q68" s="281">
        <f t="shared" si="7"/>
        <v>36735.3</v>
      </c>
      <c r="R68" s="106"/>
      <c r="S68" s="112">
        <v>31796.0</v>
      </c>
      <c r="T68" s="109">
        <f t="shared" si="8"/>
        <v>6041.24</v>
      </c>
      <c r="U68" s="109">
        <f t="shared" si="9"/>
        <v>37837.24</v>
      </c>
      <c r="V68" s="284">
        <f t="shared" si="10"/>
        <v>37837.24</v>
      </c>
      <c r="W68" s="111"/>
      <c r="X68" s="112">
        <v>35682.0</v>
      </c>
      <c r="Y68" s="109">
        <f t="shared" si="11"/>
        <v>6779.58</v>
      </c>
      <c r="Z68" s="109">
        <f t="shared" si="12"/>
        <v>42461.58</v>
      </c>
      <c r="AA68" s="285">
        <f t="shared" si="13"/>
        <v>42461.58</v>
      </c>
      <c r="AB68" s="286">
        <f t="shared" si="14"/>
        <v>30274.2</v>
      </c>
      <c r="AC68" s="286">
        <f t="shared" si="15"/>
        <v>35682</v>
      </c>
    </row>
    <row r="69" ht="15.75" customHeight="1">
      <c r="A69" s="101"/>
      <c r="B69" s="276">
        <v>58.0</v>
      </c>
      <c r="C69" s="277" t="s">
        <v>146</v>
      </c>
      <c r="D69" s="116" t="s">
        <v>96</v>
      </c>
      <c r="E69" s="278">
        <v>1.0</v>
      </c>
      <c r="F69" s="279"/>
      <c r="G69" s="279"/>
      <c r="H69" s="101"/>
      <c r="I69" s="280">
        <v>40173.36</v>
      </c>
      <c r="J69" s="103">
        <f t="shared" si="2"/>
        <v>7632.9384</v>
      </c>
      <c r="K69" s="103">
        <f t="shared" si="3"/>
        <v>47806.2984</v>
      </c>
      <c r="L69" s="281">
        <f t="shared" si="4"/>
        <v>47806.2984</v>
      </c>
      <c r="M69" s="106"/>
      <c r="N69" s="112">
        <v>39982.0</v>
      </c>
      <c r="O69" s="103">
        <f t="shared" si="5"/>
        <v>7596.58</v>
      </c>
      <c r="P69" s="107">
        <f t="shared" si="6"/>
        <v>47578.58</v>
      </c>
      <c r="Q69" s="283">
        <f t="shared" si="7"/>
        <v>47578.58</v>
      </c>
      <c r="R69" s="106"/>
      <c r="S69" s="112">
        <v>41181.0</v>
      </c>
      <c r="T69" s="109">
        <f t="shared" si="8"/>
        <v>7824.39</v>
      </c>
      <c r="U69" s="109">
        <f t="shared" si="9"/>
        <v>49005.39</v>
      </c>
      <c r="V69" s="284">
        <f t="shared" si="10"/>
        <v>49005.39</v>
      </c>
      <c r="W69" s="111"/>
      <c r="X69" s="112">
        <v>43092.0</v>
      </c>
      <c r="Y69" s="109">
        <f t="shared" si="11"/>
        <v>8187.48</v>
      </c>
      <c r="Z69" s="109">
        <f t="shared" si="12"/>
        <v>51279.48</v>
      </c>
      <c r="AA69" s="285">
        <f t="shared" si="13"/>
        <v>51279.48</v>
      </c>
      <c r="AB69" s="286">
        <f t="shared" si="14"/>
        <v>39982</v>
      </c>
      <c r="AC69" s="286">
        <f t="shared" si="15"/>
        <v>43092</v>
      </c>
    </row>
    <row r="70" ht="15.75" customHeight="1">
      <c r="A70" s="101"/>
      <c r="B70" s="276">
        <v>59.0</v>
      </c>
      <c r="C70" s="277" t="s">
        <v>147</v>
      </c>
      <c r="D70" s="116" t="s">
        <v>96</v>
      </c>
      <c r="E70" s="278">
        <v>1.0</v>
      </c>
      <c r="F70" s="279"/>
      <c r="G70" s="279"/>
      <c r="H70" s="101"/>
      <c r="I70" s="280">
        <v>10712.89</v>
      </c>
      <c r="J70" s="103">
        <f t="shared" si="2"/>
        <v>2035.4491</v>
      </c>
      <c r="K70" s="103">
        <f t="shared" si="3"/>
        <v>12748.3391</v>
      </c>
      <c r="L70" s="287">
        <f t="shared" si="4"/>
        <v>12748.3391</v>
      </c>
      <c r="M70" s="106"/>
      <c r="N70" s="112">
        <v>11718.0</v>
      </c>
      <c r="O70" s="103">
        <f t="shared" si="5"/>
        <v>2226.42</v>
      </c>
      <c r="P70" s="107">
        <f t="shared" si="6"/>
        <v>13944.42</v>
      </c>
      <c r="Q70" s="281">
        <f t="shared" si="7"/>
        <v>13944.42</v>
      </c>
      <c r="R70" s="106"/>
      <c r="S70" s="112">
        <v>12070.0</v>
      </c>
      <c r="T70" s="109">
        <f t="shared" si="8"/>
        <v>2293.3</v>
      </c>
      <c r="U70" s="109">
        <f t="shared" si="9"/>
        <v>14363.3</v>
      </c>
      <c r="V70" s="284">
        <f t="shared" si="10"/>
        <v>14363.3</v>
      </c>
      <c r="W70" s="111"/>
      <c r="X70" s="112">
        <v>11172.0</v>
      </c>
      <c r="Y70" s="109">
        <f t="shared" si="11"/>
        <v>2122.68</v>
      </c>
      <c r="Z70" s="109">
        <f t="shared" si="12"/>
        <v>13294.68</v>
      </c>
      <c r="AA70" s="285">
        <f t="shared" si="13"/>
        <v>13294.68</v>
      </c>
      <c r="AB70" s="286">
        <f t="shared" si="14"/>
        <v>10712.89</v>
      </c>
      <c r="AC70" s="286">
        <f t="shared" si="15"/>
        <v>12070</v>
      </c>
    </row>
    <row r="71" ht="15.75" customHeight="1">
      <c r="A71" s="101"/>
      <c r="B71" s="276">
        <v>60.0</v>
      </c>
      <c r="C71" s="277" t="s">
        <v>148</v>
      </c>
      <c r="D71" s="116" t="s">
        <v>94</v>
      </c>
      <c r="E71" s="278">
        <v>1.0</v>
      </c>
      <c r="F71" s="279"/>
      <c r="G71" s="279"/>
      <c r="H71" s="101"/>
      <c r="I71" s="280">
        <v>10043.34</v>
      </c>
      <c r="J71" s="103">
        <f t="shared" si="2"/>
        <v>1908.2346</v>
      </c>
      <c r="K71" s="103">
        <f t="shared" si="3"/>
        <v>11951.5746</v>
      </c>
      <c r="L71" s="281">
        <f t="shared" si="4"/>
        <v>11951.5746</v>
      </c>
      <c r="M71" s="106"/>
      <c r="N71" s="112">
        <v>9988.0</v>
      </c>
      <c r="O71" s="103">
        <f t="shared" si="5"/>
        <v>1897.72</v>
      </c>
      <c r="P71" s="107">
        <f t="shared" si="6"/>
        <v>11885.72</v>
      </c>
      <c r="Q71" s="283">
        <f t="shared" si="7"/>
        <v>11885.72</v>
      </c>
      <c r="R71" s="106"/>
      <c r="S71" s="112">
        <v>10288.0</v>
      </c>
      <c r="T71" s="109">
        <f t="shared" si="8"/>
        <v>1954.72</v>
      </c>
      <c r="U71" s="109">
        <f t="shared" si="9"/>
        <v>12242.72</v>
      </c>
      <c r="V71" s="284">
        <f t="shared" si="10"/>
        <v>12242.72</v>
      </c>
      <c r="W71" s="111"/>
      <c r="X71" s="112">
        <v>10146.0</v>
      </c>
      <c r="Y71" s="109">
        <f t="shared" si="11"/>
        <v>1927.74</v>
      </c>
      <c r="Z71" s="109">
        <f t="shared" si="12"/>
        <v>12073.74</v>
      </c>
      <c r="AA71" s="285">
        <f t="shared" si="13"/>
        <v>12073.74</v>
      </c>
      <c r="AB71" s="286">
        <f t="shared" si="14"/>
        <v>9988</v>
      </c>
      <c r="AC71" s="286">
        <f t="shared" si="15"/>
        <v>10288</v>
      </c>
    </row>
    <row r="72" ht="15.75" customHeight="1">
      <c r="A72" s="101"/>
      <c r="B72" s="276">
        <v>61.0</v>
      </c>
      <c r="C72" s="277" t="s">
        <v>149</v>
      </c>
      <c r="D72" s="116" t="s">
        <v>94</v>
      </c>
      <c r="E72" s="278">
        <v>1.0</v>
      </c>
      <c r="F72" s="279"/>
      <c r="G72" s="279"/>
      <c r="H72" s="101"/>
      <c r="I72" s="280">
        <v>14699.81</v>
      </c>
      <c r="J72" s="103">
        <f t="shared" si="2"/>
        <v>2792.9639</v>
      </c>
      <c r="K72" s="103">
        <f t="shared" si="3"/>
        <v>17492.7739</v>
      </c>
      <c r="L72" s="289">
        <f t="shared" si="4"/>
        <v>17492.7739</v>
      </c>
      <c r="M72" s="106"/>
      <c r="N72" s="112">
        <v>14117.0</v>
      </c>
      <c r="O72" s="103">
        <f t="shared" si="5"/>
        <v>2682.23</v>
      </c>
      <c r="P72" s="107">
        <f t="shared" si="6"/>
        <v>16799.23</v>
      </c>
      <c r="Q72" s="283">
        <f t="shared" si="7"/>
        <v>16799.23</v>
      </c>
      <c r="R72" s="106"/>
      <c r="S72" s="112">
        <v>14541.0</v>
      </c>
      <c r="T72" s="109">
        <f t="shared" si="8"/>
        <v>2762.79</v>
      </c>
      <c r="U72" s="109">
        <f t="shared" si="9"/>
        <v>17303.79</v>
      </c>
      <c r="V72" s="281">
        <f t="shared" si="10"/>
        <v>17303.79</v>
      </c>
      <c r="W72" s="111"/>
      <c r="X72" s="112">
        <v>17898.0</v>
      </c>
      <c r="Y72" s="109">
        <f t="shared" si="11"/>
        <v>3400.62</v>
      </c>
      <c r="Z72" s="109">
        <f t="shared" si="12"/>
        <v>21298.62</v>
      </c>
      <c r="AA72" s="285">
        <f t="shared" si="13"/>
        <v>21298.62</v>
      </c>
      <c r="AB72" s="286">
        <f t="shared" si="14"/>
        <v>14117</v>
      </c>
      <c r="AC72" s="286">
        <f t="shared" si="15"/>
        <v>17898</v>
      </c>
    </row>
    <row r="73" ht="15.75" customHeight="1">
      <c r="A73" s="101"/>
      <c r="B73" s="276">
        <v>62.0</v>
      </c>
      <c r="C73" s="277" t="s">
        <v>150</v>
      </c>
      <c r="D73" s="116" t="s">
        <v>94</v>
      </c>
      <c r="E73" s="278">
        <v>1.0</v>
      </c>
      <c r="F73" s="279"/>
      <c r="G73" s="279"/>
      <c r="H73" s="101"/>
      <c r="I73" s="280">
        <v>46353.16</v>
      </c>
      <c r="J73" s="103">
        <f t="shared" si="2"/>
        <v>8807.1004</v>
      </c>
      <c r="K73" s="103">
        <f t="shared" si="3"/>
        <v>55160.2604</v>
      </c>
      <c r="L73" s="287">
        <f t="shared" si="4"/>
        <v>55160.2604</v>
      </c>
      <c r="M73" s="106"/>
      <c r="N73" s="112">
        <v>51805.0</v>
      </c>
      <c r="O73" s="103">
        <f t="shared" si="5"/>
        <v>9842.95</v>
      </c>
      <c r="P73" s="107">
        <f t="shared" si="6"/>
        <v>61647.95</v>
      </c>
      <c r="Q73" s="281">
        <f t="shared" si="7"/>
        <v>61647.95</v>
      </c>
      <c r="R73" s="106"/>
      <c r="S73" s="112">
        <v>53359.0</v>
      </c>
      <c r="T73" s="109">
        <f t="shared" si="8"/>
        <v>10138.21</v>
      </c>
      <c r="U73" s="109">
        <f t="shared" si="9"/>
        <v>63497.21</v>
      </c>
      <c r="V73" s="284">
        <f t="shared" si="10"/>
        <v>63497.21</v>
      </c>
      <c r="W73" s="111"/>
      <c r="X73" s="112">
        <v>56772.0</v>
      </c>
      <c r="Y73" s="109">
        <f t="shared" si="11"/>
        <v>10786.68</v>
      </c>
      <c r="Z73" s="109">
        <f t="shared" si="12"/>
        <v>67558.68</v>
      </c>
      <c r="AA73" s="285">
        <f t="shared" si="13"/>
        <v>67558.68</v>
      </c>
      <c r="AB73" s="286">
        <f t="shared" si="14"/>
        <v>46353.16</v>
      </c>
      <c r="AC73" s="286">
        <f t="shared" si="15"/>
        <v>56772</v>
      </c>
    </row>
    <row r="74" ht="15.75" customHeight="1">
      <c r="A74" s="101"/>
      <c r="B74" s="276">
        <v>63.0</v>
      </c>
      <c r="C74" s="277" t="s">
        <v>151</v>
      </c>
      <c r="D74" s="116" t="s">
        <v>96</v>
      </c>
      <c r="E74" s="278">
        <v>1.0</v>
      </c>
      <c r="F74" s="279"/>
      <c r="G74" s="279"/>
      <c r="H74" s="101"/>
      <c r="I74" s="280">
        <v>23546.6</v>
      </c>
      <c r="J74" s="103">
        <f t="shared" si="2"/>
        <v>4473.854</v>
      </c>
      <c r="K74" s="103">
        <f t="shared" si="3"/>
        <v>28020.454</v>
      </c>
      <c r="L74" s="287">
        <f t="shared" si="4"/>
        <v>28020.454</v>
      </c>
      <c r="M74" s="106"/>
      <c r="N74" s="112">
        <v>29990.0</v>
      </c>
      <c r="O74" s="103">
        <f t="shared" si="5"/>
        <v>5698.1</v>
      </c>
      <c r="P74" s="107">
        <f t="shared" si="6"/>
        <v>35688.1</v>
      </c>
      <c r="Q74" s="281">
        <f t="shared" si="7"/>
        <v>35688.1</v>
      </c>
      <c r="R74" s="106"/>
      <c r="S74" s="112">
        <v>30890.0</v>
      </c>
      <c r="T74" s="109">
        <f t="shared" si="8"/>
        <v>5869.1</v>
      </c>
      <c r="U74" s="109">
        <f t="shared" si="9"/>
        <v>36759.1</v>
      </c>
      <c r="V74" s="284">
        <f t="shared" si="10"/>
        <v>36759.1</v>
      </c>
      <c r="W74" s="111"/>
      <c r="X74" s="112">
        <v>36708.0</v>
      </c>
      <c r="Y74" s="109">
        <f t="shared" si="11"/>
        <v>6974.52</v>
      </c>
      <c r="Z74" s="109">
        <f t="shared" si="12"/>
        <v>43682.52</v>
      </c>
      <c r="AA74" s="285">
        <f t="shared" si="13"/>
        <v>43682.52</v>
      </c>
      <c r="AB74" s="286">
        <f t="shared" si="14"/>
        <v>23546.6</v>
      </c>
      <c r="AC74" s="286">
        <f t="shared" si="15"/>
        <v>36708</v>
      </c>
    </row>
    <row r="75" ht="15.75" customHeight="1">
      <c r="A75" s="101"/>
      <c r="B75" s="276">
        <v>64.0</v>
      </c>
      <c r="C75" s="277" t="s">
        <v>152</v>
      </c>
      <c r="D75" s="116" t="s">
        <v>153</v>
      </c>
      <c r="E75" s="278">
        <v>1.0</v>
      </c>
      <c r="F75" s="279"/>
      <c r="G75" s="279"/>
      <c r="H75" s="101"/>
      <c r="I75" s="280">
        <v>1071.29</v>
      </c>
      <c r="J75" s="103">
        <f t="shared" si="2"/>
        <v>203.5451</v>
      </c>
      <c r="K75" s="103">
        <f t="shared" si="3"/>
        <v>1274.8351</v>
      </c>
      <c r="L75" s="287">
        <f t="shared" si="4"/>
        <v>1274.8351</v>
      </c>
      <c r="M75" s="106"/>
      <c r="N75" s="112">
        <v>1268.0</v>
      </c>
      <c r="O75" s="103">
        <f t="shared" si="5"/>
        <v>240.92</v>
      </c>
      <c r="P75" s="107">
        <f t="shared" si="6"/>
        <v>1508.92</v>
      </c>
      <c r="Q75" s="281">
        <f t="shared" si="7"/>
        <v>1508.92</v>
      </c>
      <c r="R75" s="106"/>
      <c r="S75" s="112">
        <v>1306.0</v>
      </c>
      <c r="T75" s="109">
        <f t="shared" si="8"/>
        <v>248.14</v>
      </c>
      <c r="U75" s="109">
        <f t="shared" si="9"/>
        <v>1554.14</v>
      </c>
      <c r="V75" s="284">
        <f t="shared" si="10"/>
        <v>1554.14</v>
      </c>
      <c r="W75" s="111"/>
      <c r="X75" s="112">
        <v>1675.8</v>
      </c>
      <c r="Y75" s="109">
        <f t="shared" si="11"/>
        <v>318.402</v>
      </c>
      <c r="Z75" s="109">
        <f t="shared" si="12"/>
        <v>1994.202</v>
      </c>
      <c r="AA75" s="285">
        <f t="shared" si="13"/>
        <v>1994.202</v>
      </c>
      <c r="AB75" s="286">
        <f t="shared" si="14"/>
        <v>1071.29</v>
      </c>
      <c r="AC75" s="286">
        <f t="shared" si="15"/>
        <v>1675.8</v>
      </c>
    </row>
    <row r="76" ht="15.75" customHeight="1">
      <c r="A76" s="101"/>
      <c r="B76" s="276">
        <v>65.0</v>
      </c>
      <c r="C76" s="277" t="s">
        <v>154</v>
      </c>
      <c r="D76" s="116" t="s">
        <v>153</v>
      </c>
      <c r="E76" s="278">
        <v>1.0</v>
      </c>
      <c r="F76" s="279"/>
      <c r="G76" s="279"/>
      <c r="H76" s="101"/>
      <c r="I76" s="280">
        <v>2142.58</v>
      </c>
      <c r="J76" s="103">
        <f t="shared" si="2"/>
        <v>407.0902</v>
      </c>
      <c r="K76" s="103">
        <f t="shared" si="3"/>
        <v>2549.6702</v>
      </c>
      <c r="L76" s="287">
        <f t="shared" si="4"/>
        <v>2549.6702</v>
      </c>
      <c r="M76" s="106"/>
      <c r="N76" s="112">
        <v>2238.0</v>
      </c>
      <c r="O76" s="103">
        <f t="shared" si="5"/>
        <v>425.22</v>
      </c>
      <c r="P76" s="107">
        <f t="shared" si="6"/>
        <v>2663.22</v>
      </c>
      <c r="Q76" s="281">
        <f t="shared" si="7"/>
        <v>2663.22</v>
      </c>
      <c r="R76" s="106"/>
      <c r="S76" s="112">
        <v>2305.0</v>
      </c>
      <c r="T76" s="109">
        <f t="shared" si="8"/>
        <v>437.95</v>
      </c>
      <c r="U76" s="109">
        <f t="shared" si="9"/>
        <v>2742.95</v>
      </c>
      <c r="V76" s="284">
        <f t="shared" si="10"/>
        <v>2742.95</v>
      </c>
      <c r="W76" s="111"/>
      <c r="X76" s="112">
        <v>2131.8</v>
      </c>
      <c r="Y76" s="109">
        <f t="shared" si="11"/>
        <v>405.042</v>
      </c>
      <c r="Z76" s="109">
        <f t="shared" si="12"/>
        <v>2536.842</v>
      </c>
      <c r="AA76" s="285">
        <f t="shared" si="13"/>
        <v>2536.842</v>
      </c>
      <c r="AB76" s="286">
        <f t="shared" si="14"/>
        <v>2131.8</v>
      </c>
      <c r="AC76" s="286">
        <f t="shared" si="15"/>
        <v>2305</v>
      </c>
    </row>
    <row r="77" ht="15.75" customHeight="1">
      <c r="A77" s="101"/>
      <c r="B77" s="276">
        <v>66.0</v>
      </c>
      <c r="C77" s="277" t="s">
        <v>155</v>
      </c>
      <c r="D77" s="116" t="s">
        <v>153</v>
      </c>
      <c r="E77" s="278">
        <v>1.0</v>
      </c>
      <c r="F77" s="279"/>
      <c r="G77" s="279"/>
      <c r="H77" s="101"/>
      <c r="I77" s="280">
        <v>2354.66</v>
      </c>
      <c r="J77" s="103">
        <f t="shared" si="2"/>
        <v>447.3854</v>
      </c>
      <c r="K77" s="103">
        <f t="shared" si="3"/>
        <v>2802.0454</v>
      </c>
      <c r="L77" s="289">
        <f t="shared" si="4"/>
        <v>2802.0454</v>
      </c>
      <c r="M77" s="106"/>
      <c r="N77" s="112">
        <v>2238.0</v>
      </c>
      <c r="O77" s="103">
        <f t="shared" si="5"/>
        <v>425.22</v>
      </c>
      <c r="P77" s="107">
        <f t="shared" si="6"/>
        <v>2663.22</v>
      </c>
      <c r="Q77" s="283">
        <f t="shared" si="7"/>
        <v>2663.22</v>
      </c>
      <c r="R77" s="106"/>
      <c r="S77" s="112">
        <v>2305.0</v>
      </c>
      <c r="T77" s="109">
        <f t="shared" si="8"/>
        <v>437.95</v>
      </c>
      <c r="U77" s="109">
        <f t="shared" si="9"/>
        <v>2742.95</v>
      </c>
      <c r="V77" s="281">
        <f t="shared" si="10"/>
        <v>2742.95</v>
      </c>
      <c r="W77" s="111"/>
      <c r="X77" s="112">
        <v>2815.8</v>
      </c>
      <c r="Y77" s="109">
        <f t="shared" si="11"/>
        <v>535.002</v>
      </c>
      <c r="Z77" s="109">
        <f t="shared" si="12"/>
        <v>3350.802</v>
      </c>
      <c r="AA77" s="285">
        <f t="shared" si="13"/>
        <v>3350.802</v>
      </c>
      <c r="AB77" s="286">
        <f t="shared" si="14"/>
        <v>2238</v>
      </c>
      <c r="AC77" s="286">
        <f t="shared" si="15"/>
        <v>2815.8</v>
      </c>
    </row>
    <row r="78" ht="15.75" customHeight="1">
      <c r="A78" s="101"/>
      <c r="B78" s="276">
        <v>67.0</v>
      </c>
      <c r="C78" s="277" t="s">
        <v>156</v>
      </c>
      <c r="D78" s="116" t="s">
        <v>96</v>
      </c>
      <c r="E78" s="278">
        <v>1.0</v>
      </c>
      <c r="F78" s="279"/>
      <c r="G78" s="279"/>
      <c r="H78" s="101"/>
      <c r="I78" s="280">
        <v>41038.36</v>
      </c>
      <c r="J78" s="103">
        <f t="shared" si="2"/>
        <v>7797.2884</v>
      </c>
      <c r="K78" s="103">
        <f t="shared" si="3"/>
        <v>48835.6484</v>
      </c>
      <c r="L78" s="281">
        <f t="shared" si="4"/>
        <v>48835.6484</v>
      </c>
      <c r="M78" s="106"/>
      <c r="N78" s="112">
        <v>40331.0</v>
      </c>
      <c r="O78" s="103">
        <f t="shared" si="5"/>
        <v>7662.89</v>
      </c>
      <c r="P78" s="107">
        <f t="shared" si="6"/>
        <v>47993.89</v>
      </c>
      <c r="Q78" s="283">
        <f t="shared" si="7"/>
        <v>47993.89</v>
      </c>
      <c r="R78" s="106"/>
      <c r="S78" s="112">
        <v>41541.0</v>
      </c>
      <c r="T78" s="109">
        <f t="shared" si="8"/>
        <v>7892.79</v>
      </c>
      <c r="U78" s="109">
        <f t="shared" si="9"/>
        <v>49433.79</v>
      </c>
      <c r="V78" s="284">
        <f t="shared" si="10"/>
        <v>49433.79</v>
      </c>
      <c r="W78" s="111"/>
      <c r="X78" s="112">
        <v>44232.0</v>
      </c>
      <c r="Y78" s="109">
        <f t="shared" si="11"/>
        <v>8404.08</v>
      </c>
      <c r="Z78" s="109">
        <f t="shared" si="12"/>
        <v>52636.08</v>
      </c>
      <c r="AA78" s="285">
        <f t="shared" si="13"/>
        <v>52636.08</v>
      </c>
      <c r="AB78" s="286">
        <f t="shared" si="14"/>
        <v>40331</v>
      </c>
      <c r="AC78" s="286">
        <f t="shared" si="15"/>
        <v>44232</v>
      </c>
    </row>
    <row r="79" ht="15.75" customHeight="1">
      <c r="A79" s="101"/>
      <c r="B79" s="276">
        <v>68.0</v>
      </c>
      <c r="C79" s="277" t="s">
        <v>157</v>
      </c>
      <c r="D79" s="116" t="s">
        <v>96</v>
      </c>
      <c r="E79" s="278">
        <v>1.0</v>
      </c>
      <c r="F79" s="279"/>
      <c r="G79" s="279"/>
      <c r="H79" s="101"/>
      <c r="I79" s="280">
        <v>48775.1</v>
      </c>
      <c r="J79" s="103">
        <f t="shared" si="2"/>
        <v>9267.269</v>
      </c>
      <c r="K79" s="103">
        <f t="shared" si="3"/>
        <v>58042.369</v>
      </c>
      <c r="L79" s="289">
        <f t="shared" si="4"/>
        <v>58042.369</v>
      </c>
      <c r="M79" s="106"/>
      <c r="N79" s="112">
        <v>47253.0</v>
      </c>
      <c r="O79" s="103">
        <f t="shared" si="5"/>
        <v>8978.07</v>
      </c>
      <c r="P79" s="107">
        <f t="shared" si="6"/>
        <v>56231.07</v>
      </c>
      <c r="Q79" s="283">
        <f t="shared" si="7"/>
        <v>56231.07</v>
      </c>
      <c r="R79" s="106"/>
      <c r="S79" s="112">
        <v>48671.0</v>
      </c>
      <c r="T79" s="109">
        <f t="shared" si="8"/>
        <v>9247.49</v>
      </c>
      <c r="U79" s="109">
        <f t="shared" si="9"/>
        <v>57918.49</v>
      </c>
      <c r="V79" s="281">
        <f t="shared" si="10"/>
        <v>57918.49</v>
      </c>
      <c r="W79" s="111"/>
      <c r="X79" s="112">
        <v>55518.0</v>
      </c>
      <c r="Y79" s="109">
        <f t="shared" si="11"/>
        <v>10548.42</v>
      </c>
      <c r="Z79" s="109">
        <f t="shared" si="12"/>
        <v>66066.42</v>
      </c>
      <c r="AA79" s="285">
        <f t="shared" si="13"/>
        <v>66066.42</v>
      </c>
      <c r="AB79" s="286">
        <f t="shared" si="14"/>
        <v>47253</v>
      </c>
      <c r="AC79" s="286">
        <f t="shared" si="15"/>
        <v>55518</v>
      </c>
    </row>
    <row r="80" ht="15.75" customHeight="1">
      <c r="A80" s="101"/>
      <c r="B80" s="276">
        <v>69.0</v>
      </c>
      <c r="C80" s="277" t="s">
        <v>158</v>
      </c>
      <c r="D80" s="116" t="s">
        <v>96</v>
      </c>
      <c r="E80" s="278">
        <v>1.0</v>
      </c>
      <c r="F80" s="279"/>
      <c r="G80" s="279"/>
      <c r="H80" s="101"/>
      <c r="I80" s="280">
        <v>25564.88</v>
      </c>
      <c r="J80" s="103">
        <f t="shared" si="2"/>
        <v>4857.3272</v>
      </c>
      <c r="K80" s="103">
        <f t="shared" si="3"/>
        <v>30422.2072</v>
      </c>
      <c r="L80" s="287">
        <f t="shared" si="4"/>
        <v>30422.2072</v>
      </c>
      <c r="M80" s="106"/>
      <c r="N80" s="112">
        <v>26410.0</v>
      </c>
      <c r="O80" s="103">
        <f t="shared" si="5"/>
        <v>5017.9</v>
      </c>
      <c r="P80" s="107">
        <f t="shared" si="6"/>
        <v>31427.9</v>
      </c>
      <c r="Q80" s="281">
        <f t="shared" si="7"/>
        <v>31427.9</v>
      </c>
      <c r="R80" s="106"/>
      <c r="S80" s="112">
        <v>27202.0</v>
      </c>
      <c r="T80" s="109">
        <f t="shared" si="8"/>
        <v>5168.38</v>
      </c>
      <c r="U80" s="109">
        <f t="shared" si="9"/>
        <v>32370.38</v>
      </c>
      <c r="V80" s="284">
        <f t="shared" si="10"/>
        <v>32370.38</v>
      </c>
      <c r="W80" s="111"/>
      <c r="X80" s="112">
        <v>29184.0</v>
      </c>
      <c r="Y80" s="109">
        <f t="shared" si="11"/>
        <v>5544.96</v>
      </c>
      <c r="Z80" s="109">
        <f t="shared" si="12"/>
        <v>34728.96</v>
      </c>
      <c r="AA80" s="285">
        <f t="shared" si="13"/>
        <v>34728.96</v>
      </c>
      <c r="AB80" s="286">
        <f t="shared" si="14"/>
        <v>25564.88</v>
      </c>
      <c r="AC80" s="286">
        <f t="shared" si="15"/>
        <v>29184</v>
      </c>
    </row>
    <row r="81" ht="15.75" customHeight="1">
      <c r="A81" s="101"/>
      <c r="B81" s="276">
        <v>70.0</v>
      </c>
      <c r="C81" s="277" t="s">
        <v>159</v>
      </c>
      <c r="D81" s="116" t="s">
        <v>79</v>
      </c>
      <c r="E81" s="278">
        <v>1.0</v>
      </c>
      <c r="F81" s="279"/>
      <c r="G81" s="279"/>
      <c r="H81" s="101"/>
      <c r="I81" s="280">
        <v>37506.37</v>
      </c>
      <c r="J81" s="103">
        <f t="shared" si="2"/>
        <v>7126.2103</v>
      </c>
      <c r="K81" s="103">
        <f t="shared" si="3"/>
        <v>44632.5803</v>
      </c>
      <c r="L81" s="287">
        <f t="shared" si="4"/>
        <v>44632.5803</v>
      </c>
      <c r="M81" s="106"/>
      <c r="N81" s="112">
        <v>63454.0</v>
      </c>
      <c r="O81" s="103">
        <f t="shared" si="5"/>
        <v>12056.26</v>
      </c>
      <c r="P81" s="107">
        <f t="shared" si="6"/>
        <v>75510.26</v>
      </c>
      <c r="Q81" s="281">
        <f t="shared" si="7"/>
        <v>75510.26</v>
      </c>
      <c r="R81" s="106"/>
      <c r="S81" s="112">
        <v>65358.0</v>
      </c>
      <c r="T81" s="109">
        <f t="shared" si="8"/>
        <v>12418.02</v>
      </c>
      <c r="U81" s="109">
        <f t="shared" si="9"/>
        <v>77776.02</v>
      </c>
      <c r="V81" s="284">
        <f t="shared" si="10"/>
        <v>77776.02</v>
      </c>
      <c r="W81" s="111"/>
      <c r="X81" s="112">
        <v>69996.0</v>
      </c>
      <c r="Y81" s="109">
        <f t="shared" si="11"/>
        <v>13299.24</v>
      </c>
      <c r="Z81" s="109">
        <f t="shared" si="12"/>
        <v>83295.24</v>
      </c>
      <c r="AA81" s="285">
        <f t="shared" si="13"/>
        <v>83295.24</v>
      </c>
      <c r="AB81" s="286">
        <f t="shared" si="14"/>
        <v>37506.37</v>
      </c>
      <c r="AC81" s="286">
        <f t="shared" si="15"/>
        <v>69996</v>
      </c>
    </row>
    <row r="82" ht="15.75" customHeight="1">
      <c r="A82" s="101"/>
      <c r="B82" s="276">
        <v>71.0</v>
      </c>
      <c r="C82" s="277" t="s">
        <v>160</v>
      </c>
      <c r="D82" s="116" t="s">
        <v>79</v>
      </c>
      <c r="E82" s="278">
        <v>1.0</v>
      </c>
      <c r="F82" s="279"/>
      <c r="G82" s="279"/>
      <c r="H82" s="101"/>
      <c r="I82" s="280">
        <v>38683.7</v>
      </c>
      <c r="J82" s="103">
        <f t="shared" si="2"/>
        <v>7349.903</v>
      </c>
      <c r="K82" s="103">
        <f t="shared" si="3"/>
        <v>46033.603</v>
      </c>
      <c r="L82" s="287">
        <f t="shared" si="4"/>
        <v>46033.603</v>
      </c>
      <c r="M82" s="106"/>
      <c r="N82" s="112">
        <v>53423.0</v>
      </c>
      <c r="O82" s="103">
        <f t="shared" si="5"/>
        <v>10150.37</v>
      </c>
      <c r="P82" s="107">
        <f t="shared" si="6"/>
        <v>63573.37</v>
      </c>
      <c r="Q82" s="281">
        <f t="shared" si="7"/>
        <v>63573.37</v>
      </c>
      <c r="R82" s="106"/>
      <c r="S82" s="112">
        <v>55026.0</v>
      </c>
      <c r="T82" s="109">
        <f t="shared" si="8"/>
        <v>10454.94</v>
      </c>
      <c r="U82" s="109">
        <f t="shared" si="9"/>
        <v>65480.94</v>
      </c>
      <c r="V82" s="284">
        <f t="shared" si="10"/>
        <v>65480.94</v>
      </c>
      <c r="W82" s="111"/>
      <c r="X82" s="112">
        <v>63612.0</v>
      </c>
      <c r="Y82" s="109">
        <f t="shared" si="11"/>
        <v>12086.28</v>
      </c>
      <c r="Z82" s="109">
        <f t="shared" si="12"/>
        <v>75698.28</v>
      </c>
      <c r="AA82" s="285">
        <f t="shared" si="13"/>
        <v>75698.28</v>
      </c>
      <c r="AB82" s="286">
        <f t="shared" si="14"/>
        <v>38683.7</v>
      </c>
      <c r="AC82" s="286">
        <f t="shared" si="15"/>
        <v>63612</v>
      </c>
    </row>
    <row r="83" ht="15.75" customHeight="1">
      <c r="A83" s="101"/>
      <c r="B83" s="276">
        <v>72.0</v>
      </c>
      <c r="C83" s="277" t="s">
        <v>161</v>
      </c>
      <c r="D83" s="116" t="s">
        <v>79</v>
      </c>
      <c r="E83" s="278">
        <v>1.0</v>
      </c>
      <c r="F83" s="279"/>
      <c r="G83" s="279"/>
      <c r="H83" s="101"/>
      <c r="I83" s="280">
        <v>32138.68</v>
      </c>
      <c r="J83" s="103">
        <f t="shared" si="2"/>
        <v>6106.3492</v>
      </c>
      <c r="K83" s="103">
        <f t="shared" si="3"/>
        <v>38245.0292</v>
      </c>
      <c r="L83" s="287">
        <f t="shared" si="4"/>
        <v>38245.0292</v>
      </c>
      <c r="M83" s="106"/>
      <c r="N83" s="112">
        <v>53400.0</v>
      </c>
      <c r="O83" s="103">
        <f t="shared" si="5"/>
        <v>10146</v>
      </c>
      <c r="P83" s="107">
        <f t="shared" si="6"/>
        <v>63546</v>
      </c>
      <c r="Q83" s="281">
        <f t="shared" si="7"/>
        <v>63546</v>
      </c>
      <c r="R83" s="106"/>
      <c r="S83" s="112">
        <v>55002.0</v>
      </c>
      <c r="T83" s="109">
        <f t="shared" si="8"/>
        <v>10450.38</v>
      </c>
      <c r="U83" s="109">
        <f t="shared" si="9"/>
        <v>65452.38</v>
      </c>
      <c r="V83" s="284">
        <f t="shared" si="10"/>
        <v>65452.38</v>
      </c>
      <c r="W83" s="111"/>
      <c r="X83" s="112">
        <v>64068.0</v>
      </c>
      <c r="Y83" s="109">
        <f t="shared" si="11"/>
        <v>12172.92</v>
      </c>
      <c r="Z83" s="109">
        <f t="shared" si="12"/>
        <v>76240.92</v>
      </c>
      <c r="AA83" s="285">
        <f t="shared" si="13"/>
        <v>76240.92</v>
      </c>
      <c r="AB83" s="286">
        <f t="shared" si="14"/>
        <v>32138.68</v>
      </c>
      <c r="AC83" s="286">
        <f t="shared" si="15"/>
        <v>64068</v>
      </c>
    </row>
    <row r="84" ht="15.75" customHeight="1">
      <c r="A84" s="101"/>
      <c r="B84" s="276">
        <v>73.0</v>
      </c>
      <c r="C84" s="277" t="s">
        <v>162</v>
      </c>
      <c r="D84" s="116" t="s">
        <v>79</v>
      </c>
      <c r="E84" s="278">
        <v>1.0</v>
      </c>
      <c r="F84" s="279"/>
      <c r="G84" s="279"/>
      <c r="H84" s="101"/>
      <c r="I84" s="280">
        <v>33477.8</v>
      </c>
      <c r="J84" s="103">
        <f t="shared" si="2"/>
        <v>6360.782</v>
      </c>
      <c r="K84" s="103">
        <f t="shared" si="3"/>
        <v>39838.582</v>
      </c>
      <c r="L84" s="287">
        <f t="shared" si="4"/>
        <v>39838.582</v>
      </c>
      <c r="M84" s="106"/>
      <c r="N84" s="112">
        <v>53423.0</v>
      </c>
      <c r="O84" s="103">
        <f t="shared" si="5"/>
        <v>10150.37</v>
      </c>
      <c r="P84" s="107">
        <f t="shared" si="6"/>
        <v>63573.37</v>
      </c>
      <c r="Q84" s="281">
        <f t="shared" si="7"/>
        <v>63573.37</v>
      </c>
      <c r="R84" s="106"/>
      <c r="S84" s="112">
        <v>55026.0</v>
      </c>
      <c r="T84" s="109">
        <f t="shared" si="8"/>
        <v>10454.94</v>
      </c>
      <c r="U84" s="109">
        <f t="shared" si="9"/>
        <v>65480.94</v>
      </c>
      <c r="V84" s="284">
        <f t="shared" si="10"/>
        <v>65480.94</v>
      </c>
      <c r="W84" s="111"/>
      <c r="X84" s="112">
        <v>58368.0</v>
      </c>
      <c r="Y84" s="109">
        <f t="shared" si="11"/>
        <v>11089.92</v>
      </c>
      <c r="Z84" s="109">
        <f t="shared" si="12"/>
        <v>69457.92</v>
      </c>
      <c r="AA84" s="285">
        <f t="shared" si="13"/>
        <v>69457.92</v>
      </c>
      <c r="AB84" s="286">
        <f t="shared" si="14"/>
        <v>33477.8</v>
      </c>
      <c r="AC84" s="286">
        <f t="shared" si="15"/>
        <v>58368</v>
      </c>
    </row>
    <row r="85" ht="15.75" customHeight="1">
      <c r="A85" s="101"/>
      <c r="B85" s="276">
        <v>74.0</v>
      </c>
      <c r="C85" s="277" t="s">
        <v>163</v>
      </c>
      <c r="D85" s="116" t="s">
        <v>79</v>
      </c>
      <c r="E85" s="278">
        <v>1.0</v>
      </c>
      <c r="F85" s="279"/>
      <c r="G85" s="279"/>
      <c r="H85" s="101"/>
      <c r="I85" s="280">
        <v>33477.8</v>
      </c>
      <c r="J85" s="103">
        <f t="shared" si="2"/>
        <v>6360.782</v>
      </c>
      <c r="K85" s="103">
        <f t="shared" si="3"/>
        <v>39838.582</v>
      </c>
      <c r="L85" s="287">
        <f t="shared" si="4"/>
        <v>39838.582</v>
      </c>
      <c r="M85" s="106"/>
      <c r="N85" s="112">
        <v>53423.0</v>
      </c>
      <c r="O85" s="103">
        <f t="shared" si="5"/>
        <v>10150.37</v>
      </c>
      <c r="P85" s="107">
        <f t="shared" si="6"/>
        <v>63573.37</v>
      </c>
      <c r="Q85" s="281">
        <f t="shared" si="7"/>
        <v>63573.37</v>
      </c>
      <c r="R85" s="106"/>
      <c r="S85" s="112">
        <v>55026.0</v>
      </c>
      <c r="T85" s="109">
        <f t="shared" si="8"/>
        <v>10454.94</v>
      </c>
      <c r="U85" s="109">
        <f t="shared" si="9"/>
        <v>65480.94</v>
      </c>
      <c r="V85" s="284">
        <f t="shared" si="10"/>
        <v>65480.94</v>
      </c>
      <c r="W85" s="111"/>
      <c r="X85" s="112">
        <v>58368.0</v>
      </c>
      <c r="Y85" s="109">
        <f t="shared" si="11"/>
        <v>11089.92</v>
      </c>
      <c r="Z85" s="109">
        <f t="shared" si="12"/>
        <v>69457.92</v>
      </c>
      <c r="AA85" s="285">
        <f t="shared" si="13"/>
        <v>69457.92</v>
      </c>
      <c r="AB85" s="286">
        <f t="shared" si="14"/>
        <v>33477.8</v>
      </c>
      <c r="AC85" s="286">
        <f t="shared" si="15"/>
        <v>58368</v>
      </c>
    </row>
    <row r="86" ht="15.75" customHeight="1">
      <c r="A86" s="101"/>
      <c r="B86" s="276">
        <v>75.0</v>
      </c>
      <c r="C86" s="277" t="s">
        <v>164</v>
      </c>
      <c r="D86" s="116" t="s">
        <v>79</v>
      </c>
      <c r="E86" s="278">
        <v>1.0</v>
      </c>
      <c r="F86" s="279"/>
      <c r="G86" s="279"/>
      <c r="H86" s="101"/>
      <c r="I86" s="280">
        <v>40173.36</v>
      </c>
      <c r="J86" s="103">
        <f t="shared" si="2"/>
        <v>7632.9384</v>
      </c>
      <c r="K86" s="103">
        <f t="shared" si="3"/>
        <v>47806.2984</v>
      </c>
      <c r="L86" s="287">
        <f t="shared" si="4"/>
        <v>47806.2984</v>
      </c>
      <c r="M86" s="106"/>
      <c r="N86" s="112">
        <v>53400.0</v>
      </c>
      <c r="O86" s="103">
        <f t="shared" si="5"/>
        <v>10146</v>
      </c>
      <c r="P86" s="107">
        <f t="shared" si="6"/>
        <v>63546</v>
      </c>
      <c r="Q86" s="281">
        <f t="shared" si="7"/>
        <v>63546</v>
      </c>
      <c r="R86" s="106"/>
      <c r="S86" s="112">
        <v>55002.0</v>
      </c>
      <c r="T86" s="109">
        <f t="shared" si="8"/>
        <v>10450.38</v>
      </c>
      <c r="U86" s="109">
        <f t="shared" si="9"/>
        <v>65452.38</v>
      </c>
      <c r="V86" s="284">
        <f t="shared" si="10"/>
        <v>65452.38</v>
      </c>
      <c r="W86" s="111"/>
      <c r="X86" s="112">
        <v>59622.0</v>
      </c>
      <c r="Y86" s="109">
        <f t="shared" si="11"/>
        <v>11328.18</v>
      </c>
      <c r="Z86" s="109">
        <f t="shared" si="12"/>
        <v>70950.18</v>
      </c>
      <c r="AA86" s="285">
        <f t="shared" si="13"/>
        <v>70950.18</v>
      </c>
      <c r="AB86" s="286">
        <f t="shared" si="14"/>
        <v>40173.36</v>
      </c>
      <c r="AC86" s="286">
        <f t="shared" si="15"/>
        <v>59622</v>
      </c>
    </row>
    <row r="87" ht="15.75" customHeight="1">
      <c r="A87" s="101"/>
      <c r="B87" s="276">
        <v>76.0</v>
      </c>
      <c r="C87" s="277" t="s">
        <v>165</v>
      </c>
      <c r="D87" s="116" t="s">
        <v>83</v>
      </c>
      <c r="E87" s="278">
        <v>1.0</v>
      </c>
      <c r="F87" s="279"/>
      <c r="G87" s="279"/>
      <c r="H87" s="101"/>
      <c r="I87" s="280">
        <v>53988.99</v>
      </c>
      <c r="J87" s="103">
        <f t="shared" si="2"/>
        <v>10257.9081</v>
      </c>
      <c r="K87" s="103">
        <f t="shared" si="3"/>
        <v>64246.8981</v>
      </c>
      <c r="L87" s="287">
        <f t="shared" si="4"/>
        <v>64246.8981</v>
      </c>
      <c r="M87" s="106"/>
      <c r="N87" s="112">
        <v>68142.0</v>
      </c>
      <c r="O87" s="103">
        <f t="shared" si="5"/>
        <v>12946.98</v>
      </c>
      <c r="P87" s="107">
        <f t="shared" si="6"/>
        <v>81088.98</v>
      </c>
      <c r="Q87" s="281">
        <f t="shared" si="7"/>
        <v>81088.98</v>
      </c>
      <c r="R87" s="106"/>
      <c r="S87" s="112">
        <v>70186.0</v>
      </c>
      <c r="T87" s="109">
        <f t="shared" si="8"/>
        <v>13335.34</v>
      </c>
      <c r="U87" s="109">
        <f t="shared" si="9"/>
        <v>83521.34</v>
      </c>
      <c r="V87" s="284">
        <f t="shared" si="10"/>
        <v>83521.34</v>
      </c>
      <c r="W87" s="111"/>
      <c r="X87" s="112">
        <v>68058.0</v>
      </c>
      <c r="Y87" s="109">
        <f t="shared" si="11"/>
        <v>12931.02</v>
      </c>
      <c r="Z87" s="109">
        <f t="shared" si="12"/>
        <v>80989.02</v>
      </c>
      <c r="AA87" s="285">
        <f t="shared" si="13"/>
        <v>80989.02</v>
      </c>
      <c r="AB87" s="286">
        <f t="shared" si="14"/>
        <v>53988.99</v>
      </c>
      <c r="AC87" s="286">
        <f t="shared" si="15"/>
        <v>70186</v>
      </c>
    </row>
    <row r="88" ht="15.75" customHeight="1">
      <c r="A88" s="101"/>
      <c r="B88" s="276">
        <v>77.0</v>
      </c>
      <c r="C88" s="277" t="s">
        <v>166</v>
      </c>
      <c r="D88" s="116" t="s">
        <v>167</v>
      </c>
      <c r="E88" s="278">
        <v>1.0</v>
      </c>
      <c r="F88" s="279"/>
      <c r="G88" s="279"/>
      <c r="H88" s="101"/>
      <c r="I88" s="280">
        <v>3213.87</v>
      </c>
      <c r="J88" s="103">
        <f t="shared" si="2"/>
        <v>610.6353</v>
      </c>
      <c r="K88" s="103">
        <f t="shared" si="3"/>
        <v>3824.5053</v>
      </c>
      <c r="L88" s="287">
        <f t="shared" si="4"/>
        <v>3824.5053</v>
      </c>
      <c r="M88" s="106"/>
      <c r="N88" s="112">
        <v>4235.0</v>
      </c>
      <c r="O88" s="103">
        <f t="shared" si="5"/>
        <v>804.65</v>
      </c>
      <c r="P88" s="107">
        <f t="shared" si="6"/>
        <v>5039.65</v>
      </c>
      <c r="Q88" s="281">
        <f t="shared" si="7"/>
        <v>5039.65</v>
      </c>
      <c r="R88" s="106"/>
      <c r="S88" s="112">
        <v>4362.0</v>
      </c>
      <c r="T88" s="109">
        <f t="shared" si="8"/>
        <v>828.78</v>
      </c>
      <c r="U88" s="109">
        <f t="shared" si="9"/>
        <v>5190.78</v>
      </c>
      <c r="V88" s="284">
        <f t="shared" si="10"/>
        <v>5190.78</v>
      </c>
      <c r="W88" s="111"/>
      <c r="X88" s="112">
        <v>4332.0</v>
      </c>
      <c r="Y88" s="109">
        <f t="shared" si="11"/>
        <v>823.08</v>
      </c>
      <c r="Z88" s="109">
        <f t="shared" si="12"/>
        <v>5155.08</v>
      </c>
      <c r="AA88" s="285">
        <f t="shared" si="13"/>
        <v>5155.08</v>
      </c>
      <c r="AB88" s="286">
        <f t="shared" si="14"/>
        <v>3213.87</v>
      </c>
      <c r="AC88" s="286">
        <f t="shared" si="15"/>
        <v>4362</v>
      </c>
    </row>
    <row r="89" ht="15.75" customHeight="1">
      <c r="A89" s="101"/>
      <c r="B89" s="276">
        <v>78.0</v>
      </c>
      <c r="C89" s="277" t="s">
        <v>168</v>
      </c>
      <c r="D89" s="116" t="s">
        <v>83</v>
      </c>
      <c r="E89" s="278">
        <v>1.0</v>
      </c>
      <c r="F89" s="279"/>
      <c r="G89" s="279"/>
      <c r="H89" s="101"/>
      <c r="I89" s="280">
        <v>37338.18</v>
      </c>
      <c r="J89" s="103">
        <f t="shared" si="2"/>
        <v>7094.2542</v>
      </c>
      <c r="K89" s="103">
        <f t="shared" si="3"/>
        <v>44432.4342</v>
      </c>
      <c r="L89" s="289">
        <f t="shared" si="4"/>
        <v>44432.4342</v>
      </c>
      <c r="M89" s="106"/>
      <c r="N89" s="112">
        <v>35550.0</v>
      </c>
      <c r="O89" s="103">
        <f t="shared" si="5"/>
        <v>6754.5</v>
      </c>
      <c r="P89" s="107">
        <f t="shared" si="6"/>
        <v>42304.5</v>
      </c>
      <c r="Q89" s="283">
        <f t="shared" si="7"/>
        <v>42304.5</v>
      </c>
      <c r="R89" s="106"/>
      <c r="S89" s="112">
        <v>36617.0</v>
      </c>
      <c r="T89" s="109">
        <f t="shared" si="8"/>
        <v>6957.23</v>
      </c>
      <c r="U89" s="109">
        <f t="shared" si="9"/>
        <v>43574.23</v>
      </c>
      <c r="V89" s="281">
        <f t="shared" si="10"/>
        <v>43574.23</v>
      </c>
      <c r="W89" s="111"/>
      <c r="X89" s="112">
        <v>38304.0</v>
      </c>
      <c r="Y89" s="109">
        <f t="shared" si="11"/>
        <v>7277.76</v>
      </c>
      <c r="Z89" s="109">
        <f t="shared" si="12"/>
        <v>45581.76</v>
      </c>
      <c r="AA89" s="285">
        <f t="shared" si="13"/>
        <v>45581.76</v>
      </c>
      <c r="AB89" s="286">
        <f t="shared" si="14"/>
        <v>35550</v>
      </c>
      <c r="AC89" s="286">
        <f t="shared" si="15"/>
        <v>38304</v>
      </c>
    </row>
    <row r="90" ht="15.75" customHeight="1">
      <c r="A90" s="101"/>
      <c r="B90" s="276">
        <v>79.0</v>
      </c>
      <c r="C90" s="277" t="s">
        <v>169</v>
      </c>
      <c r="D90" s="116" t="s">
        <v>83</v>
      </c>
      <c r="E90" s="278">
        <v>1.0</v>
      </c>
      <c r="F90" s="279"/>
      <c r="G90" s="279"/>
      <c r="H90" s="101"/>
      <c r="I90" s="280">
        <v>37896.87</v>
      </c>
      <c r="J90" s="103">
        <f t="shared" si="2"/>
        <v>7200.4053</v>
      </c>
      <c r="K90" s="103">
        <f t="shared" si="3"/>
        <v>45097.2753</v>
      </c>
      <c r="L90" s="289">
        <f t="shared" si="4"/>
        <v>45097.2753</v>
      </c>
      <c r="M90" s="106"/>
      <c r="N90" s="112">
        <v>36500.0</v>
      </c>
      <c r="O90" s="103">
        <f t="shared" si="5"/>
        <v>6935</v>
      </c>
      <c r="P90" s="107">
        <f t="shared" si="6"/>
        <v>43435</v>
      </c>
      <c r="Q90" s="283">
        <f t="shared" si="7"/>
        <v>43435</v>
      </c>
      <c r="R90" s="106"/>
      <c r="S90" s="112">
        <v>37595.0</v>
      </c>
      <c r="T90" s="109">
        <f t="shared" si="8"/>
        <v>7143.05</v>
      </c>
      <c r="U90" s="109">
        <f t="shared" si="9"/>
        <v>44738.05</v>
      </c>
      <c r="V90" s="281">
        <f t="shared" si="10"/>
        <v>44738.05</v>
      </c>
      <c r="W90" s="111"/>
      <c r="X90" s="112">
        <v>38304.0</v>
      </c>
      <c r="Y90" s="109">
        <f t="shared" si="11"/>
        <v>7277.76</v>
      </c>
      <c r="Z90" s="109">
        <f t="shared" si="12"/>
        <v>45581.76</v>
      </c>
      <c r="AA90" s="285">
        <f t="shared" si="13"/>
        <v>45581.76</v>
      </c>
      <c r="AB90" s="286">
        <f t="shared" si="14"/>
        <v>36500</v>
      </c>
      <c r="AC90" s="286">
        <f t="shared" si="15"/>
        <v>38304</v>
      </c>
    </row>
    <row r="91" ht="15.75" customHeight="1">
      <c r="A91" s="101"/>
      <c r="B91" s="276">
        <v>80.0</v>
      </c>
      <c r="C91" s="277" t="s">
        <v>170</v>
      </c>
      <c r="D91" s="116" t="s">
        <v>83</v>
      </c>
      <c r="E91" s="278">
        <v>1.0</v>
      </c>
      <c r="F91" s="279"/>
      <c r="G91" s="279"/>
      <c r="H91" s="101"/>
      <c r="I91" s="280">
        <v>39356.46</v>
      </c>
      <c r="J91" s="103">
        <f t="shared" si="2"/>
        <v>7477.7274</v>
      </c>
      <c r="K91" s="103">
        <f t="shared" si="3"/>
        <v>46834.1874</v>
      </c>
      <c r="L91" s="289">
        <f t="shared" si="4"/>
        <v>46834.1874</v>
      </c>
      <c r="M91" s="106"/>
      <c r="N91" s="112">
        <v>37500.0</v>
      </c>
      <c r="O91" s="103">
        <f t="shared" si="5"/>
        <v>7125</v>
      </c>
      <c r="P91" s="107">
        <f t="shared" si="6"/>
        <v>44625</v>
      </c>
      <c r="Q91" s="283">
        <f t="shared" si="7"/>
        <v>44625</v>
      </c>
      <c r="R91" s="106"/>
      <c r="S91" s="112">
        <v>38625.0</v>
      </c>
      <c r="T91" s="109">
        <f t="shared" si="8"/>
        <v>7338.75</v>
      </c>
      <c r="U91" s="109">
        <f t="shared" si="9"/>
        <v>45963.75</v>
      </c>
      <c r="V91" s="281">
        <f t="shared" si="10"/>
        <v>45963.75</v>
      </c>
      <c r="W91" s="111"/>
      <c r="X91" s="112">
        <v>40584.0</v>
      </c>
      <c r="Y91" s="109">
        <f t="shared" si="11"/>
        <v>7710.96</v>
      </c>
      <c r="Z91" s="109">
        <f t="shared" si="12"/>
        <v>48294.96</v>
      </c>
      <c r="AA91" s="285">
        <f t="shared" si="13"/>
        <v>48294.96</v>
      </c>
      <c r="AB91" s="286">
        <f t="shared" si="14"/>
        <v>37500</v>
      </c>
      <c r="AC91" s="286">
        <f t="shared" si="15"/>
        <v>40584</v>
      </c>
    </row>
    <row r="92" ht="15.75" customHeight="1">
      <c r="A92" s="101"/>
      <c r="B92" s="276">
        <v>81.0</v>
      </c>
      <c r="C92" s="277" t="s">
        <v>171</v>
      </c>
      <c r="D92" s="116" t="s">
        <v>83</v>
      </c>
      <c r="E92" s="278">
        <v>1.0</v>
      </c>
      <c r="F92" s="279"/>
      <c r="G92" s="279"/>
      <c r="H92" s="101"/>
      <c r="I92" s="280">
        <v>41374.74</v>
      </c>
      <c r="J92" s="103">
        <f t="shared" si="2"/>
        <v>7861.2006</v>
      </c>
      <c r="K92" s="103">
        <f t="shared" si="3"/>
        <v>49235.9406</v>
      </c>
      <c r="L92" s="289">
        <f t="shared" si="4"/>
        <v>49235.9406</v>
      </c>
      <c r="M92" s="106"/>
      <c r="N92" s="112">
        <v>38900.0</v>
      </c>
      <c r="O92" s="103">
        <f t="shared" si="5"/>
        <v>7391</v>
      </c>
      <c r="P92" s="107">
        <f t="shared" si="6"/>
        <v>46291</v>
      </c>
      <c r="Q92" s="283">
        <f t="shared" si="7"/>
        <v>46291</v>
      </c>
      <c r="R92" s="106"/>
      <c r="S92" s="112">
        <v>40067.0</v>
      </c>
      <c r="T92" s="109">
        <f t="shared" si="8"/>
        <v>7612.73</v>
      </c>
      <c r="U92" s="109">
        <f t="shared" si="9"/>
        <v>47679.73</v>
      </c>
      <c r="V92" s="281">
        <f t="shared" si="10"/>
        <v>47679.73</v>
      </c>
      <c r="W92" s="111"/>
      <c r="X92" s="112">
        <v>40584.0</v>
      </c>
      <c r="Y92" s="109">
        <f t="shared" si="11"/>
        <v>7710.96</v>
      </c>
      <c r="Z92" s="109">
        <f t="shared" si="12"/>
        <v>48294.96</v>
      </c>
      <c r="AA92" s="285">
        <f t="shared" si="13"/>
        <v>48294.96</v>
      </c>
      <c r="AB92" s="286">
        <f t="shared" si="14"/>
        <v>38900</v>
      </c>
      <c r="AC92" s="286">
        <f t="shared" si="15"/>
        <v>41374.74</v>
      </c>
    </row>
    <row r="93" ht="15.75" customHeight="1">
      <c r="A93" s="101"/>
      <c r="B93" s="276">
        <v>82.0</v>
      </c>
      <c r="C93" s="277" t="s">
        <v>172</v>
      </c>
      <c r="D93" s="116" t="s">
        <v>83</v>
      </c>
      <c r="E93" s="278">
        <v>1.0</v>
      </c>
      <c r="F93" s="279"/>
      <c r="G93" s="279"/>
      <c r="H93" s="101"/>
      <c r="I93" s="280">
        <v>54903.59</v>
      </c>
      <c r="J93" s="103">
        <f t="shared" si="2"/>
        <v>10431.6821</v>
      </c>
      <c r="K93" s="103">
        <f t="shared" si="3"/>
        <v>65335.2721</v>
      </c>
      <c r="L93" s="281">
        <f t="shared" si="4"/>
        <v>65335.2721</v>
      </c>
      <c r="M93" s="106"/>
      <c r="N93" s="112">
        <v>54500.0</v>
      </c>
      <c r="O93" s="103">
        <f t="shared" si="5"/>
        <v>10355</v>
      </c>
      <c r="P93" s="107">
        <f t="shared" si="6"/>
        <v>64855</v>
      </c>
      <c r="Q93" s="283">
        <f t="shared" si="7"/>
        <v>64855</v>
      </c>
      <c r="R93" s="106"/>
      <c r="S93" s="112">
        <v>56135.0</v>
      </c>
      <c r="T93" s="109">
        <f t="shared" si="8"/>
        <v>10665.65</v>
      </c>
      <c r="U93" s="109">
        <f t="shared" si="9"/>
        <v>66800.65</v>
      </c>
      <c r="V93" s="284">
        <f t="shared" si="10"/>
        <v>66800.65</v>
      </c>
      <c r="W93" s="111"/>
      <c r="X93" s="112">
        <v>66918.0</v>
      </c>
      <c r="Y93" s="109">
        <f t="shared" si="11"/>
        <v>12714.42</v>
      </c>
      <c r="Z93" s="109">
        <f t="shared" si="12"/>
        <v>79632.42</v>
      </c>
      <c r="AA93" s="285">
        <f t="shared" si="13"/>
        <v>79632.42</v>
      </c>
      <c r="AB93" s="286">
        <f t="shared" si="14"/>
        <v>54500</v>
      </c>
      <c r="AC93" s="286">
        <f t="shared" si="15"/>
        <v>66918</v>
      </c>
    </row>
    <row r="94" ht="15.75" customHeight="1">
      <c r="A94" s="101"/>
      <c r="B94" s="276">
        <v>83.0</v>
      </c>
      <c r="C94" s="277" t="s">
        <v>173</v>
      </c>
      <c r="D94" s="116" t="s">
        <v>83</v>
      </c>
      <c r="E94" s="278">
        <v>1.0</v>
      </c>
      <c r="F94" s="279"/>
      <c r="G94" s="279"/>
      <c r="H94" s="101"/>
      <c r="I94" s="280">
        <v>56644.43</v>
      </c>
      <c r="J94" s="103">
        <f t="shared" si="2"/>
        <v>10762.4417</v>
      </c>
      <c r="K94" s="103">
        <f t="shared" si="3"/>
        <v>67406.8717</v>
      </c>
      <c r="L94" s="281">
        <f t="shared" si="4"/>
        <v>67406.8717</v>
      </c>
      <c r="M94" s="106"/>
      <c r="N94" s="112">
        <v>55500.0</v>
      </c>
      <c r="O94" s="103">
        <f t="shared" si="5"/>
        <v>10545</v>
      </c>
      <c r="P94" s="107">
        <f t="shared" si="6"/>
        <v>66045</v>
      </c>
      <c r="Q94" s="283">
        <f t="shared" si="7"/>
        <v>66045</v>
      </c>
      <c r="R94" s="106"/>
      <c r="S94" s="112">
        <v>57165.0</v>
      </c>
      <c r="T94" s="109">
        <f t="shared" si="8"/>
        <v>10861.35</v>
      </c>
      <c r="U94" s="109">
        <f t="shared" si="9"/>
        <v>68026.35</v>
      </c>
      <c r="V94" s="284">
        <f t="shared" si="10"/>
        <v>68026.35</v>
      </c>
      <c r="W94" s="111"/>
      <c r="X94" s="112">
        <v>66918.0</v>
      </c>
      <c r="Y94" s="109">
        <f t="shared" si="11"/>
        <v>12714.42</v>
      </c>
      <c r="Z94" s="109">
        <f t="shared" si="12"/>
        <v>79632.42</v>
      </c>
      <c r="AA94" s="285">
        <f t="shared" si="13"/>
        <v>79632.42</v>
      </c>
      <c r="AB94" s="286">
        <f t="shared" si="14"/>
        <v>55500</v>
      </c>
      <c r="AC94" s="286">
        <f t="shared" si="15"/>
        <v>66918</v>
      </c>
    </row>
    <row r="95" ht="15.75" customHeight="1">
      <c r="A95" s="101"/>
      <c r="B95" s="276">
        <v>84.0</v>
      </c>
      <c r="C95" s="277" t="s">
        <v>174</v>
      </c>
      <c r="D95" s="116" t="s">
        <v>83</v>
      </c>
      <c r="E95" s="278">
        <v>1.0</v>
      </c>
      <c r="F95" s="279"/>
      <c r="G95" s="279"/>
      <c r="H95" s="101"/>
      <c r="I95" s="280">
        <v>53988.99</v>
      </c>
      <c r="J95" s="103">
        <f t="shared" si="2"/>
        <v>10257.9081</v>
      </c>
      <c r="K95" s="103">
        <f t="shared" si="3"/>
        <v>64246.8981</v>
      </c>
      <c r="L95" s="289">
        <f t="shared" si="4"/>
        <v>64246.8981</v>
      </c>
      <c r="M95" s="106"/>
      <c r="N95" s="112">
        <v>52291.0</v>
      </c>
      <c r="O95" s="103">
        <f t="shared" si="5"/>
        <v>9935.29</v>
      </c>
      <c r="P95" s="107">
        <f t="shared" si="6"/>
        <v>62226.29</v>
      </c>
      <c r="Q95" s="283">
        <f t="shared" si="7"/>
        <v>62226.29</v>
      </c>
      <c r="R95" s="106"/>
      <c r="S95" s="112">
        <v>53860.0</v>
      </c>
      <c r="T95" s="109">
        <f t="shared" si="8"/>
        <v>10233.4</v>
      </c>
      <c r="U95" s="109">
        <f t="shared" si="9"/>
        <v>64093.4</v>
      </c>
      <c r="V95" s="281">
        <f t="shared" si="10"/>
        <v>64093.4</v>
      </c>
      <c r="W95" s="111"/>
      <c r="X95" s="112">
        <v>54264.0</v>
      </c>
      <c r="Y95" s="109">
        <f t="shared" si="11"/>
        <v>10310.16</v>
      </c>
      <c r="Z95" s="109">
        <f t="shared" si="12"/>
        <v>64574.16</v>
      </c>
      <c r="AA95" s="285">
        <f t="shared" si="13"/>
        <v>64574.16</v>
      </c>
      <c r="AB95" s="286">
        <f t="shared" si="14"/>
        <v>52291</v>
      </c>
      <c r="AC95" s="286">
        <f t="shared" si="15"/>
        <v>54264</v>
      </c>
    </row>
    <row r="96" ht="15.75" customHeight="1">
      <c r="A96" s="101"/>
      <c r="B96" s="276">
        <v>85.0</v>
      </c>
      <c r="C96" s="277" t="s">
        <v>175</v>
      </c>
      <c r="D96" s="116" t="s">
        <v>83</v>
      </c>
      <c r="E96" s="278">
        <v>1.0</v>
      </c>
      <c r="F96" s="279"/>
      <c r="G96" s="279"/>
      <c r="H96" s="101"/>
      <c r="I96" s="280">
        <v>55573.14</v>
      </c>
      <c r="J96" s="103">
        <f t="shared" si="2"/>
        <v>10558.8966</v>
      </c>
      <c r="K96" s="103">
        <f t="shared" si="3"/>
        <v>66132.0366</v>
      </c>
      <c r="L96" s="281">
        <f t="shared" si="4"/>
        <v>66132.0366</v>
      </c>
      <c r="M96" s="106"/>
      <c r="N96" s="112">
        <v>55500.0</v>
      </c>
      <c r="O96" s="103">
        <f t="shared" si="5"/>
        <v>10545</v>
      </c>
      <c r="P96" s="107">
        <f t="shared" si="6"/>
        <v>66045</v>
      </c>
      <c r="Q96" s="283">
        <f t="shared" si="7"/>
        <v>66045</v>
      </c>
      <c r="R96" s="106"/>
      <c r="S96" s="112">
        <v>57165.0</v>
      </c>
      <c r="T96" s="109">
        <f t="shared" si="8"/>
        <v>10861.35</v>
      </c>
      <c r="U96" s="109">
        <f t="shared" si="9"/>
        <v>68026.35</v>
      </c>
      <c r="V96" s="284">
        <f t="shared" si="10"/>
        <v>68026.35</v>
      </c>
      <c r="W96" s="111"/>
      <c r="X96" s="112">
        <v>58368.0</v>
      </c>
      <c r="Y96" s="109">
        <f t="shared" si="11"/>
        <v>11089.92</v>
      </c>
      <c r="Z96" s="109">
        <f t="shared" si="12"/>
        <v>69457.92</v>
      </c>
      <c r="AA96" s="285">
        <f t="shared" si="13"/>
        <v>69457.92</v>
      </c>
      <c r="AB96" s="286">
        <f t="shared" si="14"/>
        <v>55500</v>
      </c>
      <c r="AC96" s="286">
        <f t="shared" si="15"/>
        <v>58368</v>
      </c>
    </row>
    <row r="97" ht="15.75" customHeight="1">
      <c r="A97" s="101"/>
      <c r="B97" s="276">
        <v>86.0</v>
      </c>
      <c r="C97" s="277" t="s">
        <v>176</v>
      </c>
      <c r="D97" s="116" t="s">
        <v>83</v>
      </c>
      <c r="E97" s="278">
        <v>1.0</v>
      </c>
      <c r="F97" s="279"/>
      <c r="G97" s="279"/>
      <c r="H97" s="101"/>
      <c r="I97" s="280">
        <v>58251.37</v>
      </c>
      <c r="J97" s="103">
        <f t="shared" si="2"/>
        <v>11067.7603</v>
      </c>
      <c r="K97" s="103">
        <f t="shared" si="3"/>
        <v>69319.1303</v>
      </c>
      <c r="L97" s="289">
        <f t="shared" si="4"/>
        <v>69319.1303</v>
      </c>
      <c r="M97" s="106"/>
      <c r="N97" s="112">
        <v>55550.0</v>
      </c>
      <c r="O97" s="103">
        <f t="shared" si="5"/>
        <v>10554.5</v>
      </c>
      <c r="P97" s="107">
        <f t="shared" si="6"/>
        <v>66104.5</v>
      </c>
      <c r="Q97" s="283">
        <f t="shared" si="7"/>
        <v>66104.5</v>
      </c>
      <c r="R97" s="106"/>
      <c r="S97" s="112">
        <v>57217.0</v>
      </c>
      <c r="T97" s="109">
        <f t="shared" si="8"/>
        <v>10871.23</v>
      </c>
      <c r="U97" s="109">
        <f t="shared" si="9"/>
        <v>68088.23</v>
      </c>
      <c r="V97" s="281">
        <f t="shared" si="10"/>
        <v>68088.23</v>
      </c>
      <c r="W97" s="111"/>
      <c r="X97" s="112">
        <v>59622.0</v>
      </c>
      <c r="Y97" s="109">
        <f t="shared" si="11"/>
        <v>11328.18</v>
      </c>
      <c r="Z97" s="109">
        <f t="shared" si="12"/>
        <v>70950.18</v>
      </c>
      <c r="AA97" s="285">
        <f t="shared" si="13"/>
        <v>70950.18</v>
      </c>
      <c r="AB97" s="286">
        <f t="shared" si="14"/>
        <v>55550</v>
      </c>
      <c r="AC97" s="286">
        <f t="shared" si="15"/>
        <v>59622</v>
      </c>
    </row>
    <row r="98" ht="15.75" customHeight="1">
      <c r="A98" s="101"/>
      <c r="B98" s="276">
        <v>87.0</v>
      </c>
      <c r="C98" s="277" t="s">
        <v>177</v>
      </c>
      <c r="D98" s="116" t="s">
        <v>83</v>
      </c>
      <c r="E98" s="278">
        <v>1.0</v>
      </c>
      <c r="F98" s="279"/>
      <c r="G98" s="279"/>
      <c r="H98" s="101"/>
      <c r="I98" s="280">
        <v>57184.6</v>
      </c>
      <c r="J98" s="103">
        <f t="shared" si="2"/>
        <v>10865.074</v>
      </c>
      <c r="K98" s="103">
        <f t="shared" si="3"/>
        <v>68049.674</v>
      </c>
      <c r="L98" s="281">
        <f t="shared" si="4"/>
        <v>68049.674</v>
      </c>
      <c r="M98" s="106"/>
      <c r="N98" s="112">
        <v>56650.0</v>
      </c>
      <c r="O98" s="103">
        <f t="shared" si="5"/>
        <v>10763.5</v>
      </c>
      <c r="P98" s="107">
        <f t="shared" si="6"/>
        <v>67413.5</v>
      </c>
      <c r="Q98" s="283">
        <f t="shared" si="7"/>
        <v>67413.5</v>
      </c>
      <c r="R98" s="106"/>
      <c r="S98" s="112">
        <v>58350.0</v>
      </c>
      <c r="T98" s="109">
        <f t="shared" si="8"/>
        <v>11086.5</v>
      </c>
      <c r="U98" s="109">
        <f t="shared" si="9"/>
        <v>69436.5</v>
      </c>
      <c r="V98" s="284">
        <f t="shared" si="10"/>
        <v>69436.5</v>
      </c>
      <c r="W98" s="111"/>
      <c r="X98" s="112">
        <v>59622.0</v>
      </c>
      <c r="Y98" s="109">
        <f t="shared" si="11"/>
        <v>11328.18</v>
      </c>
      <c r="Z98" s="109">
        <f t="shared" si="12"/>
        <v>70950.18</v>
      </c>
      <c r="AA98" s="285">
        <f t="shared" si="13"/>
        <v>70950.18</v>
      </c>
      <c r="AB98" s="286">
        <f t="shared" si="14"/>
        <v>56650</v>
      </c>
      <c r="AC98" s="286">
        <f t="shared" si="15"/>
        <v>59622</v>
      </c>
    </row>
    <row r="99" ht="15.75" customHeight="1">
      <c r="A99" s="101"/>
      <c r="B99" s="276">
        <v>88.0</v>
      </c>
      <c r="C99" s="277" t="s">
        <v>178</v>
      </c>
      <c r="D99" s="116" t="s">
        <v>83</v>
      </c>
      <c r="E99" s="278">
        <v>1.0</v>
      </c>
      <c r="F99" s="279"/>
      <c r="G99" s="279"/>
      <c r="H99" s="101"/>
      <c r="I99" s="280">
        <v>57184.6</v>
      </c>
      <c r="J99" s="103">
        <f t="shared" si="2"/>
        <v>10865.074</v>
      </c>
      <c r="K99" s="103">
        <f t="shared" si="3"/>
        <v>68049.674</v>
      </c>
      <c r="L99" s="281">
        <f t="shared" si="4"/>
        <v>68049.674</v>
      </c>
      <c r="M99" s="106"/>
      <c r="N99" s="112">
        <v>56500.0</v>
      </c>
      <c r="O99" s="103">
        <f t="shared" si="5"/>
        <v>10735</v>
      </c>
      <c r="P99" s="107">
        <f t="shared" si="6"/>
        <v>67235</v>
      </c>
      <c r="Q99" s="283">
        <f t="shared" si="7"/>
        <v>67235</v>
      </c>
      <c r="R99" s="106"/>
      <c r="S99" s="112">
        <v>58195.0</v>
      </c>
      <c r="T99" s="109">
        <f t="shared" si="8"/>
        <v>11057.05</v>
      </c>
      <c r="U99" s="109">
        <f t="shared" si="9"/>
        <v>69252.05</v>
      </c>
      <c r="V99" s="284">
        <f t="shared" si="10"/>
        <v>69252.05</v>
      </c>
      <c r="W99" s="111"/>
      <c r="X99" s="112">
        <v>62244.0</v>
      </c>
      <c r="Y99" s="109">
        <f t="shared" si="11"/>
        <v>11826.36</v>
      </c>
      <c r="Z99" s="109">
        <f t="shared" si="12"/>
        <v>74070.36</v>
      </c>
      <c r="AA99" s="285">
        <f t="shared" si="13"/>
        <v>74070.36</v>
      </c>
      <c r="AB99" s="286">
        <f t="shared" si="14"/>
        <v>56500</v>
      </c>
      <c r="AC99" s="286">
        <f t="shared" si="15"/>
        <v>62244</v>
      </c>
    </row>
    <row r="100" ht="15.75" customHeight="1">
      <c r="A100" s="101"/>
      <c r="B100" s="276">
        <v>89.0</v>
      </c>
      <c r="C100" s="277" t="s">
        <v>179</v>
      </c>
      <c r="D100" s="116" t="s">
        <v>116</v>
      </c>
      <c r="E100" s="278">
        <v>1.0</v>
      </c>
      <c r="F100" s="279"/>
      <c r="G100" s="279"/>
      <c r="H100" s="101"/>
      <c r="I100" s="280">
        <v>200.87</v>
      </c>
      <c r="J100" s="103">
        <f t="shared" si="2"/>
        <v>38.1653</v>
      </c>
      <c r="K100" s="103">
        <f t="shared" si="3"/>
        <v>239.0353</v>
      </c>
      <c r="L100" s="287">
        <f t="shared" si="4"/>
        <v>239.0353</v>
      </c>
      <c r="M100" s="106"/>
      <c r="N100" s="112">
        <v>301.0</v>
      </c>
      <c r="O100" s="103">
        <f t="shared" si="5"/>
        <v>57.19</v>
      </c>
      <c r="P100" s="107">
        <f t="shared" si="6"/>
        <v>358.19</v>
      </c>
      <c r="Q100" s="281">
        <f t="shared" si="7"/>
        <v>358.19</v>
      </c>
      <c r="R100" s="106"/>
      <c r="S100" s="112">
        <v>310.0</v>
      </c>
      <c r="T100" s="109">
        <f t="shared" si="8"/>
        <v>58.9</v>
      </c>
      <c r="U100" s="109">
        <f t="shared" si="9"/>
        <v>368.9</v>
      </c>
      <c r="V100" s="284">
        <f t="shared" si="10"/>
        <v>368.9</v>
      </c>
      <c r="W100" s="111"/>
      <c r="X100" s="112">
        <v>273.6</v>
      </c>
      <c r="Y100" s="109">
        <f t="shared" si="11"/>
        <v>51.984</v>
      </c>
      <c r="Z100" s="109">
        <f t="shared" si="12"/>
        <v>325.584</v>
      </c>
      <c r="AA100" s="285">
        <f t="shared" si="13"/>
        <v>325.584</v>
      </c>
      <c r="AB100" s="286">
        <f t="shared" si="14"/>
        <v>200.87</v>
      </c>
      <c r="AC100" s="286">
        <f t="shared" si="15"/>
        <v>310</v>
      </c>
    </row>
    <row r="101" ht="15.75" customHeight="1">
      <c r="A101" s="101"/>
      <c r="B101" s="276">
        <v>90.0</v>
      </c>
      <c r="C101" s="277" t="s">
        <v>180</v>
      </c>
      <c r="D101" s="116" t="s">
        <v>96</v>
      </c>
      <c r="E101" s="278">
        <v>1.0</v>
      </c>
      <c r="F101" s="279"/>
      <c r="G101" s="279"/>
      <c r="H101" s="101"/>
      <c r="I101" s="280">
        <v>20086.68</v>
      </c>
      <c r="J101" s="103">
        <f t="shared" si="2"/>
        <v>3816.4692</v>
      </c>
      <c r="K101" s="103">
        <f t="shared" si="3"/>
        <v>23903.1492</v>
      </c>
      <c r="L101" s="287">
        <f t="shared" si="4"/>
        <v>23903.1492</v>
      </c>
      <c r="M101" s="106"/>
      <c r="N101" s="112">
        <v>20675.0</v>
      </c>
      <c r="O101" s="103">
        <f t="shared" si="5"/>
        <v>3928.25</v>
      </c>
      <c r="P101" s="107">
        <f t="shared" si="6"/>
        <v>24603.25</v>
      </c>
      <c r="Q101" s="281">
        <f t="shared" si="7"/>
        <v>24603.25</v>
      </c>
      <c r="R101" s="106"/>
      <c r="S101" s="112">
        <v>21295.0</v>
      </c>
      <c r="T101" s="109">
        <f t="shared" si="8"/>
        <v>4046.05</v>
      </c>
      <c r="U101" s="109">
        <f t="shared" si="9"/>
        <v>25341.05</v>
      </c>
      <c r="V101" s="284">
        <f t="shared" si="10"/>
        <v>25341.05</v>
      </c>
      <c r="W101" s="111"/>
      <c r="X101" s="112">
        <v>20064.0</v>
      </c>
      <c r="Y101" s="109">
        <f t="shared" si="11"/>
        <v>3812.16</v>
      </c>
      <c r="Z101" s="109">
        <f t="shared" si="12"/>
        <v>23876.16</v>
      </c>
      <c r="AA101" s="285">
        <f t="shared" si="13"/>
        <v>23876.16</v>
      </c>
      <c r="AB101" s="286">
        <f t="shared" si="14"/>
        <v>20064</v>
      </c>
      <c r="AC101" s="286">
        <f t="shared" si="15"/>
        <v>21295</v>
      </c>
    </row>
    <row r="102" ht="15.75" customHeight="1">
      <c r="A102" s="101"/>
      <c r="B102" s="276">
        <v>91.0</v>
      </c>
      <c r="C102" s="277" t="s">
        <v>181</v>
      </c>
      <c r="D102" s="116" t="s">
        <v>167</v>
      </c>
      <c r="E102" s="278">
        <v>1.0</v>
      </c>
      <c r="F102" s="279"/>
      <c r="G102" s="279"/>
      <c r="H102" s="101"/>
      <c r="I102" s="280">
        <v>3347.78</v>
      </c>
      <c r="J102" s="103">
        <f t="shared" si="2"/>
        <v>636.0782</v>
      </c>
      <c r="K102" s="103">
        <f t="shared" si="3"/>
        <v>3983.8582</v>
      </c>
      <c r="L102" s="287">
        <f t="shared" si="4"/>
        <v>3983.8582</v>
      </c>
      <c r="M102" s="106"/>
      <c r="N102" s="112">
        <v>12866.0</v>
      </c>
      <c r="O102" s="103">
        <f t="shared" si="5"/>
        <v>2444.54</v>
      </c>
      <c r="P102" s="107">
        <f t="shared" si="6"/>
        <v>15310.54</v>
      </c>
      <c r="Q102" s="281">
        <f t="shared" si="7"/>
        <v>15310.54</v>
      </c>
      <c r="R102" s="106"/>
      <c r="S102" s="112">
        <v>13252.0</v>
      </c>
      <c r="T102" s="109">
        <f t="shared" si="8"/>
        <v>2517.88</v>
      </c>
      <c r="U102" s="109">
        <f t="shared" si="9"/>
        <v>15769.88</v>
      </c>
      <c r="V102" s="284">
        <f t="shared" si="10"/>
        <v>15769.88</v>
      </c>
      <c r="W102" s="111"/>
      <c r="X102" s="112">
        <v>15276.0</v>
      </c>
      <c r="Y102" s="109">
        <f t="shared" si="11"/>
        <v>2902.44</v>
      </c>
      <c r="Z102" s="109">
        <f t="shared" si="12"/>
        <v>18178.44</v>
      </c>
      <c r="AA102" s="285">
        <f t="shared" si="13"/>
        <v>18178.44</v>
      </c>
      <c r="AB102" s="286">
        <f t="shared" si="14"/>
        <v>3347.78</v>
      </c>
      <c r="AC102" s="286">
        <f t="shared" si="15"/>
        <v>15276</v>
      </c>
    </row>
    <row r="103" ht="15.75" customHeight="1">
      <c r="A103" s="101"/>
      <c r="B103" s="276">
        <v>92.0</v>
      </c>
      <c r="C103" s="277" t="s">
        <v>182</v>
      </c>
      <c r="D103" s="116" t="s">
        <v>83</v>
      </c>
      <c r="E103" s="278">
        <v>1.0</v>
      </c>
      <c r="F103" s="279"/>
      <c r="G103" s="279"/>
      <c r="H103" s="101"/>
      <c r="I103" s="280">
        <v>9373.78</v>
      </c>
      <c r="J103" s="103">
        <f t="shared" si="2"/>
        <v>1781.0182</v>
      </c>
      <c r="K103" s="103">
        <f t="shared" si="3"/>
        <v>11154.7982</v>
      </c>
      <c r="L103" s="287">
        <f t="shared" si="4"/>
        <v>11154.7982</v>
      </c>
      <c r="M103" s="106"/>
      <c r="N103" s="112">
        <v>12071.0</v>
      </c>
      <c r="O103" s="103">
        <f t="shared" si="5"/>
        <v>2293.49</v>
      </c>
      <c r="P103" s="107">
        <f t="shared" si="6"/>
        <v>14364.49</v>
      </c>
      <c r="Q103" s="281">
        <f t="shared" si="7"/>
        <v>14364.49</v>
      </c>
      <c r="R103" s="106"/>
      <c r="S103" s="112">
        <v>12433.0</v>
      </c>
      <c r="T103" s="109">
        <f t="shared" si="8"/>
        <v>2362.27</v>
      </c>
      <c r="U103" s="109">
        <f t="shared" si="9"/>
        <v>14795.27</v>
      </c>
      <c r="V103" s="284">
        <f t="shared" si="10"/>
        <v>14795.27</v>
      </c>
      <c r="W103" s="111"/>
      <c r="X103" s="112">
        <v>13452.0</v>
      </c>
      <c r="Y103" s="109">
        <f t="shared" si="11"/>
        <v>2555.88</v>
      </c>
      <c r="Z103" s="109">
        <f t="shared" si="12"/>
        <v>16007.88</v>
      </c>
      <c r="AA103" s="285">
        <f t="shared" si="13"/>
        <v>16007.88</v>
      </c>
      <c r="AB103" s="286">
        <f t="shared" si="14"/>
        <v>9373.78</v>
      </c>
      <c r="AC103" s="286">
        <f t="shared" si="15"/>
        <v>13452</v>
      </c>
    </row>
    <row r="104" ht="15.75" customHeight="1">
      <c r="A104" s="101"/>
      <c r="B104" s="276">
        <v>93.0</v>
      </c>
      <c r="C104" s="277" t="s">
        <v>183</v>
      </c>
      <c r="D104" s="116" t="s">
        <v>96</v>
      </c>
      <c r="E104" s="278">
        <v>1.0</v>
      </c>
      <c r="F104" s="279"/>
      <c r="G104" s="279"/>
      <c r="H104" s="101"/>
      <c r="I104" s="280">
        <v>48438.72</v>
      </c>
      <c r="J104" s="103">
        <f t="shared" si="2"/>
        <v>9203.3568</v>
      </c>
      <c r="K104" s="103">
        <f t="shared" si="3"/>
        <v>57642.0768</v>
      </c>
      <c r="L104" s="289">
        <f t="shared" si="4"/>
        <v>57642.0768</v>
      </c>
      <c r="M104" s="106"/>
      <c r="N104" s="112">
        <v>46036.799999999996</v>
      </c>
      <c r="O104" s="103">
        <f t="shared" si="5"/>
        <v>8746.992</v>
      </c>
      <c r="P104" s="107">
        <f t="shared" si="6"/>
        <v>54783.792</v>
      </c>
      <c r="Q104" s="283">
        <f t="shared" si="7"/>
        <v>54783.792</v>
      </c>
      <c r="R104" s="106"/>
      <c r="S104" s="112">
        <v>47418.0</v>
      </c>
      <c r="T104" s="109">
        <f t="shared" si="8"/>
        <v>9009.42</v>
      </c>
      <c r="U104" s="109">
        <f t="shared" si="9"/>
        <v>56427.42</v>
      </c>
      <c r="V104" s="281">
        <f t="shared" si="10"/>
        <v>56427.42</v>
      </c>
      <c r="W104" s="111"/>
      <c r="X104" s="112">
        <v>48678.0</v>
      </c>
      <c r="Y104" s="109">
        <f t="shared" si="11"/>
        <v>9248.82</v>
      </c>
      <c r="Z104" s="109">
        <f t="shared" si="12"/>
        <v>57926.82</v>
      </c>
      <c r="AA104" s="285">
        <f t="shared" si="13"/>
        <v>57926.82</v>
      </c>
      <c r="AB104" s="286">
        <f t="shared" si="14"/>
        <v>46036.8</v>
      </c>
      <c r="AC104" s="286">
        <f t="shared" si="15"/>
        <v>48678</v>
      </c>
    </row>
    <row r="105" ht="15.75" customHeight="1">
      <c r="A105" s="101"/>
      <c r="B105" s="276">
        <v>94.0</v>
      </c>
      <c r="C105" s="277" t="s">
        <v>184</v>
      </c>
      <c r="D105" s="116" t="s">
        <v>83</v>
      </c>
      <c r="E105" s="278">
        <v>1.0</v>
      </c>
      <c r="F105" s="279"/>
      <c r="G105" s="279"/>
      <c r="H105" s="101"/>
      <c r="I105" s="280">
        <v>57150.96</v>
      </c>
      <c r="J105" s="103">
        <f t="shared" si="2"/>
        <v>10858.6824</v>
      </c>
      <c r="K105" s="103">
        <f t="shared" si="3"/>
        <v>68009.6424</v>
      </c>
      <c r="L105" s="287">
        <f t="shared" si="4"/>
        <v>68009.6424</v>
      </c>
      <c r="M105" s="106"/>
      <c r="N105" s="112">
        <v>59493.0</v>
      </c>
      <c r="O105" s="103">
        <f t="shared" si="5"/>
        <v>11303.67</v>
      </c>
      <c r="P105" s="107">
        <f t="shared" si="6"/>
        <v>70796.67</v>
      </c>
      <c r="Q105" s="281">
        <f t="shared" si="7"/>
        <v>70796.67</v>
      </c>
      <c r="R105" s="106"/>
      <c r="S105" s="112">
        <v>61278.0</v>
      </c>
      <c r="T105" s="109">
        <f t="shared" si="8"/>
        <v>11642.82</v>
      </c>
      <c r="U105" s="109">
        <f t="shared" si="9"/>
        <v>72920.82</v>
      </c>
      <c r="V105" s="284">
        <f t="shared" si="10"/>
        <v>72920.82</v>
      </c>
      <c r="W105" s="111"/>
      <c r="X105" s="112">
        <v>66804.0</v>
      </c>
      <c r="Y105" s="109">
        <f t="shared" si="11"/>
        <v>12692.76</v>
      </c>
      <c r="Z105" s="109">
        <f t="shared" si="12"/>
        <v>79496.76</v>
      </c>
      <c r="AA105" s="285">
        <f t="shared" si="13"/>
        <v>79496.76</v>
      </c>
      <c r="AB105" s="286">
        <f t="shared" si="14"/>
        <v>57150.96</v>
      </c>
      <c r="AC105" s="286">
        <f t="shared" si="15"/>
        <v>66804</v>
      </c>
    </row>
    <row r="106" ht="15.75" customHeight="1">
      <c r="A106" s="101"/>
      <c r="B106" s="276">
        <v>95.0</v>
      </c>
      <c r="C106" s="277" t="s">
        <v>185</v>
      </c>
      <c r="D106" s="116" t="s">
        <v>83</v>
      </c>
      <c r="E106" s="278">
        <v>1.0</v>
      </c>
      <c r="F106" s="279"/>
      <c r="G106" s="279"/>
      <c r="H106" s="101"/>
      <c r="I106" s="280">
        <v>80058.44</v>
      </c>
      <c r="J106" s="103">
        <f t="shared" si="2"/>
        <v>15211.1036</v>
      </c>
      <c r="K106" s="103">
        <f t="shared" si="3"/>
        <v>95269.5436</v>
      </c>
      <c r="L106" s="289">
        <f t="shared" si="4"/>
        <v>95269.5436</v>
      </c>
      <c r="M106" s="106"/>
      <c r="N106" s="112">
        <v>76088.59999999999</v>
      </c>
      <c r="O106" s="103">
        <f t="shared" si="5"/>
        <v>14456.834</v>
      </c>
      <c r="P106" s="107">
        <f t="shared" si="6"/>
        <v>90545.434</v>
      </c>
      <c r="Q106" s="283">
        <f t="shared" si="7"/>
        <v>90545.434</v>
      </c>
      <c r="R106" s="106"/>
      <c r="S106" s="112">
        <v>78371.0</v>
      </c>
      <c r="T106" s="109">
        <f t="shared" si="8"/>
        <v>14890.49</v>
      </c>
      <c r="U106" s="109">
        <f t="shared" si="9"/>
        <v>93261.49</v>
      </c>
      <c r="V106" s="281">
        <f t="shared" si="10"/>
        <v>93261.49</v>
      </c>
      <c r="W106" s="111"/>
      <c r="X106" s="112">
        <v>80256.0</v>
      </c>
      <c r="Y106" s="109">
        <f t="shared" si="11"/>
        <v>15248.64</v>
      </c>
      <c r="Z106" s="109">
        <f t="shared" si="12"/>
        <v>95504.64</v>
      </c>
      <c r="AA106" s="285">
        <f t="shared" si="13"/>
        <v>95504.64</v>
      </c>
      <c r="AB106" s="286">
        <f t="shared" si="14"/>
        <v>76088.6</v>
      </c>
      <c r="AC106" s="286">
        <f t="shared" si="15"/>
        <v>80256</v>
      </c>
    </row>
    <row r="107" ht="15.75" customHeight="1">
      <c r="A107" s="101"/>
      <c r="B107" s="276"/>
      <c r="C107" s="277" t="s">
        <v>186</v>
      </c>
      <c r="D107" s="116" t="s">
        <v>83</v>
      </c>
      <c r="E107" s="278">
        <v>1.0</v>
      </c>
      <c r="F107" s="279"/>
      <c r="G107" s="279"/>
      <c r="H107" s="101"/>
      <c r="I107" s="280">
        <v>57150.96</v>
      </c>
      <c r="J107" s="103">
        <f t="shared" si="2"/>
        <v>10858.6824</v>
      </c>
      <c r="K107" s="103">
        <f t="shared" si="3"/>
        <v>68009.6424</v>
      </c>
      <c r="L107" s="287">
        <f t="shared" si="4"/>
        <v>68009.6424</v>
      </c>
      <c r="M107" s="106"/>
      <c r="N107" s="112">
        <v>59493.0</v>
      </c>
      <c r="O107" s="103">
        <f t="shared" si="5"/>
        <v>11303.67</v>
      </c>
      <c r="P107" s="107">
        <f t="shared" si="6"/>
        <v>70796.67</v>
      </c>
      <c r="Q107" s="281">
        <f t="shared" si="7"/>
        <v>70796.67</v>
      </c>
      <c r="R107" s="106"/>
      <c r="S107" s="112">
        <v>61278.0</v>
      </c>
      <c r="T107" s="109">
        <f t="shared" si="8"/>
        <v>11642.82</v>
      </c>
      <c r="U107" s="109">
        <f t="shared" si="9"/>
        <v>72920.82</v>
      </c>
      <c r="V107" s="284">
        <f t="shared" si="10"/>
        <v>72920.82</v>
      </c>
      <c r="W107" s="111"/>
      <c r="X107" s="112">
        <v>63156.0</v>
      </c>
      <c r="Y107" s="109">
        <f t="shared" si="11"/>
        <v>11999.64</v>
      </c>
      <c r="Z107" s="109">
        <f t="shared" si="12"/>
        <v>75155.64</v>
      </c>
      <c r="AA107" s="285">
        <f t="shared" si="13"/>
        <v>75155.64</v>
      </c>
      <c r="AB107" s="286">
        <f t="shared" si="14"/>
        <v>57150.96</v>
      </c>
      <c r="AC107" s="286">
        <f t="shared" si="15"/>
        <v>63156</v>
      </c>
    </row>
    <row r="108" ht="15.75" customHeight="1">
      <c r="A108" s="101"/>
      <c r="B108" s="276">
        <v>96.0</v>
      </c>
      <c r="C108" s="277" t="s">
        <v>187</v>
      </c>
      <c r="D108" s="116" t="s">
        <v>83</v>
      </c>
      <c r="E108" s="278">
        <v>1.0</v>
      </c>
      <c r="F108" s="279"/>
      <c r="G108" s="279"/>
      <c r="H108" s="101"/>
      <c r="I108" s="280">
        <v>52138.9</v>
      </c>
      <c r="J108" s="103">
        <f t="shared" si="2"/>
        <v>9906.391</v>
      </c>
      <c r="K108" s="103">
        <f t="shared" si="3"/>
        <v>62045.291</v>
      </c>
      <c r="L108" s="289">
        <f t="shared" si="4"/>
        <v>62045.291</v>
      </c>
      <c r="M108" s="106"/>
      <c r="N108" s="112">
        <v>49232.0</v>
      </c>
      <c r="O108" s="103">
        <f t="shared" si="5"/>
        <v>9354.08</v>
      </c>
      <c r="P108" s="107">
        <f t="shared" si="6"/>
        <v>58586.08</v>
      </c>
      <c r="Q108" s="283">
        <f t="shared" si="7"/>
        <v>58586.08</v>
      </c>
      <c r="R108" s="106"/>
      <c r="S108" s="112">
        <v>50709.0</v>
      </c>
      <c r="T108" s="109">
        <f t="shared" si="8"/>
        <v>9634.71</v>
      </c>
      <c r="U108" s="109">
        <f t="shared" si="9"/>
        <v>60343.71</v>
      </c>
      <c r="V108" s="281">
        <f t="shared" si="10"/>
        <v>60343.71</v>
      </c>
      <c r="W108" s="111"/>
      <c r="X108" s="112">
        <v>59736.0</v>
      </c>
      <c r="Y108" s="109">
        <f t="shared" si="11"/>
        <v>11349.84</v>
      </c>
      <c r="Z108" s="109">
        <f t="shared" si="12"/>
        <v>71085.84</v>
      </c>
      <c r="AA108" s="285">
        <f t="shared" si="13"/>
        <v>71085.84</v>
      </c>
      <c r="AB108" s="286">
        <f t="shared" si="14"/>
        <v>49232</v>
      </c>
      <c r="AC108" s="286">
        <f t="shared" si="15"/>
        <v>59736</v>
      </c>
    </row>
    <row r="109" ht="15.75" customHeight="1">
      <c r="A109" s="101"/>
      <c r="B109" s="276">
        <v>97.0</v>
      </c>
      <c r="C109" s="277" t="s">
        <v>188</v>
      </c>
      <c r="D109" s="116" t="s">
        <v>83</v>
      </c>
      <c r="E109" s="278">
        <v>1.0</v>
      </c>
      <c r="F109" s="279"/>
      <c r="G109" s="279"/>
      <c r="H109" s="101"/>
      <c r="I109" s="280">
        <v>26782.24</v>
      </c>
      <c r="J109" s="103">
        <f t="shared" si="2"/>
        <v>5088.6256</v>
      </c>
      <c r="K109" s="103">
        <f t="shared" si="3"/>
        <v>31870.8656</v>
      </c>
      <c r="L109" s="289">
        <f t="shared" si="4"/>
        <v>31870.8656</v>
      </c>
      <c r="M109" s="106"/>
      <c r="N109" s="112">
        <v>25866.0</v>
      </c>
      <c r="O109" s="103">
        <f t="shared" si="5"/>
        <v>4914.54</v>
      </c>
      <c r="P109" s="107">
        <f t="shared" si="6"/>
        <v>30780.54</v>
      </c>
      <c r="Q109" s="283">
        <f t="shared" si="7"/>
        <v>30780.54</v>
      </c>
      <c r="R109" s="106"/>
      <c r="S109" s="112">
        <v>26642.0</v>
      </c>
      <c r="T109" s="109">
        <f t="shared" si="8"/>
        <v>5061.98</v>
      </c>
      <c r="U109" s="109">
        <f t="shared" si="9"/>
        <v>31703.98</v>
      </c>
      <c r="V109" s="281">
        <f t="shared" si="10"/>
        <v>31703.98</v>
      </c>
      <c r="W109" s="111"/>
      <c r="X109" s="112">
        <v>54264.0</v>
      </c>
      <c r="Y109" s="109">
        <f t="shared" si="11"/>
        <v>10310.16</v>
      </c>
      <c r="Z109" s="109">
        <f t="shared" si="12"/>
        <v>64574.16</v>
      </c>
      <c r="AA109" s="285">
        <f t="shared" si="13"/>
        <v>64574.16</v>
      </c>
      <c r="AB109" s="286">
        <f t="shared" si="14"/>
        <v>25866</v>
      </c>
      <c r="AC109" s="286">
        <f t="shared" si="15"/>
        <v>54264</v>
      </c>
    </row>
    <row r="110" ht="15.75" customHeight="1">
      <c r="A110" s="101"/>
      <c r="B110" s="276">
        <v>98.0</v>
      </c>
      <c r="C110" s="277" t="s">
        <v>189</v>
      </c>
      <c r="D110" s="116" t="s">
        <v>96</v>
      </c>
      <c r="E110" s="278">
        <v>1.0</v>
      </c>
      <c r="F110" s="279"/>
      <c r="G110" s="279"/>
      <c r="H110" s="101"/>
      <c r="I110" s="280">
        <v>66955.59</v>
      </c>
      <c r="J110" s="103">
        <f t="shared" si="2"/>
        <v>12721.5621</v>
      </c>
      <c r="K110" s="103">
        <f t="shared" si="3"/>
        <v>79677.1521</v>
      </c>
      <c r="L110" s="287">
        <f t="shared" si="4"/>
        <v>79677.1521</v>
      </c>
      <c r="M110" s="106"/>
      <c r="N110" s="112">
        <v>70619.0</v>
      </c>
      <c r="O110" s="103">
        <f t="shared" si="5"/>
        <v>13417.61</v>
      </c>
      <c r="P110" s="107">
        <f t="shared" si="6"/>
        <v>84036.61</v>
      </c>
      <c r="Q110" s="281">
        <f t="shared" si="7"/>
        <v>84036.61</v>
      </c>
      <c r="R110" s="106"/>
      <c r="S110" s="112">
        <v>72738.0</v>
      </c>
      <c r="T110" s="109">
        <f t="shared" si="8"/>
        <v>13820.22</v>
      </c>
      <c r="U110" s="109">
        <f t="shared" si="9"/>
        <v>86558.22</v>
      </c>
      <c r="V110" s="284">
        <f t="shared" si="10"/>
        <v>86558.22</v>
      </c>
      <c r="W110" s="111"/>
      <c r="X110" s="112">
        <v>71592.0</v>
      </c>
      <c r="Y110" s="109">
        <f t="shared" si="11"/>
        <v>13602.48</v>
      </c>
      <c r="Z110" s="109">
        <f t="shared" si="12"/>
        <v>85194.48</v>
      </c>
      <c r="AA110" s="285">
        <f t="shared" si="13"/>
        <v>85194.48</v>
      </c>
      <c r="AB110" s="286">
        <f t="shared" si="14"/>
        <v>66955.59</v>
      </c>
      <c r="AC110" s="286">
        <f t="shared" si="15"/>
        <v>72738</v>
      </c>
    </row>
    <row r="111" ht="15.75" customHeight="1">
      <c r="A111" s="101"/>
      <c r="B111" s="276">
        <v>99.0</v>
      </c>
      <c r="C111" s="277" t="s">
        <v>190</v>
      </c>
      <c r="D111" s="116" t="s">
        <v>83</v>
      </c>
      <c r="E111" s="278">
        <v>1.0</v>
      </c>
      <c r="F111" s="279"/>
      <c r="G111" s="279"/>
      <c r="H111" s="101"/>
      <c r="I111" s="280">
        <v>54661.75</v>
      </c>
      <c r="J111" s="103">
        <f t="shared" si="2"/>
        <v>10385.7325</v>
      </c>
      <c r="K111" s="103">
        <f t="shared" si="3"/>
        <v>65047.4825</v>
      </c>
      <c r="L111" s="289">
        <f t="shared" si="4"/>
        <v>65047.4825</v>
      </c>
      <c r="M111" s="106"/>
      <c r="N111" s="112">
        <v>52620.0</v>
      </c>
      <c r="O111" s="103">
        <f t="shared" si="5"/>
        <v>9997.8</v>
      </c>
      <c r="P111" s="107">
        <f t="shared" si="6"/>
        <v>62617.8</v>
      </c>
      <c r="Q111" s="281">
        <f t="shared" si="7"/>
        <v>62617.8</v>
      </c>
      <c r="R111" s="106"/>
      <c r="S111" s="112">
        <v>54199.0</v>
      </c>
      <c r="T111" s="109">
        <f t="shared" si="8"/>
        <v>10297.81</v>
      </c>
      <c r="U111" s="109">
        <f t="shared" si="9"/>
        <v>64496.81</v>
      </c>
      <c r="V111" s="281">
        <f t="shared" si="10"/>
        <v>64496.81</v>
      </c>
      <c r="W111" s="111"/>
      <c r="X111" s="112">
        <v>56658.0</v>
      </c>
      <c r="Y111" s="109">
        <f t="shared" si="11"/>
        <v>10765.02</v>
      </c>
      <c r="Z111" s="109">
        <f t="shared" si="12"/>
        <v>67423.02</v>
      </c>
      <c r="AA111" s="285">
        <f t="shared" si="13"/>
        <v>67423.02</v>
      </c>
      <c r="AB111" s="286">
        <f t="shared" si="14"/>
        <v>52620</v>
      </c>
      <c r="AC111" s="286">
        <f t="shared" si="15"/>
        <v>56658</v>
      </c>
    </row>
    <row r="112" ht="15.75" customHeight="1">
      <c r="A112" s="101"/>
      <c r="B112" s="276">
        <v>100.0</v>
      </c>
      <c r="C112" s="277" t="s">
        <v>191</v>
      </c>
      <c r="D112" s="116" t="s">
        <v>83</v>
      </c>
      <c r="E112" s="278">
        <v>1.0</v>
      </c>
      <c r="F112" s="279"/>
      <c r="G112" s="279"/>
      <c r="H112" s="101"/>
      <c r="I112" s="280">
        <v>52225.36</v>
      </c>
      <c r="J112" s="103">
        <f t="shared" si="2"/>
        <v>9922.8184</v>
      </c>
      <c r="K112" s="103">
        <f t="shared" si="3"/>
        <v>62148.1784</v>
      </c>
      <c r="L112" s="281">
        <f t="shared" si="4"/>
        <v>62148.1784</v>
      </c>
      <c r="M112" s="106"/>
      <c r="N112" s="112">
        <v>51152.0</v>
      </c>
      <c r="O112" s="103">
        <f t="shared" si="5"/>
        <v>9718.88</v>
      </c>
      <c r="P112" s="107">
        <f t="shared" si="6"/>
        <v>60870.88</v>
      </c>
      <c r="Q112" s="281">
        <f t="shared" si="7"/>
        <v>60870.88</v>
      </c>
      <c r="R112" s="106"/>
      <c r="S112" s="112">
        <v>52687.0</v>
      </c>
      <c r="T112" s="109">
        <f t="shared" si="8"/>
        <v>10010.53</v>
      </c>
      <c r="U112" s="109">
        <f t="shared" si="9"/>
        <v>62697.53</v>
      </c>
      <c r="V112" s="284">
        <f t="shared" si="10"/>
        <v>62697.53</v>
      </c>
      <c r="W112" s="111"/>
      <c r="X112" s="112">
        <v>55518.0</v>
      </c>
      <c r="Y112" s="109">
        <f t="shared" si="11"/>
        <v>10548.42</v>
      </c>
      <c r="Z112" s="109">
        <f t="shared" si="12"/>
        <v>66066.42</v>
      </c>
      <c r="AA112" s="285">
        <f t="shared" si="13"/>
        <v>66066.42</v>
      </c>
      <c r="AB112" s="286">
        <f t="shared" si="14"/>
        <v>51152</v>
      </c>
      <c r="AC112" s="286">
        <f t="shared" si="15"/>
        <v>55518</v>
      </c>
    </row>
    <row r="113" ht="15.75" customHeight="1">
      <c r="A113" s="101"/>
      <c r="B113" s="276">
        <v>101.0</v>
      </c>
      <c r="C113" s="277" t="s">
        <v>192</v>
      </c>
      <c r="D113" s="116" t="s">
        <v>96</v>
      </c>
      <c r="E113" s="278">
        <v>1.0</v>
      </c>
      <c r="F113" s="279"/>
      <c r="G113" s="279"/>
      <c r="H113" s="101"/>
      <c r="I113" s="280">
        <v>22764.9</v>
      </c>
      <c r="J113" s="103">
        <f t="shared" si="2"/>
        <v>4325.331</v>
      </c>
      <c r="K113" s="103">
        <f t="shared" si="3"/>
        <v>27090.231</v>
      </c>
      <c r="L113" s="287">
        <f t="shared" si="4"/>
        <v>27090.231</v>
      </c>
      <c r="M113" s="106"/>
      <c r="N113" s="112">
        <v>27175.0</v>
      </c>
      <c r="O113" s="103">
        <f t="shared" si="5"/>
        <v>5163.25</v>
      </c>
      <c r="P113" s="107">
        <f t="shared" si="6"/>
        <v>32338.25</v>
      </c>
      <c r="Q113" s="281">
        <f t="shared" si="7"/>
        <v>32338.25</v>
      </c>
      <c r="R113" s="106"/>
      <c r="S113" s="112">
        <v>27990.0</v>
      </c>
      <c r="T113" s="109">
        <f t="shared" si="8"/>
        <v>5318.1</v>
      </c>
      <c r="U113" s="109">
        <f t="shared" si="9"/>
        <v>33308.1</v>
      </c>
      <c r="V113" s="284">
        <f t="shared" si="10"/>
        <v>33308.1</v>
      </c>
      <c r="W113" s="111"/>
      <c r="X113" s="112">
        <v>29412.0</v>
      </c>
      <c r="Y113" s="109">
        <f t="shared" si="11"/>
        <v>5588.28</v>
      </c>
      <c r="Z113" s="109">
        <f t="shared" si="12"/>
        <v>35000.28</v>
      </c>
      <c r="AA113" s="285">
        <f t="shared" si="13"/>
        <v>35000.28</v>
      </c>
      <c r="AB113" s="286">
        <f t="shared" si="14"/>
        <v>22764.9</v>
      </c>
      <c r="AC113" s="286">
        <f t="shared" si="15"/>
        <v>29412</v>
      </c>
    </row>
    <row r="114" ht="15.75" customHeight="1">
      <c r="A114" s="101"/>
      <c r="B114" s="276">
        <v>102.0</v>
      </c>
      <c r="C114" s="277" t="s">
        <v>193</v>
      </c>
      <c r="D114" s="116" t="s">
        <v>96</v>
      </c>
      <c r="E114" s="278">
        <v>1.0</v>
      </c>
      <c r="F114" s="279"/>
      <c r="G114" s="279"/>
      <c r="H114" s="101"/>
      <c r="I114" s="280">
        <v>22764.9</v>
      </c>
      <c r="J114" s="103">
        <f t="shared" si="2"/>
        <v>4325.331</v>
      </c>
      <c r="K114" s="103">
        <f t="shared" si="3"/>
        <v>27090.231</v>
      </c>
      <c r="L114" s="287">
        <f t="shared" si="4"/>
        <v>27090.231</v>
      </c>
      <c r="M114" s="106"/>
      <c r="N114" s="112">
        <v>27175.0</v>
      </c>
      <c r="O114" s="103">
        <f t="shared" si="5"/>
        <v>5163.25</v>
      </c>
      <c r="P114" s="107">
        <f t="shared" si="6"/>
        <v>32338.25</v>
      </c>
      <c r="Q114" s="281">
        <f t="shared" si="7"/>
        <v>32338.25</v>
      </c>
      <c r="R114" s="106"/>
      <c r="S114" s="112">
        <v>27990.0</v>
      </c>
      <c r="T114" s="109">
        <f t="shared" si="8"/>
        <v>5318.1</v>
      </c>
      <c r="U114" s="109">
        <f t="shared" si="9"/>
        <v>33308.1</v>
      </c>
      <c r="V114" s="284">
        <f t="shared" si="10"/>
        <v>33308.1</v>
      </c>
      <c r="W114" s="111"/>
      <c r="X114" s="112">
        <v>32604.0</v>
      </c>
      <c r="Y114" s="109">
        <f t="shared" si="11"/>
        <v>6194.76</v>
      </c>
      <c r="Z114" s="109">
        <f t="shared" si="12"/>
        <v>38798.76</v>
      </c>
      <c r="AA114" s="285">
        <f t="shared" si="13"/>
        <v>38798.76</v>
      </c>
      <c r="AB114" s="286">
        <f t="shared" si="14"/>
        <v>22764.9</v>
      </c>
      <c r="AC114" s="286">
        <f t="shared" si="15"/>
        <v>32604</v>
      </c>
    </row>
    <row r="115" ht="15.75" customHeight="1">
      <c r="A115" s="101"/>
      <c r="B115" s="276">
        <v>103.0</v>
      </c>
      <c r="C115" s="277" t="s">
        <v>194</v>
      </c>
      <c r="D115" s="116" t="s">
        <v>83</v>
      </c>
      <c r="E115" s="278">
        <v>1.0</v>
      </c>
      <c r="F115" s="279"/>
      <c r="G115" s="279"/>
      <c r="H115" s="101"/>
      <c r="I115" s="280">
        <v>53820.8</v>
      </c>
      <c r="J115" s="103">
        <f t="shared" si="2"/>
        <v>10225.952</v>
      </c>
      <c r="K115" s="103">
        <f t="shared" si="3"/>
        <v>64046.752</v>
      </c>
      <c r="L115" s="289">
        <f t="shared" si="4"/>
        <v>64046.752</v>
      </c>
      <c r="M115" s="106"/>
      <c r="N115" s="112">
        <v>51152.0</v>
      </c>
      <c r="O115" s="103">
        <f t="shared" si="5"/>
        <v>9718.88</v>
      </c>
      <c r="P115" s="107">
        <f t="shared" si="6"/>
        <v>60870.88</v>
      </c>
      <c r="Q115" s="283">
        <f t="shared" si="7"/>
        <v>60870.88</v>
      </c>
      <c r="R115" s="106"/>
      <c r="S115" s="112">
        <v>52687.0</v>
      </c>
      <c r="T115" s="109">
        <f t="shared" si="8"/>
        <v>10010.53</v>
      </c>
      <c r="U115" s="109">
        <f t="shared" si="9"/>
        <v>62697.53</v>
      </c>
      <c r="V115" s="281">
        <f t="shared" si="10"/>
        <v>62697.53</v>
      </c>
      <c r="W115" s="111"/>
      <c r="X115" s="112">
        <v>55404.0</v>
      </c>
      <c r="Y115" s="109">
        <f t="shared" si="11"/>
        <v>10526.76</v>
      </c>
      <c r="Z115" s="109">
        <f t="shared" si="12"/>
        <v>65930.76</v>
      </c>
      <c r="AA115" s="285">
        <f t="shared" si="13"/>
        <v>65930.76</v>
      </c>
      <c r="AB115" s="286">
        <f t="shared" si="14"/>
        <v>51152</v>
      </c>
      <c r="AC115" s="286">
        <f t="shared" si="15"/>
        <v>55404</v>
      </c>
    </row>
    <row r="116" ht="15.75" customHeight="1">
      <c r="A116" s="101"/>
      <c r="B116" s="276">
        <v>104.0</v>
      </c>
      <c r="C116" s="277" t="s">
        <v>195</v>
      </c>
      <c r="D116" s="116" t="s">
        <v>96</v>
      </c>
      <c r="E116" s="278">
        <v>1.0</v>
      </c>
      <c r="F116" s="279"/>
      <c r="G116" s="279"/>
      <c r="H116" s="101"/>
      <c r="I116" s="280">
        <v>36156.02</v>
      </c>
      <c r="J116" s="103">
        <f t="shared" si="2"/>
        <v>6869.6438</v>
      </c>
      <c r="K116" s="103">
        <f t="shared" si="3"/>
        <v>43025.6638</v>
      </c>
      <c r="L116" s="289">
        <f t="shared" si="4"/>
        <v>43025.6638</v>
      </c>
      <c r="M116" s="106"/>
      <c r="N116" s="112">
        <v>34528.0</v>
      </c>
      <c r="O116" s="103">
        <f t="shared" si="5"/>
        <v>6560.32</v>
      </c>
      <c r="P116" s="107">
        <f t="shared" si="6"/>
        <v>41088.32</v>
      </c>
      <c r="Q116" s="283">
        <f t="shared" si="7"/>
        <v>41088.32</v>
      </c>
      <c r="R116" s="106"/>
      <c r="S116" s="112">
        <v>35564.0</v>
      </c>
      <c r="T116" s="109">
        <f t="shared" si="8"/>
        <v>6757.16</v>
      </c>
      <c r="U116" s="109">
        <f t="shared" si="9"/>
        <v>42321.16</v>
      </c>
      <c r="V116" s="281">
        <f t="shared" si="10"/>
        <v>42321.16</v>
      </c>
      <c r="W116" s="111"/>
      <c r="X116" s="112">
        <v>37278.0</v>
      </c>
      <c r="Y116" s="109">
        <f t="shared" si="11"/>
        <v>7082.82</v>
      </c>
      <c r="Z116" s="109">
        <f t="shared" si="12"/>
        <v>44360.82</v>
      </c>
      <c r="AA116" s="285">
        <f t="shared" si="13"/>
        <v>44360.82</v>
      </c>
      <c r="AB116" s="286">
        <f t="shared" si="14"/>
        <v>34528</v>
      </c>
      <c r="AC116" s="286">
        <f t="shared" si="15"/>
        <v>37278</v>
      </c>
    </row>
    <row r="117" ht="15.75" customHeight="1">
      <c r="A117" s="101"/>
      <c r="B117" s="276">
        <v>105.0</v>
      </c>
      <c r="C117" s="277" t="s">
        <v>196</v>
      </c>
      <c r="D117" s="116" t="s">
        <v>96</v>
      </c>
      <c r="E117" s="278">
        <v>1.0</v>
      </c>
      <c r="F117" s="279"/>
      <c r="G117" s="279"/>
      <c r="H117" s="101"/>
      <c r="I117" s="280">
        <v>48208.03</v>
      </c>
      <c r="J117" s="103">
        <f t="shared" si="2"/>
        <v>9159.5257</v>
      </c>
      <c r="K117" s="103">
        <f t="shared" si="3"/>
        <v>57367.5557</v>
      </c>
      <c r="L117" s="281">
        <f t="shared" si="4"/>
        <v>57367.5557</v>
      </c>
      <c r="M117" s="106"/>
      <c r="N117" s="112">
        <v>55948.0</v>
      </c>
      <c r="O117" s="103">
        <f t="shared" si="5"/>
        <v>10630.12</v>
      </c>
      <c r="P117" s="107">
        <f t="shared" si="6"/>
        <v>66578.12</v>
      </c>
      <c r="Q117" s="281">
        <f t="shared" si="7"/>
        <v>66578.12</v>
      </c>
      <c r="R117" s="106"/>
      <c r="S117" s="112">
        <v>57626.0</v>
      </c>
      <c r="T117" s="109">
        <f t="shared" si="8"/>
        <v>10948.94</v>
      </c>
      <c r="U117" s="109">
        <f t="shared" si="9"/>
        <v>68574.94</v>
      </c>
      <c r="V117" s="284">
        <f t="shared" si="10"/>
        <v>68574.94</v>
      </c>
      <c r="W117" s="111"/>
      <c r="X117" s="112">
        <v>60876.0</v>
      </c>
      <c r="Y117" s="109">
        <f t="shared" si="11"/>
        <v>11566.44</v>
      </c>
      <c r="Z117" s="109">
        <f t="shared" si="12"/>
        <v>72442.44</v>
      </c>
      <c r="AA117" s="285">
        <f t="shared" si="13"/>
        <v>72442.44</v>
      </c>
      <c r="AB117" s="286">
        <f t="shared" si="14"/>
        <v>48208.03</v>
      </c>
      <c r="AC117" s="286">
        <f t="shared" si="15"/>
        <v>60876</v>
      </c>
    </row>
    <row r="118" ht="15.75" customHeight="1">
      <c r="A118" s="101"/>
      <c r="B118" s="276">
        <v>106.0</v>
      </c>
      <c r="C118" s="277" t="s">
        <v>197</v>
      </c>
      <c r="D118" s="116" t="s">
        <v>96</v>
      </c>
      <c r="E118" s="278">
        <v>1.0</v>
      </c>
      <c r="F118" s="279"/>
      <c r="G118" s="279"/>
      <c r="H118" s="101"/>
      <c r="I118" s="280">
        <v>27078.59</v>
      </c>
      <c r="J118" s="103">
        <f t="shared" si="2"/>
        <v>5144.9321</v>
      </c>
      <c r="K118" s="103">
        <f t="shared" si="3"/>
        <v>32223.5221</v>
      </c>
      <c r="L118" s="289">
        <f t="shared" si="4"/>
        <v>32223.5221</v>
      </c>
      <c r="M118" s="106"/>
      <c r="N118" s="112">
        <v>25736.0</v>
      </c>
      <c r="O118" s="103">
        <f t="shared" si="5"/>
        <v>4889.84</v>
      </c>
      <c r="P118" s="107">
        <f t="shared" si="6"/>
        <v>30625.84</v>
      </c>
      <c r="Q118" s="283">
        <f t="shared" si="7"/>
        <v>30625.84</v>
      </c>
      <c r="R118" s="106"/>
      <c r="S118" s="112">
        <v>26508.0</v>
      </c>
      <c r="T118" s="109">
        <f t="shared" si="8"/>
        <v>5036.52</v>
      </c>
      <c r="U118" s="109">
        <f t="shared" si="9"/>
        <v>31544.52</v>
      </c>
      <c r="V118" s="281">
        <f t="shared" si="10"/>
        <v>31544.52</v>
      </c>
      <c r="W118" s="111"/>
      <c r="X118" s="112">
        <v>28044.0</v>
      </c>
      <c r="Y118" s="109">
        <f t="shared" si="11"/>
        <v>5328.36</v>
      </c>
      <c r="Z118" s="109">
        <f t="shared" si="12"/>
        <v>33372.36</v>
      </c>
      <c r="AA118" s="285">
        <f t="shared" si="13"/>
        <v>33372.36</v>
      </c>
      <c r="AB118" s="286">
        <f t="shared" si="14"/>
        <v>25736</v>
      </c>
      <c r="AC118" s="286">
        <f t="shared" si="15"/>
        <v>28044</v>
      </c>
    </row>
    <row r="119" ht="15.75" customHeight="1">
      <c r="A119" s="101"/>
      <c r="B119" s="276">
        <v>107.0</v>
      </c>
      <c r="C119" s="277" t="s">
        <v>198</v>
      </c>
      <c r="D119" s="116" t="s">
        <v>167</v>
      </c>
      <c r="E119" s="278">
        <v>1.0</v>
      </c>
      <c r="F119" s="279"/>
      <c r="G119" s="279"/>
      <c r="H119" s="101"/>
      <c r="I119" s="280">
        <v>45411.3</v>
      </c>
      <c r="J119" s="103">
        <f t="shared" si="2"/>
        <v>8628.147</v>
      </c>
      <c r="K119" s="103">
        <f t="shared" si="3"/>
        <v>54039.447</v>
      </c>
      <c r="L119" s="289">
        <f t="shared" si="4"/>
        <v>54039.447</v>
      </c>
      <c r="M119" s="106"/>
      <c r="N119" s="112">
        <v>43160.0</v>
      </c>
      <c r="O119" s="103">
        <f t="shared" si="5"/>
        <v>8200.4</v>
      </c>
      <c r="P119" s="107">
        <f t="shared" si="6"/>
        <v>51360.4</v>
      </c>
      <c r="Q119" s="283">
        <f t="shared" si="7"/>
        <v>51360.4</v>
      </c>
      <c r="R119" s="106"/>
      <c r="S119" s="112">
        <v>44455.0</v>
      </c>
      <c r="T119" s="109">
        <f t="shared" si="8"/>
        <v>8446.45</v>
      </c>
      <c r="U119" s="109">
        <f t="shared" si="9"/>
        <v>52901.45</v>
      </c>
      <c r="V119" s="281">
        <f t="shared" si="10"/>
        <v>52901.45</v>
      </c>
      <c r="W119" s="111"/>
      <c r="X119" s="112">
        <v>48564.0</v>
      </c>
      <c r="Y119" s="109">
        <f t="shared" si="11"/>
        <v>9227.16</v>
      </c>
      <c r="Z119" s="109">
        <f t="shared" si="12"/>
        <v>57791.16</v>
      </c>
      <c r="AA119" s="285">
        <f t="shared" si="13"/>
        <v>57791.16</v>
      </c>
      <c r="AB119" s="286">
        <f t="shared" si="14"/>
        <v>43160</v>
      </c>
      <c r="AC119" s="286">
        <f t="shared" si="15"/>
        <v>48564</v>
      </c>
    </row>
    <row r="120" ht="15.75" customHeight="1">
      <c r="A120" s="101"/>
      <c r="B120" s="276">
        <v>108.0</v>
      </c>
      <c r="C120" s="277" t="s">
        <v>199</v>
      </c>
      <c r="D120" s="116" t="s">
        <v>167</v>
      </c>
      <c r="E120" s="278">
        <v>1.0</v>
      </c>
      <c r="F120" s="279"/>
      <c r="G120" s="279"/>
      <c r="H120" s="101"/>
      <c r="I120" s="280">
        <v>4372.94</v>
      </c>
      <c r="J120" s="103">
        <f t="shared" si="2"/>
        <v>830.8586</v>
      </c>
      <c r="K120" s="103">
        <f t="shared" si="3"/>
        <v>5203.7986</v>
      </c>
      <c r="L120" s="287">
        <f t="shared" si="4"/>
        <v>5203.7986</v>
      </c>
      <c r="M120" s="106"/>
      <c r="N120" s="112">
        <v>13430.0</v>
      </c>
      <c r="O120" s="103">
        <f t="shared" si="5"/>
        <v>2551.7</v>
      </c>
      <c r="P120" s="107">
        <f t="shared" si="6"/>
        <v>15981.7</v>
      </c>
      <c r="Q120" s="281">
        <f t="shared" si="7"/>
        <v>15981.7</v>
      </c>
      <c r="R120" s="106"/>
      <c r="S120" s="112">
        <v>13833.0</v>
      </c>
      <c r="T120" s="109">
        <f t="shared" si="8"/>
        <v>2628.27</v>
      </c>
      <c r="U120" s="109">
        <f t="shared" si="9"/>
        <v>16461.27</v>
      </c>
      <c r="V120" s="284">
        <f t="shared" si="10"/>
        <v>16461.27</v>
      </c>
      <c r="W120" s="111"/>
      <c r="X120" s="112">
        <v>15504.0</v>
      </c>
      <c r="Y120" s="109">
        <f t="shared" si="11"/>
        <v>2945.76</v>
      </c>
      <c r="Z120" s="109">
        <f t="shared" si="12"/>
        <v>18449.76</v>
      </c>
      <c r="AA120" s="285">
        <f t="shared" si="13"/>
        <v>18449.76</v>
      </c>
      <c r="AB120" s="286">
        <f t="shared" si="14"/>
        <v>4372.94</v>
      </c>
      <c r="AC120" s="286">
        <f t="shared" si="15"/>
        <v>15504</v>
      </c>
    </row>
    <row r="121" ht="15.75" customHeight="1">
      <c r="A121" s="101"/>
      <c r="B121" s="276">
        <v>109.0</v>
      </c>
      <c r="C121" s="277" t="s">
        <v>200</v>
      </c>
      <c r="D121" s="116" t="s">
        <v>83</v>
      </c>
      <c r="E121" s="278">
        <v>1.0</v>
      </c>
      <c r="F121" s="279"/>
      <c r="G121" s="279"/>
      <c r="H121" s="101"/>
      <c r="I121" s="280">
        <v>9586.83</v>
      </c>
      <c r="J121" s="103">
        <f t="shared" si="2"/>
        <v>1821.4977</v>
      </c>
      <c r="K121" s="103">
        <f t="shared" si="3"/>
        <v>11408.3277</v>
      </c>
      <c r="L121" s="287">
        <f t="shared" si="4"/>
        <v>11408.3277</v>
      </c>
      <c r="M121" s="106"/>
      <c r="N121" s="112">
        <v>24110.0</v>
      </c>
      <c r="O121" s="103">
        <f t="shared" si="5"/>
        <v>4580.9</v>
      </c>
      <c r="P121" s="107">
        <f t="shared" si="6"/>
        <v>28690.9</v>
      </c>
      <c r="Q121" s="281">
        <f t="shared" si="7"/>
        <v>28690.9</v>
      </c>
      <c r="R121" s="106"/>
      <c r="S121" s="112">
        <v>24833.0</v>
      </c>
      <c r="T121" s="109">
        <f t="shared" si="8"/>
        <v>4718.27</v>
      </c>
      <c r="U121" s="109">
        <f t="shared" si="9"/>
        <v>29551.27</v>
      </c>
      <c r="V121" s="284">
        <f t="shared" si="10"/>
        <v>29551.27</v>
      </c>
      <c r="W121" s="111"/>
      <c r="X121" s="112">
        <v>28956.0</v>
      </c>
      <c r="Y121" s="109">
        <f t="shared" si="11"/>
        <v>5501.64</v>
      </c>
      <c r="Z121" s="109">
        <f t="shared" si="12"/>
        <v>34457.64</v>
      </c>
      <c r="AA121" s="285">
        <f t="shared" si="13"/>
        <v>34457.64</v>
      </c>
      <c r="AB121" s="286">
        <f t="shared" si="14"/>
        <v>9586.83</v>
      </c>
      <c r="AC121" s="286">
        <f t="shared" si="15"/>
        <v>28956</v>
      </c>
    </row>
    <row r="122" ht="15.75" customHeight="1">
      <c r="A122" s="101"/>
      <c r="B122" s="276">
        <v>110.0</v>
      </c>
      <c r="C122" s="277" t="s">
        <v>201</v>
      </c>
      <c r="D122" s="116" t="s">
        <v>116</v>
      </c>
      <c r="E122" s="278">
        <v>1.0</v>
      </c>
      <c r="F122" s="279"/>
      <c r="G122" s="279"/>
      <c r="H122" s="101"/>
      <c r="I122" s="280">
        <v>6026.0</v>
      </c>
      <c r="J122" s="103">
        <f t="shared" si="2"/>
        <v>1144.94</v>
      </c>
      <c r="K122" s="103">
        <f t="shared" si="3"/>
        <v>7170.94</v>
      </c>
      <c r="L122" s="287">
        <f t="shared" si="4"/>
        <v>7170.94</v>
      </c>
      <c r="M122" s="106"/>
      <c r="N122" s="112">
        <v>13430.0</v>
      </c>
      <c r="O122" s="103">
        <f t="shared" si="5"/>
        <v>2551.7</v>
      </c>
      <c r="P122" s="107">
        <f t="shared" si="6"/>
        <v>15981.7</v>
      </c>
      <c r="Q122" s="281">
        <f t="shared" si="7"/>
        <v>15981.7</v>
      </c>
      <c r="R122" s="106"/>
      <c r="S122" s="112">
        <v>13833.0</v>
      </c>
      <c r="T122" s="109">
        <f t="shared" si="8"/>
        <v>2628.27</v>
      </c>
      <c r="U122" s="109">
        <f t="shared" si="9"/>
        <v>16461.27</v>
      </c>
      <c r="V122" s="284">
        <f t="shared" si="10"/>
        <v>16461.27</v>
      </c>
      <c r="W122" s="111"/>
      <c r="X122" s="112">
        <v>14592.0</v>
      </c>
      <c r="Y122" s="109">
        <f t="shared" si="11"/>
        <v>2772.48</v>
      </c>
      <c r="Z122" s="109">
        <f t="shared" si="12"/>
        <v>17364.48</v>
      </c>
      <c r="AA122" s="285">
        <f t="shared" si="13"/>
        <v>17364.48</v>
      </c>
      <c r="AB122" s="286">
        <f t="shared" si="14"/>
        <v>6026</v>
      </c>
      <c r="AC122" s="286">
        <f t="shared" si="15"/>
        <v>14592</v>
      </c>
    </row>
    <row r="123" ht="15.75" customHeight="1">
      <c r="A123" s="101"/>
      <c r="B123" s="276">
        <v>111.0</v>
      </c>
      <c r="C123" s="277" t="s">
        <v>202</v>
      </c>
      <c r="D123" s="116" t="s">
        <v>203</v>
      </c>
      <c r="E123" s="278">
        <v>1.0</v>
      </c>
      <c r="F123" s="279"/>
      <c r="G123" s="279"/>
      <c r="H123" s="101"/>
      <c r="I123" s="280">
        <v>12855.47</v>
      </c>
      <c r="J123" s="103">
        <f t="shared" si="2"/>
        <v>2442.5393</v>
      </c>
      <c r="K123" s="103">
        <f t="shared" si="3"/>
        <v>15298.0093</v>
      </c>
      <c r="L123" s="287">
        <f t="shared" si="4"/>
        <v>15298.0093</v>
      </c>
      <c r="M123" s="106"/>
      <c r="N123" s="112">
        <v>23693.0</v>
      </c>
      <c r="O123" s="103">
        <f t="shared" si="5"/>
        <v>4501.67</v>
      </c>
      <c r="P123" s="107">
        <f t="shared" si="6"/>
        <v>28194.67</v>
      </c>
      <c r="Q123" s="281">
        <f t="shared" si="7"/>
        <v>28194.67</v>
      </c>
      <c r="R123" s="106"/>
      <c r="S123" s="112">
        <v>24404.0</v>
      </c>
      <c r="T123" s="109">
        <f t="shared" si="8"/>
        <v>4636.76</v>
      </c>
      <c r="U123" s="109">
        <f t="shared" si="9"/>
        <v>29040.76</v>
      </c>
      <c r="V123" s="284">
        <f t="shared" si="10"/>
        <v>29040.76</v>
      </c>
      <c r="W123" s="111"/>
      <c r="X123" s="112">
        <v>25878.0</v>
      </c>
      <c r="Y123" s="109">
        <f t="shared" si="11"/>
        <v>4916.82</v>
      </c>
      <c r="Z123" s="109">
        <f t="shared" si="12"/>
        <v>30794.82</v>
      </c>
      <c r="AA123" s="285">
        <f t="shared" si="13"/>
        <v>30794.82</v>
      </c>
      <c r="AB123" s="286">
        <f t="shared" si="14"/>
        <v>12855.47</v>
      </c>
      <c r="AC123" s="286">
        <f t="shared" si="15"/>
        <v>25878</v>
      </c>
    </row>
    <row r="124" ht="15.75" customHeight="1">
      <c r="A124" s="101"/>
      <c r="B124" s="276">
        <v>112.0</v>
      </c>
      <c r="C124" s="277" t="s">
        <v>204</v>
      </c>
      <c r="D124" s="116" t="s">
        <v>203</v>
      </c>
      <c r="E124" s="278">
        <v>1.0</v>
      </c>
      <c r="F124" s="279"/>
      <c r="G124" s="279"/>
      <c r="H124" s="101"/>
      <c r="I124" s="280">
        <v>13658.94</v>
      </c>
      <c r="J124" s="103">
        <f t="shared" si="2"/>
        <v>2595.1986</v>
      </c>
      <c r="K124" s="103">
        <f t="shared" si="3"/>
        <v>16254.1386</v>
      </c>
      <c r="L124" s="287">
        <f t="shared" si="4"/>
        <v>16254.1386</v>
      </c>
      <c r="M124" s="106"/>
      <c r="N124" s="112">
        <v>37885.0</v>
      </c>
      <c r="O124" s="103">
        <f t="shared" si="5"/>
        <v>7198.15</v>
      </c>
      <c r="P124" s="107">
        <f t="shared" si="6"/>
        <v>45083.15</v>
      </c>
      <c r="Q124" s="281">
        <f t="shared" si="7"/>
        <v>45083.15</v>
      </c>
      <c r="R124" s="106"/>
      <c r="S124" s="112">
        <v>39022.0</v>
      </c>
      <c r="T124" s="109">
        <f t="shared" si="8"/>
        <v>7414.18</v>
      </c>
      <c r="U124" s="109">
        <f t="shared" si="9"/>
        <v>46436.18</v>
      </c>
      <c r="V124" s="284">
        <f t="shared" si="10"/>
        <v>46436.18</v>
      </c>
      <c r="W124" s="111"/>
      <c r="X124" s="112">
        <v>45372.0</v>
      </c>
      <c r="Y124" s="109">
        <f t="shared" si="11"/>
        <v>8620.68</v>
      </c>
      <c r="Z124" s="109">
        <f t="shared" si="12"/>
        <v>53992.68</v>
      </c>
      <c r="AA124" s="285">
        <f t="shared" si="13"/>
        <v>53992.68</v>
      </c>
      <c r="AB124" s="286">
        <f t="shared" si="14"/>
        <v>13658.94</v>
      </c>
      <c r="AC124" s="286">
        <f t="shared" si="15"/>
        <v>45372</v>
      </c>
    </row>
    <row r="125" ht="15.75" customHeight="1">
      <c r="A125" s="101"/>
      <c r="B125" s="276">
        <v>113.0</v>
      </c>
      <c r="C125" s="277" t="s">
        <v>205</v>
      </c>
      <c r="D125" s="116" t="s">
        <v>96</v>
      </c>
      <c r="E125" s="278">
        <v>1.0</v>
      </c>
      <c r="F125" s="279"/>
      <c r="G125" s="279"/>
      <c r="H125" s="101"/>
      <c r="I125" s="280">
        <v>37495.13</v>
      </c>
      <c r="J125" s="103">
        <f t="shared" si="2"/>
        <v>7124.0747</v>
      </c>
      <c r="K125" s="103">
        <f t="shared" si="3"/>
        <v>44619.2047</v>
      </c>
      <c r="L125" s="287">
        <f t="shared" si="4"/>
        <v>44619.2047</v>
      </c>
      <c r="M125" s="106"/>
      <c r="N125" s="112">
        <v>38364.0</v>
      </c>
      <c r="O125" s="103">
        <f t="shared" si="5"/>
        <v>7289.16</v>
      </c>
      <c r="P125" s="107">
        <f t="shared" si="6"/>
        <v>45653.16</v>
      </c>
      <c r="Q125" s="281">
        <f t="shared" si="7"/>
        <v>45653.16</v>
      </c>
      <c r="R125" s="106"/>
      <c r="S125" s="112">
        <v>39515.0</v>
      </c>
      <c r="T125" s="109">
        <f t="shared" si="8"/>
        <v>7507.85</v>
      </c>
      <c r="U125" s="109">
        <f t="shared" si="9"/>
        <v>47022.85</v>
      </c>
      <c r="V125" s="284">
        <f t="shared" si="10"/>
        <v>47022.85</v>
      </c>
      <c r="W125" s="111"/>
      <c r="X125" s="112">
        <v>41952.0</v>
      </c>
      <c r="Y125" s="109">
        <f t="shared" si="11"/>
        <v>7970.88</v>
      </c>
      <c r="Z125" s="109">
        <f t="shared" si="12"/>
        <v>49922.88</v>
      </c>
      <c r="AA125" s="285">
        <f t="shared" si="13"/>
        <v>49922.88</v>
      </c>
      <c r="AB125" s="286">
        <f t="shared" si="14"/>
        <v>37495.13</v>
      </c>
      <c r="AC125" s="286">
        <f t="shared" si="15"/>
        <v>41952</v>
      </c>
    </row>
    <row r="126" ht="15.75" customHeight="1">
      <c r="A126" s="101"/>
      <c r="B126" s="276">
        <v>114.0</v>
      </c>
      <c r="C126" s="277" t="s">
        <v>206</v>
      </c>
      <c r="D126" s="116" t="s">
        <v>83</v>
      </c>
      <c r="E126" s="278">
        <v>1.0</v>
      </c>
      <c r="F126" s="279"/>
      <c r="G126" s="279"/>
      <c r="H126" s="101"/>
      <c r="I126" s="280">
        <v>64921.34</v>
      </c>
      <c r="J126" s="103">
        <f t="shared" si="2"/>
        <v>12335.0546</v>
      </c>
      <c r="K126" s="103">
        <f t="shared" si="3"/>
        <v>77256.3946</v>
      </c>
      <c r="L126" s="289">
        <f t="shared" si="4"/>
        <v>77256.3946</v>
      </c>
      <c r="M126" s="106"/>
      <c r="N126" s="112">
        <v>61702.0</v>
      </c>
      <c r="O126" s="103">
        <f t="shared" si="5"/>
        <v>11723.38</v>
      </c>
      <c r="P126" s="107">
        <f t="shared" si="6"/>
        <v>73425.38</v>
      </c>
      <c r="Q126" s="283">
        <f t="shared" si="7"/>
        <v>73425.38</v>
      </c>
      <c r="R126" s="106"/>
      <c r="S126" s="112">
        <v>63553.0</v>
      </c>
      <c r="T126" s="109">
        <f t="shared" si="8"/>
        <v>12075.07</v>
      </c>
      <c r="U126" s="109">
        <f t="shared" si="9"/>
        <v>75628.07</v>
      </c>
      <c r="V126" s="281">
        <f t="shared" si="10"/>
        <v>75628.07</v>
      </c>
      <c r="W126" s="111"/>
      <c r="X126" s="112">
        <v>74556.0</v>
      </c>
      <c r="Y126" s="109">
        <f t="shared" si="11"/>
        <v>14165.64</v>
      </c>
      <c r="Z126" s="109">
        <f t="shared" si="12"/>
        <v>88721.64</v>
      </c>
      <c r="AA126" s="285">
        <f t="shared" si="13"/>
        <v>88721.64</v>
      </c>
      <c r="AB126" s="286">
        <f t="shared" si="14"/>
        <v>61702</v>
      </c>
      <c r="AC126" s="286">
        <f t="shared" si="15"/>
        <v>74556</v>
      </c>
    </row>
    <row r="127" ht="15.75" customHeight="1">
      <c r="A127" s="101"/>
      <c r="B127" s="276">
        <v>115.0</v>
      </c>
      <c r="C127" s="277" t="s">
        <v>207</v>
      </c>
      <c r="D127" s="116" t="s">
        <v>83</v>
      </c>
      <c r="E127" s="278">
        <v>1.0</v>
      </c>
      <c r="F127" s="279"/>
      <c r="G127" s="279"/>
      <c r="H127" s="101"/>
      <c r="I127" s="280">
        <v>64921.34</v>
      </c>
      <c r="J127" s="103">
        <f t="shared" si="2"/>
        <v>12335.0546</v>
      </c>
      <c r="K127" s="103">
        <f t="shared" si="3"/>
        <v>77256.3946</v>
      </c>
      <c r="L127" s="289">
        <f t="shared" si="4"/>
        <v>77256.3946</v>
      </c>
      <c r="M127" s="106"/>
      <c r="N127" s="112">
        <v>61702.0</v>
      </c>
      <c r="O127" s="103">
        <f t="shared" si="5"/>
        <v>11723.38</v>
      </c>
      <c r="P127" s="107">
        <f t="shared" si="6"/>
        <v>73425.38</v>
      </c>
      <c r="Q127" s="283">
        <f t="shared" si="7"/>
        <v>73425.38</v>
      </c>
      <c r="R127" s="106"/>
      <c r="S127" s="112">
        <v>63553.0</v>
      </c>
      <c r="T127" s="109">
        <f t="shared" si="8"/>
        <v>12075.07</v>
      </c>
      <c r="U127" s="109">
        <f t="shared" si="9"/>
        <v>75628.07</v>
      </c>
      <c r="V127" s="281">
        <f t="shared" si="10"/>
        <v>75628.07</v>
      </c>
      <c r="W127" s="111"/>
      <c r="X127" s="112">
        <v>74556.0</v>
      </c>
      <c r="Y127" s="109">
        <f t="shared" si="11"/>
        <v>14165.64</v>
      </c>
      <c r="Z127" s="109">
        <f t="shared" si="12"/>
        <v>88721.64</v>
      </c>
      <c r="AA127" s="285">
        <f t="shared" si="13"/>
        <v>88721.64</v>
      </c>
      <c r="AB127" s="286">
        <f t="shared" si="14"/>
        <v>61702</v>
      </c>
      <c r="AC127" s="286">
        <f t="shared" si="15"/>
        <v>74556</v>
      </c>
    </row>
    <row r="128" ht="15.75" customHeight="1">
      <c r="A128" s="101"/>
      <c r="B128" s="276">
        <v>116.0</v>
      </c>
      <c r="C128" s="277" t="s">
        <v>208</v>
      </c>
      <c r="D128" s="116" t="s">
        <v>83</v>
      </c>
      <c r="E128" s="278">
        <v>1.0</v>
      </c>
      <c r="F128" s="279"/>
      <c r="G128" s="279"/>
      <c r="H128" s="101"/>
      <c r="I128" s="280">
        <v>67948.76</v>
      </c>
      <c r="J128" s="103">
        <f t="shared" si="2"/>
        <v>12910.2644</v>
      </c>
      <c r="K128" s="103">
        <f t="shared" si="3"/>
        <v>80859.0244</v>
      </c>
      <c r="L128" s="289">
        <f t="shared" si="4"/>
        <v>80859.0244</v>
      </c>
      <c r="M128" s="106"/>
      <c r="N128" s="112">
        <v>64579.0</v>
      </c>
      <c r="O128" s="103">
        <f t="shared" si="5"/>
        <v>12270.01</v>
      </c>
      <c r="P128" s="107">
        <f t="shared" si="6"/>
        <v>76849.01</v>
      </c>
      <c r="Q128" s="283">
        <f t="shared" si="7"/>
        <v>76849.01</v>
      </c>
      <c r="R128" s="106"/>
      <c r="S128" s="112">
        <v>66516.0</v>
      </c>
      <c r="T128" s="109">
        <f t="shared" si="8"/>
        <v>12638.04</v>
      </c>
      <c r="U128" s="109">
        <f t="shared" si="9"/>
        <v>79154.04</v>
      </c>
      <c r="V128" s="281">
        <f t="shared" si="10"/>
        <v>79154.04</v>
      </c>
      <c r="W128" s="111"/>
      <c r="X128" s="112">
        <v>76836.0</v>
      </c>
      <c r="Y128" s="109">
        <f t="shared" si="11"/>
        <v>14598.84</v>
      </c>
      <c r="Z128" s="109">
        <f t="shared" si="12"/>
        <v>91434.84</v>
      </c>
      <c r="AA128" s="285">
        <f t="shared" si="13"/>
        <v>91434.84</v>
      </c>
      <c r="AB128" s="286">
        <f t="shared" si="14"/>
        <v>64579</v>
      </c>
      <c r="AC128" s="286">
        <f t="shared" si="15"/>
        <v>76836</v>
      </c>
    </row>
    <row r="129" ht="15.75" customHeight="1">
      <c r="A129" s="101"/>
      <c r="B129" s="276">
        <v>117.0</v>
      </c>
      <c r="C129" s="277" t="s">
        <v>209</v>
      </c>
      <c r="D129" s="116" t="s">
        <v>83</v>
      </c>
      <c r="E129" s="278">
        <v>1.0</v>
      </c>
      <c r="F129" s="279"/>
      <c r="G129" s="279"/>
      <c r="H129" s="101"/>
      <c r="I129" s="280">
        <v>77703.78</v>
      </c>
      <c r="J129" s="103">
        <f t="shared" si="2"/>
        <v>14763.7182</v>
      </c>
      <c r="K129" s="103">
        <f t="shared" si="3"/>
        <v>92467.4982</v>
      </c>
      <c r="L129" s="289">
        <f t="shared" si="4"/>
        <v>92467.4982</v>
      </c>
      <c r="M129" s="106"/>
      <c r="N129" s="112">
        <v>73851.0</v>
      </c>
      <c r="O129" s="103">
        <f t="shared" si="5"/>
        <v>14031.69</v>
      </c>
      <c r="P129" s="107">
        <f t="shared" si="6"/>
        <v>87882.69</v>
      </c>
      <c r="Q129" s="283">
        <f t="shared" si="7"/>
        <v>87882.69</v>
      </c>
      <c r="R129" s="106"/>
      <c r="S129" s="112">
        <v>76067.0</v>
      </c>
      <c r="T129" s="109">
        <f t="shared" si="8"/>
        <v>14452.73</v>
      </c>
      <c r="U129" s="109">
        <f t="shared" si="9"/>
        <v>90519.73</v>
      </c>
      <c r="V129" s="281">
        <f t="shared" si="10"/>
        <v>90519.73</v>
      </c>
      <c r="W129" s="111"/>
      <c r="X129" s="112">
        <v>82764.0</v>
      </c>
      <c r="Y129" s="109">
        <f t="shared" si="11"/>
        <v>15725.16</v>
      </c>
      <c r="Z129" s="109">
        <f t="shared" si="12"/>
        <v>98489.16</v>
      </c>
      <c r="AA129" s="285">
        <f t="shared" si="13"/>
        <v>98489.16</v>
      </c>
      <c r="AB129" s="286">
        <f t="shared" si="14"/>
        <v>73851</v>
      </c>
      <c r="AC129" s="286">
        <f t="shared" si="15"/>
        <v>82764</v>
      </c>
    </row>
    <row r="130" ht="15.75" customHeight="1">
      <c r="A130" s="101"/>
      <c r="B130" s="276">
        <v>118.0</v>
      </c>
      <c r="C130" s="277" t="s">
        <v>210</v>
      </c>
      <c r="D130" s="116" t="s">
        <v>83</v>
      </c>
      <c r="E130" s="278">
        <v>1.0</v>
      </c>
      <c r="F130" s="279"/>
      <c r="G130" s="279"/>
      <c r="H130" s="101"/>
      <c r="I130" s="280">
        <v>77703.78</v>
      </c>
      <c r="J130" s="103">
        <f t="shared" si="2"/>
        <v>14763.7182</v>
      </c>
      <c r="K130" s="103">
        <f t="shared" si="3"/>
        <v>92467.4982</v>
      </c>
      <c r="L130" s="289">
        <f t="shared" si="4"/>
        <v>92467.4982</v>
      </c>
      <c r="M130" s="106"/>
      <c r="N130" s="112">
        <v>73851.0</v>
      </c>
      <c r="O130" s="103">
        <f t="shared" si="5"/>
        <v>14031.69</v>
      </c>
      <c r="P130" s="107">
        <f t="shared" si="6"/>
        <v>87882.69</v>
      </c>
      <c r="Q130" s="283">
        <f t="shared" si="7"/>
        <v>87882.69</v>
      </c>
      <c r="R130" s="106"/>
      <c r="S130" s="112">
        <v>76067.0</v>
      </c>
      <c r="T130" s="109">
        <f t="shared" si="8"/>
        <v>14452.73</v>
      </c>
      <c r="U130" s="109">
        <f t="shared" si="9"/>
        <v>90519.73</v>
      </c>
      <c r="V130" s="281">
        <f t="shared" si="10"/>
        <v>90519.73</v>
      </c>
      <c r="W130" s="111"/>
      <c r="X130" s="112">
        <v>86184.0</v>
      </c>
      <c r="Y130" s="109">
        <f t="shared" si="11"/>
        <v>16374.96</v>
      </c>
      <c r="Z130" s="109">
        <f t="shared" si="12"/>
        <v>102558.96</v>
      </c>
      <c r="AA130" s="285">
        <f t="shared" si="13"/>
        <v>102558.96</v>
      </c>
      <c r="AB130" s="286">
        <f t="shared" si="14"/>
        <v>73851</v>
      </c>
      <c r="AC130" s="286">
        <f t="shared" si="15"/>
        <v>86184</v>
      </c>
    </row>
    <row r="131" ht="15.75" customHeight="1">
      <c r="A131" s="101"/>
      <c r="B131" s="276">
        <v>119.0</v>
      </c>
      <c r="C131" s="277" t="s">
        <v>211</v>
      </c>
      <c r="D131" s="116" t="s">
        <v>83</v>
      </c>
      <c r="E131" s="278">
        <v>1.0</v>
      </c>
      <c r="F131" s="279"/>
      <c r="G131" s="279"/>
      <c r="H131" s="101"/>
      <c r="I131" s="280">
        <v>80394.82</v>
      </c>
      <c r="J131" s="103">
        <f t="shared" si="2"/>
        <v>15275.0158</v>
      </c>
      <c r="K131" s="103">
        <f t="shared" si="3"/>
        <v>95669.8358</v>
      </c>
      <c r="L131" s="289">
        <f t="shared" si="4"/>
        <v>95669.8358</v>
      </c>
      <c r="M131" s="106"/>
      <c r="N131" s="112">
        <v>76408.0</v>
      </c>
      <c r="O131" s="103">
        <f t="shared" si="5"/>
        <v>14517.52</v>
      </c>
      <c r="P131" s="107">
        <f t="shared" si="6"/>
        <v>90925.52</v>
      </c>
      <c r="Q131" s="283">
        <f t="shared" si="7"/>
        <v>90925.52</v>
      </c>
      <c r="R131" s="106"/>
      <c r="S131" s="112">
        <v>78700.0</v>
      </c>
      <c r="T131" s="109">
        <f t="shared" si="8"/>
        <v>14953</v>
      </c>
      <c r="U131" s="109">
        <f t="shared" si="9"/>
        <v>93653</v>
      </c>
      <c r="V131" s="281">
        <f t="shared" si="10"/>
        <v>93653</v>
      </c>
      <c r="W131" s="111"/>
      <c r="X131" s="112">
        <v>86184.0</v>
      </c>
      <c r="Y131" s="109">
        <f t="shared" si="11"/>
        <v>16374.96</v>
      </c>
      <c r="Z131" s="109">
        <f t="shared" si="12"/>
        <v>102558.96</v>
      </c>
      <c r="AA131" s="285">
        <f t="shared" si="13"/>
        <v>102558.96</v>
      </c>
      <c r="AB131" s="286">
        <f t="shared" si="14"/>
        <v>76408</v>
      </c>
      <c r="AC131" s="286">
        <f t="shared" si="15"/>
        <v>86184</v>
      </c>
    </row>
    <row r="132" ht="15.75" customHeight="1">
      <c r="A132" s="101"/>
      <c r="B132" s="276">
        <v>120.0</v>
      </c>
      <c r="C132" s="277" t="s">
        <v>212</v>
      </c>
      <c r="D132" s="116" t="s">
        <v>83</v>
      </c>
      <c r="E132" s="278">
        <v>1.0</v>
      </c>
      <c r="F132" s="279"/>
      <c r="G132" s="279"/>
      <c r="H132" s="101"/>
      <c r="I132" s="280">
        <v>83422.24</v>
      </c>
      <c r="J132" s="103">
        <f t="shared" si="2"/>
        <v>15850.2256</v>
      </c>
      <c r="K132" s="103">
        <f t="shared" si="3"/>
        <v>99272.4656</v>
      </c>
      <c r="L132" s="289">
        <f t="shared" si="4"/>
        <v>99272.4656</v>
      </c>
      <c r="M132" s="106"/>
      <c r="N132" s="112">
        <v>79286.0</v>
      </c>
      <c r="O132" s="103">
        <f t="shared" si="5"/>
        <v>15064.34</v>
      </c>
      <c r="P132" s="107">
        <f t="shared" si="6"/>
        <v>94350.34</v>
      </c>
      <c r="Q132" s="283">
        <f t="shared" si="7"/>
        <v>94350.34</v>
      </c>
      <c r="R132" s="106"/>
      <c r="S132" s="112">
        <v>81665.0</v>
      </c>
      <c r="T132" s="109">
        <f t="shared" si="8"/>
        <v>15516.35</v>
      </c>
      <c r="U132" s="109">
        <f t="shared" si="9"/>
        <v>97181.35</v>
      </c>
      <c r="V132" s="281">
        <f t="shared" si="10"/>
        <v>97181.35</v>
      </c>
      <c r="W132" s="111"/>
      <c r="X132" s="112">
        <v>89604.0</v>
      </c>
      <c r="Y132" s="109">
        <f t="shared" si="11"/>
        <v>17024.76</v>
      </c>
      <c r="Z132" s="109">
        <f t="shared" si="12"/>
        <v>106628.76</v>
      </c>
      <c r="AA132" s="285">
        <f t="shared" si="13"/>
        <v>106628.76</v>
      </c>
      <c r="AB132" s="286">
        <f t="shared" si="14"/>
        <v>79286</v>
      </c>
      <c r="AC132" s="286">
        <f t="shared" si="15"/>
        <v>89604</v>
      </c>
    </row>
    <row r="133" ht="15.75" customHeight="1">
      <c r="A133" s="101"/>
      <c r="B133" s="276">
        <v>121.0</v>
      </c>
      <c r="C133" s="277" t="s">
        <v>213</v>
      </c>
      <c r="D133" s="116" t="s">
        <v>83</v>
      </c>
      <c r="E133" s="278">
        <v>1.0</v>
      </c>
      <c r="F133" s="279"/>
      <c r="G133" s="279"/>
      <c r="H133" s="101"/>
      <c r="I133" s="280">
        <v>46868.91</v>
      </c>
      <c r="J133" s="103">
        <f t="shared" si="2"/>
        <v>8905.0929</v>
      </c>
      <c r="K133" s="103">
        <f t="shared" si="3"/>
        <v>55774.0029</v>
      </c>
      <c r="L133" s="287">
        <f t="shared" si="4"/>
        <v>55774.0029</v>
      </c>
      <c r="M133" s="106"/>
      <c r="N133" s="112">
        <v>66427.0</v>
      </c>
      <c r="O133" s="103">
        <f t="shared" si="5"/>
        <v>12621.13</v>
      </c>
      <c r="P133" s="107">
        <f t="shared" si="6"/>
        <v>79048.13</v>
      </c>
      <c r="Q133" s="281">
        <f t="shared" si="7"/>
        <v>79048.13</v>
      </c>
      <c r="R133" s="106"/>
      <c r="S133" s="112">
        <v>68420.0</v>
      </c>
      <c r="T133" s="109">
        <f t="shared" si="8"/>
        <v>12999.8</v>
      </c>
      <c r="U133" s="109">
        <f t="shared" si="9"/>
        <v>81419.8</v>
      </c>
      <c r="V133" s="284">
        <f t="shared" si="10"/>
        <v>81419.8</v>
      </c>
      <c r="W133" s="111"/>
      <c r="X133" s="112">
        <v>86184.0</v>
      </c>
      <c r="Y133" s="109">
        <f t="shared" si="11"/>
        <v>16374.96</v>
      </c>
      <c r="Z133" s="109">
        <f t="shared" si="12"/>
        <v>102558.96</v>
      </c>
      <c r="AA133" s="285">
        <f t="shared" si="13"/>
        <v>102558.96</v>
      </c>
      <c r="AB133" s="286">
        <f t="shared" si="14"/>
        <v>46868.91</v>
      </c>
      <c r="AC133" s="286">
        <f t="shared" si="15"/>
        <v>86184</v>
      </c>
    </row>
    <row r="134" ht="15.75" customHeight="1">
      <c r="A134" s="101"/>
      <c r="B134" s="276">
        <v>122.0</v>
      </c>
      <c r="C134" s="277" t="s">
        <v>213</v>
      </c>
      <c r="D134" s="116" t="s">
        <v>79</v>
      </c>
      <c r="E134" s="278">
        <v>1.0</v>
      </c>
      <c r="F134" s="279"/>
      <c r="G134" s="279"/>
      <c r="H134" s="101"/>
      <c r="I134" s="280">
        <v>198188.55</v>
      </c>
      <c r="J134" s="103">
        <f t="shared" si="2"/>
        <v>37655.8245</v>
      </c>
      <c r="K134" s="103">
        <f t="shared" si="3"/>
        <v>235844.3745</v>
      </c>
      <c r="L134" s="287">
        <f t="shared" si="4"/>
        <v>235844.3745</v>
      </c>
      <c r="M134" s="106"/>
      <c r="N134" s="112">
        <v>295233.0</v>
      </c>
      <c r="O134" s="103">
        <f t="shared" si="5"/>
        <v>56094.27</v>
      </c>
      <c r="P134" s="107">
        <f t="shared" si="6"/>
        <v>351327.27</v>
      </c>
      <c r="Q134" s="281">
        <f t="shared" si="7"/>
        <v>351327.27</v>
      </c>
      <c r="R134" s="106"/>
      <c r="S134" s="112">
        <v>304090.0</v>
      </c>
      <c r="T134" s="109">
        <f t="shared" si="8"/>
        <v>57777.1</v>
      </c>
      <c r="U134" s="109">
        <f t="shared" si="9"/>
        <v>361867.1</v>
      </c>
      <c r="V134" s="284">
        <f t="shared" si="10"/>
        <v>361867.1</v>
      </c>
      <c r="W134" s="111"/>
      <c r="X134" s="112">
        <v>283518.0</v>
      </c>
      <c r="Y134" s="109">
        <f t="shared" si="11"/>
        <v>53868.42</v>
      </c>
      <c r="Z134" s="109">
        <f t="shared" si="12"/>
        <v>337386.42</v>
      </c>
      <c r="AA134" s="285">
        <f t="shared" si="13"/>
        <v>337386.42</v>
      </c>
      <c r="AB134" s="286">
        <f t="shared" si="14"/>
        <v>198188.55</v>
      </c>
      <c r="AC134" s="286">
        <f t="shared" si="15"/>
        <v>304090</v>
      </c>
    </row>
    <row r="135" ht="15.75" customHeight="1">
      <c r="A135" s="101"/>
      <c r="B135" s="276">
        <v>123.0</v>
      </c>
      <c r="C135" s="277" t="s">
        <v>214</v>
      </c>
      <c r="D135" s="116" t="s">
        <v>79</v>
      </c>
      <c r="E135" s="278">
        <v>1.0</v>
      </c>
      <c r="F135" s="279"/>
      <c r="G135" s="279"/>
      <c r="H135" s="101"/>
      <c r="I135" s="280">
        <v>57184.6</v>
      </c>
      <c r="J135" s="103">
        <f t="shared" si="2"/>
        <v>10865.074</v>
      </c>
      <c r="K135" s="103">
        <f t="shared" si="3"/>
        <v>68049.674</v>
      </c>
      <c r="L135" s="287">
        <f t="shared" si="4"/>
        <v>68049.674</v>
      </c>
      <c r="M135" s="106"/>
      <c r="N135" s="112">
        <v>67500.0</v>
      </c>
      <c r="O135" s="103">
        <f t="shared" si="5"/>
        <v>12825</v>
      </c>
      <c r="P135" s="107">
        <f t="shared" si="6"/>
        <v>80325</v>
      </c>
      <c r="Q135" s="281">
        <f t="shared" si="7"/>
        <v>80325</v>
      </c>
      <c r="R135" s="106"/>
      <c r="S135" s="112">
        <v>69525.0</v>
      </c>
      <c r="T135" s="109">
        <f t="shared" si="8"/>
        <v>13209.75</v>
      </c>
      <c r="U135" s="109">
        <f t="shared" si="9"/>
        <v>82734.75</v>
      </c>
      <c r="V135" s="284">
        <f t="shared" si="10"/>
        <v>82734.75</v>
      </c>
      <c r="W135" s="111"/>
      <c r="X135" s="112">
        <v>89946.0</v>
      </c>
      <c r="Y135" s="109">
        <f t="shared" si="11"/>
        <v>17089.74</v>
      </c>
      <c r="Z135" s="109">
        <f t="shared" si="12"/>
        <v>107035.74</v>
      </c>
      <c r="AA135" s="285">
        <f t="shared" si="13"/>
        <v>107035.74</v>
      </c>
      <c r="AB135" s="286">
        <f t="shared" si="14"/>
        <v>57184.6</v>
      </c>
      <c r="AC135" s="286">
        <f t="shared" si="15"/>
        <v>89946</v>
      </c>
    </row>
    <row r="136" ht="15.75" customHeight="1">
      <c r="A136" s="101"/>
      <c r="B136" s="276">
        <v>124.0</v>
      </c>
      <c r="C136" s="277" t="s">
        <v>215</v>
      </c>
      <c r="D136" s="116" t="s">
        <v>83</v>
      </c>
      <c r="E136" s="278">
        <v>1.0</v>
      </c>
      <c r="F136" s="279"/>
      <c r="G136" s="279"/>
      <c r="H136" s="101"/>
      <c r="I136" s="280">
        <v>40365.6</v>
      </c>
      <c r="J136" s="103">
        <f t="shared" si="2"/>
        <v>7669.464</v>
      </c>
      <c r="K136" s="103">
        <f t="shared" si="3"/>
        <v>48035.064</v>
      </c>
      <c r="L136" s="289">
        <f t="shared" si="4"/>
        <v>48035.064</v>
      </c>
      <c r="M136" s="106"/>
      <c r="N136" s="112">
        <v>38364.0</v>
      </c>
      <c r="O136" s="103">
        <f t="shared" si="5"/>
        <v>7289.16</v>
      </c>
      <c r="P136" s="107">
        <f t="shared" si="6"/>
        <v>45653.16</v>
      </c>
      <c r="Q136" s="283">
        <f t="shared" si="7"/>
        <v>45653.16</v>
      </c>
      <c r="R136" s="106"/>
      <c r="S136" s="112">
        <v>39515.0</v>
      </c>
      <c r="T136" s="109">
        <f t="shared" si="8"/>
        <v>7507.85</v>
      </c>
      <c r="U136" s="109">
        <f t="shared" si="9"/>
        <v>47022.85</v>
      </c>
      <c r="V136" s="281">
        <f t="shared" si="10"/>
        <v>47022.85</v>
      </c>
      <c r="W136" s="111"/>
      <c r="X136" s="112">
        <v>41952.0</v>
      </c>
      <c r="Y136" s="109">
        <f t="shared" si="11"/>
        <v>7970.88</v>
      </c>
      <c r="Z136" s="109">
        <f t="shared" si="12"/>
        <v>49922.88</v>
      </c>
      <c r="AA136" s="285">
        <f t="shared" si="13"/>
        <v>49922.88</v>
      </c>
      <c r="AB136" s="286">
        <f t="shared" si="14"/>
        <v>38364</v>
      </c>
      <c r="AC136" s="286">
        <f t="shared" si="15"/>
        <v>41952</v>
      </c>
    </row>
    <row r="137" ht="15.75" customHeight="1">
      <c r="A137" s="101"/>
      <c r="B137" s="276">
        <v>125.0</v>
      </c>
      <c r="C137" s="277" t="s">
        <v>216</v>
      </c>
      <c r="D137" s="116" t="s">
        <v>83</v>
      </c>
      <c r="E137" s="278">
        <v>1.0</v>
      </c>
      <c r="F137" s="279"/>
      <c r="G137" s="279"/>
      <c r="H137" s="101"/>
      <c r="I137" s="280">
        <v>43729.4</v>
      </c>
      <c r="J137" s="103">
        <f t="shared" si="2"/>
        <v>8308.586</v>
      </c>
      <c r="K137" s="103">
        <f t="shared" si="3"/>
        <v>52037.986</v>
      </c>
      <c r="L137" s="289">
        <f t="shared" si="4"/>
        <v>52037.986</v>
      </c>
      <c r="M137" s="106"/>
      <c r="N137" s="112">
        <v>41561.0</v>
      </c>
      <c r="O137" s="103">
        <f t="shared" si="5"/>
        <v>7896.59</v>
      </c>
      <c r="P137" s="107">
        <f t="shared" si="6"/>
        <v>49457.59</v>
      </c>
      <c r="Q137" s="283">
        <f t="shared" si="7"/>
        <v>49457.59</v>
      </c>
      <c r="R137" s="106"/>
      <c r="S137" s="112">
        <v>42808.0</v>
      </c>
      <c r="T137" s="109">
        <f t="shared" si="8"/>
        <v>8133.52</v>
      </c>
      <c r="U137" s="109">
        <f t="shared" si="9"/>
        <v>50941.52</v>
      </c>
      <c r="V137" s="281">
        <f t="shared" si="10"/>
        <v>50941.52</v>
      </c>
      <c r="W137" s="111"/>
      <c r="X137" s="112">
        <v>41952.0</v>
      </c>
      <c r="Y137" s="109">
        <f t="shared" si="11"/>
        <v>7970.88</v>
      </c>
      <c r="Z137" s="109">
        <f t="shared" si="12"/>
        <v>49922.88</v>
      </c>
      <c r="AA137" s="285">
        <f t="shared" si="13"/>
        <v>49922.88</v>
      </c>
      <c r="AB137" s="286">
        <f t="shared" si="14"/>
        <v>41561</v>
      </c>
      <c r="AC137" s="286">
        <f t="shared" si="15"/>
        <v>43729.4</v>
      </c>
    </row>
    <row r="138" ht="15.75" customHeight="1">
      <c r="A138" s="101"/>
      <c r="B138" s="276">
        <v>126.0</v>
      </c>
      <c r="C138" s="277" t="s">
        <v>217</v>
      </c>
      <c r="D138" s="116" t="s">
        <v>83</v>
      </c>
      <c r="E138" s="278">
        <v>1.0</v>
      </c>
      <c r="F138" s="279"/>
      <c r="G138" s="279"/>
      <c r="H138" s="101"/>
      <c r="I138" s="280">
        <v>50886.25</v>
      </c>
      <c r="J138" s="103">
        <f t="shared" si="2"/>
        <v>9668.3875</v>
      </c>
      <c r="K138" s="103">
        <f t="shared" si="3"/>
        <v>60554.6375</v>
      </c>
      <c r="L138" s="281">
        <f t="shared" si="4"/>
        <v>60554.6375</v>
      </c>
      <c r="M138" s="106"/>
      <c r="N138" s="112">
        <v>49554.0</v>
      </c>
      <c r="O138" s="103">
        <f t="shared" si="5"/>
        <v>9415.26</v>
      </c>
      <c r="P138" s="107">
        <f t="shared" si="6"/>
        <v>58969.26</v>
      </c>
      <c r="Q138" s="283">
        <f t="shared" si="7"/>
        <v>58969.26</v>
      </c>
      <c r="R138" s="106"/>
      <c r="S138" s="112">
        <v>51041.0</v>
      </c>
      <c r="T138" s="109">
        <f t="shared" si="8"/>
        <v>9697.79</v>
      </c>
      <c r="U138" s="109">
        <f t="shared" si="9"/>
        <v>60738.79</v>
      </c>
      <c r="V138" s="284">
        <f t="shared" si="10"/>
        <v>60738.79</v>
      </c>
      <c r="W138" s="111"/>
      <c r="X138" s="112">
        <v>53352.0</v>
      </c>
      <c r="Y138" s="109">
        <f t="shared" si="11"/>
        <v>10136.88</v>
      </c>
      <c r="Z138" s="109">
        <f t="shared" si="12"/>
        <v>63488.88</v>
      </c>
      <c r="AA138" s="285">
        <f t="shared" si="13"/>
        <v>63488.88</v>
      </c>
      <c r="AB138" s="286">
        <f t="shared" si="14"/>
        <v>49554</v>
      </c>
      <c r="AC138" s="286">
        <f t="shared" si="15"/>
        <v>53352</v>
      </c>
    </row>
    <row r="139" ht="15.75" customHeight="1">
      <c r="A139" s="101"/>
      <c r="B139" s="276">
        <v>127.0</v>
      </c>
      <c r="C139" s="277" t="s">
        <v>218</v>
      </c>
      <c r="D139" s="116" t="s">
        <v>83</v>
      </c>
      <c r="E139" s="278">
        <v>1.0</v>
      </c>
      <c r="F139" s="279"/>
      <c r="G139" s="279"/>
      <c r="H139" s="101"/>
      <c r="I139" s="280">
        <v>56242.7</v>
      </c>
      <c r="J139" s="103">
        <f t="shared" si="2"/>
        <v>10686.113</v>
      </c>
      <c r="K139" s="103">
        <f t="shared" si="3"/>
        <v>66928.813</v>
      </c>
      <c r="L139" s="281">
        <f t="shared" si="4"/>
        <v>66928.813</v>
      </c>
      <c r="M139" s="106"/>
      <c r="N139" s="112">
        <v>55948.0</v>
      </c>
      <c r="O139" s="103">
        <f t="shared" si="5"/>
        <v>10630.12</v>
      </c>
      <c r="P139" s="107">
        <f t="shared" si="6"/>
        <v>66578.12</v>
      </c>
      <c r="Q139" s="283">
        <f t="shared" si="7"/>
        <v>66578.12</v>
      </c>
      <c r="R139" s="106"/>
      <c r="S139" s="112">
        <v>57626.0</v>
      </c>
      <c r="T139" s="109">
        <f t="shared" si="8"/>
        <v>10948.94</v>
      </c>
      <c r="U139" s="109">
        <f t="shared" si="9"/>
        <v>68574.94</v>
      </c>
      <c r="V139" s="284">
        <f t="shared" si="10"/>
        <v>68574.94</v>
      </c>
      <c r="W139" s="111"/>
      <c r="X139" s="112">
        <v>60192.0</v>
      </c>
      <c r="Y139" s="109">
        <f t="shared" si="11"/>
        <v>11436.48</v>
      </c>
      <c r="Z139" s="109">
        <f t="shared" si="12"/>
        <v>71628.48</v>
      </c>
      <c r="AA139" s="285">
        <f t="shared" si="13"/>
        <v>71628.48</v>
      </c>
      <c r="AB139" s="286">
        <f t="shared" si="14"/>
        <v>55948</v>
      </c>
      <c r="AC139" s="286">
        <f t="shared" si="15"/>
        <v>60192</v>
      </c>
    </row>
    <row r="140" ht="15.75" customHeight="1">
      <c r="A140" s="101"/>
      <c r="B140" s="276">
        <v>128.0</v>
      </c>
      <c r="C140" s="277" t="s">
        <v>219</v>
      </c>
      <c r="D140" s="116" t="s">
        <v>83</v>
      </c>
      <c r="E140" s="278">
        <v>1.0</v>
      </c>
      <c r="F140" s="279"/>
      <c r="G140" s="279"/>
      <c r="H140" s="101"/>
      <c r="I140" s="280">
        <v>50886.25</v>
      </c>
      <c r="J140" s="103">
        <f t="shared" si="2"/>
        <v>9668.3875</v>
      </c>
      <c r="K140" s="103">
        <f t="shared" si="3"/>
        <v>60554.6375</v>
      </c>
      <c r="L140" s="287">
        <f t="shared" si="4"/>
        <v>60554.6375</v>
      </c>
      <c r="M140" s="106"/>
      <c r="N140" s="112">
        <v>61702.0</v>
      </c>
      <c r="O140" s="103">
        <f t="shared" si="5"/>
        <v>11723.38</v>
      </c>
      <c r="P140" s="107">
        <f t="shared" si="6"/>
        <v>73425.38</v>
      </c>
      <c r="Q140" s="281">
        <f t="shared" si="7"/>
        <v>73425.38</v>
      </c>
      <c r="R140" s="106"/>
      <c r="S140" s="112">
        <v>63553.0</v>
      </c>
      <c r="T140" s="109">
        <f t="shared" si="8"/>
        <v>12075.07</v>
      </c>
      <c r="U140" s="109">
        <f t="shared" si="9"/>
        <v>75628.07</v>
      </c>
      <c r="V140" s="284">
        <f t="shared" si="10"/>
        <v>75628.07</v>
      </c>
      <c r="W140" s="111"/>
      <c r="X140" s="112">
        <v>76152.0</v>
      </c>
      <c r="Y140" s="109">
        <f t="shared" si="11"/>
        <v>14468.88</v>
      </c>
      <c r="Z140" s="109">
        <f t="shared" si="12"/>
        <v>90620.88</v>
      </c>
      <c r="AA140" s="285">
        <f t="shared" si="13"/>
        <v>90620.88</v>
      </c>
      <c r="AB140" s="286">
        <f t="shared" si="14"/>
        <v>50886.25</v>
      </c>
      <c r="AC140" s="286">
        <f t="shared" si="15"/>
        <v>76152</v>
      </c>
    </row>
    <row r="141" ht="15.75" customHeight="1">
      <c r="A141" s="101"/>
      <c r="B141" s="276">
        <v>129.0</v>
      </c>
      <c r="C141" s="277" t="s">
        <v>220</v>
      </c>
      <c r="D141" s="116" t="s">
        <v>96</v>
      </c>
      <c r="E141" s="278">
        <v>1.0</v>
      </c>
      <c r="F141" s="279"/>
      <c r="G141" s="279"/>
      <c r="H141" s="101"/>
      <c r="I141" s="280">
        <v>45411.3</v>
      </c>
      <c r="J141" s="103">
        <f t="shared" si="2"/>
        <v>8628.147</v>
      </c>
      <c r="K141" s="103">
        <f t="shared" si="3"/>
        <v>54039.447</v>
      </c>
      <c r="L141" s="289">
        <f t="shared" si="4"/>
        <v>54039.447</v>
      </c>
      <c r="M141" s="106"/>
      <c r="N141" s="112">
        <v>43160.0</v>
      </c>
      <c r="O141" s="103">
        <f t="shared" si="5"/>
        <v>8200.4</v>
      </c>
      <c r="P141" s="107">
        <f t="shared" si="6"/>
        <v>51360.4</v>
      </c>
      <c r="Q141" s="283">
        <f t="shared" si="7"/>
        <v>51360.4</v>
      </c>
      <c r="R141" s="106"/>
      <c r="S141" s="112">
        <v>44455.0</v>
      </c>
      <c r="T141" s="109">
        <f t="shared" si="8"/>
        <v>8446.45</v>
      </c>
      <c r="U141" s="109">
        <f t="shared" si="9"/>
        <v>52901.45</v>
      </c>
      <c r="V141" s="281">
        <f t="shared" si="10"/>
        <v>52901.45</v>
      </c>
      <c r="W141" s="111"/>
      <c r="X141" s="112">
        <v>38532.0</v>
      </c>
      <c r="Y141" s="109">
        <f t="shared" si="11"/>
        <v>7321.08</v>
      </c>
      <c r="Z141" s="109">
        <f t="shared" si="12"/>
        <v>45853.08</v>
      </c>
      <c r="AA141" s="285">
        <f t="shared" si="13"/>
        <v>45853.08</v>
      </c>
      <c r="AB141" s="286">
        <f t="shared" si="14"/>
        <v>38532</v>
      </c>
      <c r="AC141" s="286">
        <f t="shared" si="15"/>
        <v>45411.3</v>
      </c>
    </row>
    <row r="142" ht="15.75" customHeight="1">
      <c r="A142" s="101"/>
      <c r="B142" s="276">
        <v>130.0</v>
      </c>
      <c r="C142" s="277" t="s">
        <v>221</v>
      </c>
      <c r="D142" s="116" t="s">
        <v>79</v>
      </c>
      <c r="E142" s="278">
        <v>1.0</v>
      </c>
      <c r="F142" s="279"/>
      <c r="G142" s="279"/>
      <c r="H142" s="101"/>
      <c r="I142" s="280">
        <v>180780.1</v>
      </c>
      <c r="J142" s="103">
        <f t="shared" si="2"/>
        <v>34348.219</v>
      </c>
      <c r="K142" s="103">
        <f t="shared" si="3"/>
        <v>215128.319</v>
      </c>
      <c r="L142" s="287">
        <f t="shared" si="4"/>
        <v>215128.319</v>
      </c>
      <c r="M142" s="106"/>
      <c r="N142" s="112">
        <v>198214.0</v>
      </c>
      <c r="O142" s="103">
        <f t="shared" si="5"/>
        <v>37660.66</v>
      </c>
      <c r="P142" s="107">
        <f t="shared" si="6"/>
        <v>235874.66</v>
      </c>
      <c r="Q142" s="281">
        <f t="shared" si="7"/>
        <v>235874.66</v>
      </c>
      <c r="R142" s="106"/>
      <c r="S142" s="112">
        <v>204160.0</v>
      </c>
      <c r="T142" s="109">
        <f t="shared" si="8"/>
        <v>38790.4</v>
      </c>
      <c r="U142" s="109">
        <f t="shared" si="9"/>
        <v>242950.4</v>
      </c>
      <c r="V142" s="284">
        <f t="shared" si="10"/>
        <v>242950.4</v>
      </c>
      <c r="W142" s="111"/>
      <c r="X142" s="112">
        <v>250800.0</v>
      </c>
      <c r="Y142" s="109">
        <f t="shared" si="11"/>
        <v>47652</v>
      </c>
      <c r="Z142" s="109">
        <f t="shared" si="12"/>
        <v>298452</v>
      </c>
      <c r="AA142" s="285">
        <f t="shared" si="13"/>
        <v>298452</v>
      </c>
      <c r="AB142" s="286">
        <f t="shared" si="14"/>
        <v>180780.1</v>
      </c>
      <c r="AC142" s="286">
        <f t="shared" si="15"/>
        <v>250800</v>
      </c>
    </row>
    <row r="143" ht="15.75" customHeight="1">
      <c r="A143" s="101"/>
      <c r="B143" s="276">
        <v>131.0</v>
      </c>
      <c r="C143" s="277" t="s">
        <v>222</v>
      </c>
      <c r="D143" s="116" t="s">
        <v>83</v>
      </c>
      <c r="E143" s="278">
        <v>1.0</v>
      </c>
      <c r="F143" s="279"/>
      <c r="G143" s="279"/>
      <c r="H143" s="101"/>
      <c r="I143" s="280">
        <v>14730.23</v>
      </c>
      <c r="J143" s="103">
        <f t="shared" si="2"/>
        <v>2798.7437</v>
      </c>
      <c r="K143" s="103">
        <f t="shared" si="3"/>
        <v>17528.9737</v>
      </c>
      <c r="L143" s="287">
        <f t="shared" si="4"/>
        <v>17528.9737</v>
      </c>
      <c r="M143" s="106"/>
      <c r="N143" s="112">
        <v>16382.0</v>
      </c>
      <c r="O143" s="103">
        <f t="shared" si="5"/>
        <v>3112.58</v>
      </c>
      <c r="P143" s="107">
        <f t="shared" si="6"/>
        <v>19494.58</v>
      </c>
      <c r="Q143" s="281">
        <f t="shared" si="7"/>
        <v>19494.58</v>
      </c>
      <c r="R143" s="106"/>
      <c r="S143" s="112">
        <v>16873.0</v>
      </c>
      <c r="T143" s="109">
        <f t="shared" si="8"/>
        <v>3205.87</v>
      </c>
      <c r="U143" s="109">
        <f t="shared" si="9"/>
        <v>20078.87</v>
      </c>
      <c r="V143" s="284">
        <f t="shared" si="10"/>
        <v>20078.87</v>
      </c>
      <c r="W143" s="111"/>
      <c r="X143" s="112">
        <v>21318.0</v>
      </c>
      <c r="Y143" s="109">
        <f t="shared" si="11"/>
        <v>4050.42</v>
      </c>
      <c r="Z143" s="109">
        <f t="shared" si="12"/>
        <v>25368.42</v>
      </c>
      <c r="AA143" s="285">
        <f t="shared" si="13"/>
        <v>25368.42</v>
      </c>
      <c r="AB143" s="286">
        <f t="shared" si="14"/>
        <v>14730.23</v>
      </c>
      <c r="AC143" s="286">
        <f t="shared" si="15"/>
        <v>21318</v>
      </c>
    </row>
    <row r="144" ht="15.75" customHeight="1">
      <c r="A144" s="101"/>
      <c r="B144" s="276">
        <v>132.0</v>
      </c>
      <c r="C144" s="277" t="s">
        <v>223</v>
      </c>
      <c r="D144" s="116" t="s">
        <v>96</v>
      </c>
      <c r="E144" s="278">
        <v>1.0</v>
      </c>
      <c r="F144" s="279"/>
      <c r="G144" s="279"/>
      <c r="H144" s="101"/>
      <c r="I144" s="280">
        <v>50457.0</v>
      </c>
      <c r="J144" s="103">
        <f t="shared" si="2"/>
        <v>9586.83</v>
      </c>
      <c r="K144" s="103">
        <f t="shared" si="3"/>
        <v>60043.83</v>
      </c>
      <c r="L144" s="289">
        <f t="shared" si="4"/>
        <v>60043.83</v>
      </c>
      <c r="M144" s="106"/>
      <c r="N144" s="112">
        <v>47955.0</v>
      </c>
      <c r="O144" s="103">
        <f t="shared" si="5"/>
        <v>9111.45</v>
      </c>
      <c r="P144" s="107">
        <f t="shared" si="6"/>
        <v>57066.45</v>
      </c>
      <c r="Q144" s="283">
        <f t="shared" si="7"/>
        <v>57066.45</v>
      </c>
      <c r="R144" s="106"/>
      <c r="S144" s="112">
        <v>49394.0</v>
      </c>
      <c r="T144" s="109">
        <f t="shared" si="8"/>
        <v>9384.86</v>
      </c>
      <c r="U144" s="109">
        <f t="shared" si="9"/>
        <v>58778.86</v>
      </c>
      <c r="V144" s="281">
        <f t="shared" si="10"/>
        <v>58778.86</v>
      </c>
      <c r="W144" s="111"/>
      <c r="X144" s="112">
        <v>55746.0</v>
      </c>
      <c r="Y144" s="109">
        <f t="shared" si="11"/>
        <v>10591.74</v>
      </c>
      <c r="Z144" s="109">
        <f t="shared" si="12"/>
        <v>66337.74</v>
      </c>
      <c r="AA144" s="285">
        <f t="shared" si="13"/>
        <v>66337.74</v>
      </c>
      <c r="AB144" s="286">
        <f t="shared" si="14"/>
        <v>47955</v>
      </c>
      <c r="AC144" s="286">
        <f t="shared" si="15"/>
        <v>55746</v>
      </c>
    </row>
    <row r="145" ht="15.75" customHeight="1">
      <c r="A145" s="101"/>
      <c r="B145" s="276">
        <v>133.0</v>
      </c>
      <c r="C145" s="277" t="s">
        <v>224</v>
      </c>
      <c r="D145" s="116" t="s">
        <v>96</v>
      </c>
      <c r="E145" s="278">
        <v>1.0</v>
      </c>
      <c r="F145" s="279"/>
      <c r="G145" s="279"/>
      <c r="H145" s="101"/>
      <c r="I145" s="280">
        <v>93737.83</v>
      </c>
      <c r="J145" s="103">
        <f t="shared" si="2"/>
        <v>17810.1877</v>
      </c>
      <c r="K145" s="103">
        <f t="shared" si="3"/>
        <v>111548.0177</v>
      </c>
      <c r="L145" s="287">
        <f t="shared" si="4"/>
        <v>111548.0177</v>
      </c>
      <c r="M145" s="106"/>
      <c r="N145" s="112">
        <v>95910.0</v>
      </c>
      <c r="O145" s="103">
        <f t="shared" si="5"/>
        <v>18222.9</v>
      </c>
      <c r="P145" s="107">
        <f t="shared" si="6"/>
        <v>114132.9</v>
      </c>
      <c r="Q145" s="281">
        <f t="shared" si="7"/>
        <v>114132.9</v>
      </c>
      <c r="R145" s="106"/>
      <c r="S145" s="112">
        <v>98787.0</v>
      </c>
      <c r="T145" s="109">
        <f t="shared" si="8"/>
        <v>18769.53</v>
      </c>
      <c r="U145" s="109">
        <f t="shared" si="9"/>
        <v>117556.53</v>
      </c>
      <c r="V145" s="284">
        <f t="shared" si="10"/>
        <v>117556.53</v>
      </c>
      <c r="W145" s="111"/>
      <c r="X145" s="112">
        <v>101346.0</v>
      </c>
      <c r="Y145" s="109">
        <f t="shared" si="11"/>
        <v>19255.74</v>
      </c>
      <c r="Z145" s="109">
        <f t="shared" si="12"/>
        <v>120601.74</v>
      </c>
      <c r="AA145" s="285">
        <f t="shared" si="13"/>
        <v>120601.74</v>
      </c>
      <c r="AB145" s="286">
        <f t="shared" si="14"/>
        <v>93737.83</v>
      </c>
      <c r="AC145" s="286">
        <f t="shared" si="15"/>
        <v>101346</v>
      </c>
    </row>
    <row r="146" ht="15.75" customHeight="1">
      <c r="A146" s="101"/>
      <c r="B146" s="276">
        <v>134.0</v>
      </c>
      <c r="C146" s="277" t="s">
        <v>225</v>
      </c>
      <c r="D146" s="116" t="s">
        <v>96</v>
      </c>
      <c r="E146" s="278">
        <v>1.0</v>
      </c>
      <c r="F146" s="279"/>
      <c r="G146" s="279"/>
      <c r="H146" s="101"/>
      <c r="I146" s="280">
        <v>53564.47</v>
      </c>
      <c r="J146" s="103">
        <f t="shared" si="2"/>
        <v>10177.2493</v>
      </c>
      <c r="K146" s="103">
        <f t="shared" si="3"/>
        <v>63741.7193</v>
      </c>
      <c r="L146" s="287">
        <f t="shared" si="4"/>
        <v>63741.7193</v>
      </c>
      <c r="M146" s="106"/>
      <c r="N146" s="112">
        <v>54669.0</v>
      </c>
      <c r="O146" s="103">
        <f t="shared" si="5"/>
        <v>10387.11</v>
      </c>
      <c r="P146" s="107">
        <f t="shared" si="6"/>
        <v>65056.11</v>
      </c>
      <c r="Q146" s="281">
        <f t="shared" si="7"/>
        <v>65056.11</v>
      </c>
      <c r="R146" s="106"/>
      <c r="S146" s="112">
        <v>56309.0</v>
      </c>
      <c r="T146" s="109">
        <f t="shared" si="8"/>
        <v>10698.71</v>
      </c>
      <c r="U146" s="109">
        <f t="shared" si="9"/>
        <v>67007.71</v>
      </c>
      <c r="V146" s="284">
        <f t="shared" si="10"/>
        <v>67007.71</v>
      </c>
      <c r="W146" s="111"/>
      <c r="X146" s="112">
        <v>58824.0</v>
      </c>
      <c r="Y146" s="109">
        <f t="shared" si="11"/>
        <v>11176.56</v>
      </c>
      <c r="Z146" s="109">
        <f t="shared" si="12"/>
        <v>70000.56</v>
      </c>
      <c r="AA146" s="285">
        <f t="shared" si="13"/>
        <v>70000.56</v>
      </c>
      <c r="AB146" s="286">
        <f t="shared" si="14"/>
        <v>53564.47</v>
      </c>
      <c r="AC146" s="286">
        <f t="shared" si="15"/>
        <v>58824</v>
      </c>
    </row>
    <row r="147" ht="15.75" customHeight="1">
      <c r="A147" s="101"/>
      <c r="B147" s="276">
        <v>135.0</v>
      </c>
      <c r="C147" s="277" t="s">
        <v>226</v>
      </c>
      <c r="D147" s="116" t="s">
        <v>96</v>
      </c>
      <c r="E147" s="278">
        <v>1.0</v>
      </c>
      <c r="F147" s="279"/>
      <c r="G147" s="279"/>
      <c r="H147" s="101"/>
      <c r="I147" s="280">
        <v>57520.98</v>
      </c>
      <c r="J147" s="103">
        <f t="shared" si="2"/>
        <v>10928.9862</v>
      </c>
      <c r="K147" s="103">
        <f t="shared" si="3"/>
        <v>68449.9662</v>
      </c>
      <c r="L147" s="289">
        <f t="shared" si="4"/>
        <v>68449.9662</v>
      </c>
      <c r="M147" s="106"/>
      <c r="N147" s="112">
        <v>54669.0</v>
      </c>
      <c r="O147" s="103">
        <f t="shared" si="5"/>
        <v>10387.11</v>
      </c>
      <c r="P147" s="107">
        <f t="shared" si="6"/>
        <v>65056.11</v>
      </c>
      <c r="Q147" s="283">
        <f t="shared" si="7"/>
        <v>65056.11</v>
      </c>
      <c r="R147" s="106"/>
      <c r="S147" s="112">
        <v>56309.0</v>
      </c>
      <c r="T147" s="109">
        <f t="shared" si="8"/>
        <v>10698.71</v>
      </c>
      <c r="U147" s="109">
        <f t="shared" si="9"/>
        <v>67007.71</v>
      </c>
      <c r="V147" s="281">
        <f t="shared" si="10"/>
        <v>67007.71</v>
      </c>
      <c r="W147" s="111"/>
      <c r="X147" s="112">
        <v>58824.0</v>
      </c>
      <c r="Y147" s="109">
        <f t="shared" si="11"/>
        <v>11176.56</v>
      </c>
      <c r="Z147" s="109">
        <f t="shared" si="12"/>
        <v>70000.56</v>
      </c>
      <c r="AA147" s="285">
        <f t="shared" si="13"/>
        <v>70000.56</v>
      </c>
      <c r="AB147" s="286">
        <f t="shared" si="14"/>
        <v>54669</v>
      </c>
      <c r="AC147" s="286">
        <f t="shared" si="15"/>
        <v>58824</v>
      </c>
    </row>
    <row r="148" ht="15.75" customHeight="1">
      <c r="A148" s="101"/>
      <c r="B148" s="276">
        <v>136.0</v>
      </c>
      <c r="C148" s="277" t="s">
        <v>227</v>
      </c>
      <c r="D148" s="116" t="s">
        <v>96</v>
      </c>
      <c r="E148" s="278">
        <v>1.0</v>
      </c>
      <c r="F148" s="279"/>
      <c r="G148" s="279"/>
      <c r="H148" s="101"/>
      <c r="I148" s="280">
        <v>63575.82</v>
      </c>
      <c r="J148" s="103">
        <f t="shared" si="2"/>
        <v>12079.4058</v>
      </c>
      <c r="K148" s="103">
        <f t="shared" si="3"/>
        <v>75655.2258</v>
      </c>
      <c r="L148" s="281">
        <f t="shared" si="4"/>
        <v>75655.2258</v>
      </c>
      <c r="M148" s="106"/>
      <c r="N148" s="112">
        <v>67586.0</v>
      </c>
      <c r="O148" s="103">
        <f t="shared" si="5"/>
        <v>12841.34</v>
      </c>
      <c r="P148" s="107">
        <f t="shared" si="6"/>
        <v>80427.34</v>
      </c>
      <c r="Q148" s="281">
        <f t="shared" si="7"/>
        <v>80427.34</v>
      </c>
      <c r="R148" s="106"/>
      <c r="S148" s="112">
        <v>69614.0</v>
      </c>
      <c r="T148" s="109">
        <f t="shared" si="8"/>
        <v>13226.66</v>
      </c>
      <c r="U148" s="109">
        <f t="shared" si="9"/>
        <v>82840.66</v>
      </c>
      <c r="V148" s="284">
        <f t="shared" si="10"/>
        <v>82840.66</v>
      </c>
      <c r="W148" s="111"/>
      <c r="X148" s="112">
        <v>72504.0</v>
      </c>
      <c r="Y148" s="109">
        <f t="shared" si="11"/>
        <v>13775.76</v>
      </c>
      <c r="Z148" s="109">
        <f t="shared" si="12"/>
        <v>86279.76</v>
      </c>
      <c r="AA148" s="285">
        <f t="shared" si="13"/>
        <v>86279.76</v>
      </c>
      <c r="AB148" s="286">
        <f t="shared" si="14"/>
        <v>63575.82</v>
      </c>
      <c r="AC148" s="286">
        <f t="shared" si="15"/>
        <v>72504</v>
      </c>
    </row>
    <row r="149" ht="15.75" customHeight="1">
      <c r="A149" s="101"/>
      <c r="B149" s="276">
        <v>137.0</v>
      </c>
      <c r="C149" s="277" t="s">
        <v>228</v>
      </c>
      <c r="D149" s="116" t="s">
        <v>96</v>
      </c>
      <c r="E149" s="278">
        <v>1.0</v>
      </c>
      <c r="F149" s="279"/>
      <c r="G149" s="279"/>
      <c r="H149" s="101"/>
      <c r="I149" s="280">
        <v>63575.82</v>
      </c>
      <c r="J149" s="103">
        <f t="shared" si="2"/>
        <v>12079.4058</v>
      </c>
      <c r="K149" s="103">
        <f t="shared" si="3"/>
        <v>75655.2258</v>
      </c>
      <c r="L149" s="281">
        <f t="shared" si="4"/>
        <v>75655.2258</v>
      </c>
      <c r="M149" s="106"/>
      <c r="N149" s="112">
        <v>85423.0</v>
      </c>
      <c r="O149" s="103">
        <f t="shared" si="5"/>
        <v>16230.37</v>
      </c>
      <c r="P149" s="107">
        <f t="shared" si="6"/>
        <v>101653.37</v>
      </c>
      <c r="Q149" s="281">
        <f t="shared" si="7"/>
        <v>101653.37</v>
      </c>
      <c r="R149" s="106"/>
      <c r="S149" s="112">
        <v>87986.0</v>
      </c>
      <c r="T149" s="109">
        <f t="shared" si="8"/>
        <v>16717.34</v>
      </c>
      <c r="U149" s="109">
        <f t="shared" si="9"/>
        <v>104703.34</v>
      </c>
      <c r="V149" s="284">
        <f t="shared" si="10"/>
        <v>104703.34</v>
      </c>
      <c r="W149" s="111"/>
      <c r="X149" s="112">
        <v>99522.0</v>
      </c>
      <c r="Y149" s="109">
        <f t="shared" si="11"/>
        <v>18909.18</v>
      </c>
      <c r="Z149" s="109">
        <f t="shared" si="12"/>
        <v>118431.18</v>
      </c>
      <c r="AA149" s="285">
        <f t="shared" si="13"/>
        <v>118431.18</v>
      </c>
      <c r="AB149" s="286">
        <f t="shared" si="14"/>
        <v>63575.82</v>
      </c>
      <c r="AC149" s="286">
        <f t="shared" si="15"/>
        <v>99522</v>
      </c>
    </row>
    <row r="150" ht="15.75" customHeight="1">
      <c r="A150" s="101"/>
      <c r="B150" s="276">
        <v>138.0</v>
      </c>
      <c r="C150" s="277" t="s">
        <v>229</v>
      </c>
      <c r="D150" s="116" t="s">
        <v>96</v>
      </c>
      <c r="E150" s="278">
        <v>1.0</v>
      </c>
      <c r="F150" s="279"/>
      <c r="G150" s="279"/>
      <c r="H150" s="101"/>
      <c r="I150" s="280">
        <v>42047.5</v>
      </c>
      <c r="J150" s="103">
        <f t="shared" si="2"/>
        <v>7989.025</v>
      </c>
      <c r="K150" s="103">
        <f t="shared" si="3"/>
        <v>50036.525</v>
      </c>
      <c r="L150" s="289">
        <f t="shared" si="4"/>
        <v>50036.525</v>
      </c>
      <c r="M150" s="106"/>
      <c r="N150" s="112">
        <v>39963.0</v>
      </c>
      <c r="O150" s="103">
        <f t="shared" si="5"/>
        <v>7592.97</v>
      </c>
      <c r="P150" s="107">
        <f t="shared" si="6"/>
        <v>47555.97</v>
      </c>
      <c r="Q150" s="283">
        <f t="shared" si="7"/>
        <v>47555.97</v>
      </c>
      <c r="R150" s="106"/>
      <c r="S150" s="112">
        <v>41162.0</v>
      </c>
      <c r="T150" s="109">
        <f t="shared" si="8"/>
        <v>7820.78</v>
      </c>
      <c r="U150" s="109">
        <f t="shared" si="9"/>
        <v>48982.78</v>
      </c>
      <c r="V150" s="281">
        <f t="shared" si="10"/>
        <v>48982.78</v>
      </c>
      <c r="W150" s="111"/>
      <c r="X150" s="112">
        <v>37164.0</v>
      </c>
      <c r="Y150" s="109">
        <f t="shared" si="11"/>
        <v>7061.16</v>
      </c>
      <c r="Z150" s="109">
        <f t="shared" si="12"/>
        <v>44225.16</v>
      </c>
      <c r="AA150" s="285">
        <f t="shared" si="13"/>
        <v>44225.16</v>
      </c>
      <c r="AB150" s="286">
        <f t="shared" si="14"/>
        <v>37164</v>
      </c>
      <c r="AC150" s="286">
        <f t="shared" si="15"/>
        <v>42047.5</v>
      </c>
    </row>
    <row r="151" ht="15.75" customHeight="1">
      <c r="A151" s="101"/>
      <c r="B151" s="276">
        <v>139.0</v>
      </c>
      <c r="C151" s="277" t="s">
        <v>230</v>
      </c>
      <c r="D151" s="116" t="s">
        <v>96</v>
      </c>
      <c r="E151" s="278">
        <v>1.0</v>
      </c>
      <c r="F151" s="279"/>
      <c r="G151" s="279"/>
      <c r="H151" s="101"/>
      <c r="I151" s="280">
        <v>42047.5</v>
      </c>
      <c r="J151" s="103">
        <f t="shared" si="2"/>
        <v>7989.025</v>
      </c>
      <c r="K151" s="103">
        <f t="shared" si="3"/>
        <v>50036.525</v>
      </c>
      <c r="L151" s="289">
        <f t="shared" si="4"/>
        <v>50036.525</v>
      </c>
      <c r="M151" s="106"/>
      <c r="N151" s="112">
        <v>39963.0</v>
      </c>
      <c r="O151" s="103">
        <f t="shared" si="5"/>
        <v>7592.97</v>
      </c>
      <c r="P151" s="107">
        <f t="shared" si="6"/>
        <v>47555.97</v>
      </c>
      <c r="Q151" s="283">
        <f t="shared" si="7"/>
        <v>47555.97</v>
      </c>
      <c r="R151" s="106"/>
      <c r="S151" s="112">
        <v>41162.0</v>
      </c>
      <c r="T151" s="109">
        <f t="shared" si="8"/>
        <v>7820.78</v>
      </c>
      <c r="U151" s="109">
        <f t="shared" si="9"/>
        <v>48982.78</v>
      </c>
      <c r="V151" s="281">
        <f t="shared" si="10"/>
        <v>48982.78</v>
      </c>
      <c r="W151" s="111"/>
      <c r="X151" s="112">
        <v>37164.0</v>
      </c>
      <c r="Y151" s="109">
        <f t="shared" si="11"/>
        <v>7061.16</v>
      </c>
      <c r="Z151" s="109">
        <f t="shared" si="12"/>
        <v>44225.16</v>
      </c>
      <c r="AA151" s="285">
        <f t="shared" si="13"/>
        <v>44225.16</v>
      </c>
      <c r="AB151" s="286">
        <f t="shared" si="14"/>
        <v>37164</v>
      </c>
      <c r="AC151" s="286">
        <f t="shared" si="15"/>
        <v>42047.5</v>
      </c>
    </row>
    <row r="152" ht="15.75" customHeight="1">
      <c r="A152" s="101"/>
      <c r="B152" s="276">
        <v>140.0</v>
      </c>
      <c r="C152" s="277" t="s">
        <v>231</v>
      </c>
      <c r="D152" s="116" t="s">
        <v>96</v>
      </c>
      <c r="E152" s="278">
        <v>1.0</v>
      </c>
      <c r="F152" s="279"/>
      <c r="G152" s="279"/>
      <c r="H152" s="101"/>
      <c r="I152" s="280">
        <v>47765.96</v>
      </c>
      <c r="J152" s="103">
        <f t="shared" si="2"/>
        <v>9075.5324</v>
      </c>
      <c r="K152" s="103">
        <f t="shared" si="3"/>
        <v>56841.4924</v>
      </c>
      <c r="L152" s="289">
        <f t="shared" si="4"/>
        <v>56841.4924</v>
      </c>
      <c r="M152" s="106"/>
      <c r="N152" s="112">
        <v>45397.0</v>
      </c>
      <c r="O152" s="103">
        <f t="shared" si="5"/>
        <v>8625.43</v>
      </c>
      <c r="P152" s="107">
        <f t="shared" si="6"/>
        <v>54022.43</v>
      </c>
      <c r="Q152" s="283">
        <f t="shared" si="7"/>
        <v>54022.43</v>
      </c>
      <c r="R152" s="106"/>
      <c r="S152" s="112">
        <v>46759.0</v>
      </c>
      <c r="T152" s="109">
        <f t="shared" si="8"/>
        <v>8884.21</v>
      </c>
      <c r="U152" s="109">
        <f t="shared" si="9"/>
        <v>55643.21</v>
      </c>
      <c r="V152" s="281">
        <f t="shared" si="10"/>
        <v>55643.21</v>
      </c>
      <c r="W152" s="111"/>
      <c r="X152" s="112">
        <v>47652.0</v>
      </c>
      <c r="Y152" s="109">
        <f t="shared" si="11"/>
        <v>9053.88</v>
      </c>
      <c r="Z152" s="109">
        <f t="shared" si="12"/>
        <v>56705.88</v>
      </c>
      <c r="AA152" s="285">
        <f t="shared" si="13"/>
        <v>56705.88</v>
      </c>
      <c r="AB152" s="286">
        <f t="shared" si="14"/>
        <v>45397</v>
      </c>
      <c r="AC152" s="286">
        <f t="shared" si="15"/>
        <v>47765.96</v>
      </c>
    </row>
    <row r="153" ht="15.75" customHeight="1">
      <c r="A153" s="101"/>
      <c r="B153" s="276">
        <v>141.0</v>
      </c>
      <c r="C153" s="277" t="s">
        <v>232</v>
      </c>
      <c r="D153" s="116" t="s">
        <v>96</v>
      </c>
      <c r="E153" s="278">
        <v>1.0</v>
      </c>
      <c r="F153" s="279"/>
      <c r="G153" s="279"/>
      <c r="H153" s="101"/>
      <c r="I153" s="280">
        <v>47765.96</v>
      </c>
      <c r="J153" s="103">
        <f t="shared" si="2"/>
        <v>9075.5324</v>
      </c>
      <c r="K153" s="103">
        <f t="shared" si="3"/>
        <v>56841.4924</v>
      </c>
      <c r="L153" s="287">
        <f t="shared" si="4"/>
        <v>56841.4924</v>
      </c>
      <c r="M153" s="106"/>
      <c r="N153" s="112">
        <v>49741.0</v>
      </c>
      <c r="O153" s="103">
        <f t="shared" si="5"/>
        <v>9450.79</v>
      </c>
      <c r="P153" s="107">
        <f t="shared" si="6"/>
        <v>59191.79</v>
      </c>
      <c r="Q153" s="281">
        <f t="shared" si="7"/>
        <v>59191.79</v>
      </c>
      <c r="R153" s="106"/>
      <c r="S153" s="112">
        <v>51233.0</v>
      </c>
      <c r="T153" s="109">
        <f t="shared" si="8"/>
        <v>9734.27</v>
      </c>
      <c r="U153" s="109">
        <f t="shared" si="9"/>
        <v>60967.27</v>
      </c>
      <c r="V153" s="284">
        <f t="shared" si="10"/>
        <v>60967.27</v>
      </c>
      <c r="W153" s="111"/>
      <c r="X153" s="112">
        <v>50958.0</v>
      </c>
      <c r="Y153" s="109">
        <f t="shared" si="11"/>
        <v>9682.02</v>
      </c>
      <c r="Z153" s="109">
        <f t="shared" si="12"/>
        <v>60640.02</v>
      </c>
      <c r="AA153" s="285">
        <f t="shared" si="13"/>
        <v>60640.02</v>
      </c>
      <c r="AB153" s="286">
        <f t="shared" si="14"/>
        <v>47765.96</v>
      </c>
      <c r="AC153" s="286">
        <f t="shared" si="15"/>
        <v>51233</v>
      </c>
    </row>
    <row r="154" ht="15.75" customHeight="1">
      <c r="A154" s="101"/>
      <c r="B154" s="276">
        <v>142.0</v>
      </c>
      <c r="C154" s="277" t="s">
        <v>233</v>
      </c>
      <c r="D154" s="116" t="s">
        <v>79</v>
      </c>
      <c r="E154" s="278">
        <v>1.0</v>
      </c>
      <c r="F154" s="279"/>
      <c r="G154" s="279"/>
      <c r="H154" s="101"/>
      <c r="I154" s="280">
        <v>251612.24</v>
      </c>
      <c r="J154" s="103">
        <f t="shared" si="2"/>
        <v>47806.3256</v>
      </c>
      <c r="K154" s="103">
        <f t="shared" si="3"/>
        <v>299418.5656</v>
      </c>
      <c r="L154" s="289">
        <f t="shared" si="4"/>
        <v>299418.5656</v>
      </c>
      <c r="M154" s="106"/>
      <c r="N154" s="112">
        <v>239136.0</v>
      </c>
      <c r="O154" s="103">
        <f t="shared" si="5"/>
        <v>45435.84</v>
      </c>
      <c r="P154" s="107">
        <f t="shared" si="6"/>
        <v>284571.84</v>
      </c>
      <c r="Q154" s="283">
        <f t="shared" si="7"/>
        <v>284571.84</v>
      </c>
      <c r="R154" s="106"/>
      <c r="S154" s="112">
        <v>246310.0</v>
      </c>
      <c r="T154" s="109">
        <f t="shared" si="8"/>
        <v>46798.9</v>
      </c>
      <c r="U154" s="109">
        <f t="shared" si="9"/>
        <v>293108.9</v>
      </c>
      <c r="V154" s="281">
        <f t="shared" si="10"/>
        <v>293108.9</v>
      </c>
      <c r="W154" s="111"/>
      <c r="X154" s="112">
        <v>353400.0</v>
      </c>
      <c r="Y154" s="109">
        <f t="shared" si="11"/>
        <v>67146</v>
      </c>
      <c r="Z154" s="109">
        <f t="shared" si="12"/>
        <v>420546</v>
      </c>
      <c r="AA154" s="285">
        <f t="shared" si="13"/>
        <v>420546</v>
      </c>
      <c r="AB154" s="286">
        <f t="shared" si="14"/>
        <v>239136</v>
      </c>
      <c r="AC154" s="286">
        <f t="shared" si="15"/>
        <v>353400</v>
      </c>
    </row>
    <row r="155" ht="15.75" customHeight="1">
      <c r="A155" s="101"/>
      <c r="B155" s="276">
        <v>143.0</v>
      </c>
      <c r="C155" s="277" t="s">
        <v>234</v>
      </c>
      <c r="D155" s="116" t="s">
        <v>79</v>
      </c>
      <c r="E155" s="278">
        <v>1.0</v>
      </c>
      <c r="F155" s="279"/>
      <c r="G155" s="279"/>
      <c r="H155" s="101"/>
      <c r="I155" s="280">
        <v>194171.22</v>
      </c>
      <c r="J155" s="103">
        <f t="shared" si="2"/>
        <v>36892.5318</v>
      </c>
      <c r="K155" s="103">
        <f t="shared" si="3"/>
        <v>231063.7518</v>
      </c>
      <c r="L155" s="287">
        <f t="shared" si="4"/>
        <v>231063.7518</v>
      </c>
      <c r="M155" s="106"/>
      <c r="N155" s="112">
        <v>311708.0</v>
      </c>
      <c r="O155" s="103">
        <f t="shared" si="5"/>
        <v>59224.52</v>
      </c>
      <c r="P155" s="107">
        <f t="shared" si="6"/>
        <v>370932.52</v>
      </c>
      <c r="Q155" s="281">
        <f t="shared" si="7"/>
        <v>370932.52</v>
      </c>
      <c r="R155" s="106"/>
      <c r="S155" s="112">
        <v>321059.0</v>
      </c>
      <c r="T155" s="109">
        <f t="shared" si="8"/>
        <v>61001.21</v>
      </c>
      <c r="U155" s="109">
        <f t="shared" si="9"/>
        <v>382060.21</v>
      </c>
      <c r="V155" s="284">
        <f t="shared" si="10"/>
        <v>382060.21</v>
      </c>
      <c r="W155" s="111"/>
      <c r="X155" s="112">
        <v>410400.0</v>
      </c>
      <c r="Y155" s="109">
        <f t="shared" si="11"/>
        <v>77976</v>
      </c>
      <c r="Z155" s="109">
        <f t="shared" si="12"/>
        <v>488376</v>
      </c>
      <c r="AA155" s="285">
        <f t="shared" si="13"/>
        <v>488376</v>
      </c>
      <c r="AB155" s="286">
        <f t="shared" si="14"/>
        <v>194171.22</v>
      </c>
      <c r="AC155" s="286">
        <f t="shared" si="15"/>
        <v>410400</v>
      </c>
    </row>
    <row r="156" ht="15.75" customHeight="1">
      <c r="A156" s="101"/>
      <c r="B156" s="276">
        <v>144.0</v>
      </c>
      <c r="C156" s="277" t="s">
        <v>235</v>
      </c>
      <c r="D156" s="116" t="s">
        <v>79</v>
      </c>
      <c r="E156" s="278">
        <v>1.0</v>
      </c>
      <c r="F156" s="279"/>
      <c r="G156" s="279"/>
      <c r="H156" s="101"/>
      <c r="I156" s="280">
        <v>61599.14</v>
      </c>
      <c r="J156" s="103">
        <f t="shared" si="2"/>
        <v>11703.8366</v>
      </c>
      <c r="K156" s="103">
        <f t="shared" si="3"/>
        <v>73302.9766</v>
      </c>
      <c r="L156" s="287">
        <f t="shared" si="4"/>
        <v>73302.9766</v>
      </c>
      <c r="M156" s="106"/>
      <c r="N156" s="112">
        <v>79539.0</v>
      </c>
      <c r="O156" s="103">
        <f t="shared" si="5"/>
        <v>15112.41</v>
      </c>
      <c r="P156" s="107">
        <f t="shared" si="6"/>
        <v>94651.41</v>
      </c>
      <c r="Q156" s="281">
        <f t="shared" si="7"/>
        <v>94651.41</v>
      </c>
      <c r="R156" s="106"/>
      <c r="S156" s="112">
        <v>81925.0</v>
      </c>
      <c r="T156" s="109">
        <f t="shared" si="8"/>
        <v>15565.75</v>
      </c>
      <c r="U156" s="109">
        <f t="shared" si="9"/>
        <v>97490.75</v>
      </c>
      <c r="V156" s="284">
        <f t="shared" si="10"/>
        <v>97490.75</v>
      </c>
      <c r="W156" s="111"/>
      <c r="X156" s="112">
        <v>125400.0</v>
      </c>
      <c r="Y156" s="109">
        <f t="shared" si="11"/>
        <v>23826</v>
      </c>
      <c r="Z156" s="109">
        <f t="shared" si="12"/>
        <v>149226</v>
      </c>
      <c r="AA156" s="285">
        <f t="shared" si="13"/>
        <v>149226</v>
      </c>
      <c r="AB156" s="286">
        <f t="shared" si="14"/>
        <v>61599.14</v>
      </c>
      <c r="AC156" s="286">
        <f t="shared" si="15"/>
        <v>125400</v>
      </c>
    </row>
    <row r="157" ht="15.75" customHeight="1">
      <c r="A157" s="101"/>
      <c r="B157" s="276">
        <v>145.0</v>
      </c>
      <c r="C157" s="277" t="s">
        <v>236</v>
      </c>
      <c r="D157" s="116" t="s">
        <v>96</v>
      </c>
      <c r="E157" s="278">
        <v>1.0</v>
      </c>
      <c r="F157" s="279"/>
      <c r="G157" s="279"/>
      <c r="H157" s="101"/>
      <c r="I157" s="280">
        <v>50886.25</v>
      </c>
      <c r="J157" s="103">
        <f t="shared" si="2"/>
        <v>9668.3875</v>
      </c>
      <c r="K157" s="103">
        <f t="shared" si="3"/>
        <v>60554.6375</v>
      </c>
      <c r="L157" s="287">
        <f t="shared" si="4"/>
        <v>60554.6375</v>
      </c>
      <c r="M157" s="106"/>
      <c r="N157" s="112">
        <v>51152.0</v>
      </c>
      <c r="O157" s="103">
        <f t="shared" si="5"/>
        <v>9718.88</v>
      </c>
      <c r="P157" s="107">
        <f t="shared" si="6"/>
        <v>60870.88</v>
      </c>
      <c r="Q157" s="281">
        <f t="shared" si="7"/>
        <v>60870.88</v>
      </c>
      <c r="R157" s="106"/>
      <c r="S157" s="112">
        <v>52687.0</v>
      </c>
      <c r="T157" s="109">
        <f t="shared" si="8"/>
        <v>10010.53</v>
      </c>
      <c r="U157" s="109">
        <f t="shared" si="9"/>
        <v>62697.53</v>
      </c>
      <c r="V157" s="284">
        <f t="shared" si="10"/>
        <v>62697.53</v>
      </c>
      <c r="W157" s="111"/>
      <c r="X157" s="112">
        <v>63612.0</v>
      </c>
      <c r="Y157" s="109">
        <f t="shared" si="11"/>
        <v>12086.28</v>
      </c>
      <c r="Z157" s="109">
        <f t="shared" si="12"/>
        <v>75698.28</v>
      </c>
      <c r="AA157" s="285">
        <f t="shared" si="13"/>
        <v>75698.28</v>
      </c>
      <c r="AB157" s="286">
        <f t="shared" si="14"/>
        <v>50886.25</v>
      </c>
      <c r="AC157" s="286">
        <f t="shared" si="15"/>
        <v>63612</v>
      </c>
    </row>
    <row r="158" ht="15.75" customHeight="1">
      <c r="A158" s="101"/>
      <c r="B158" s="276">
        <v>146.0</v>
      </c>
      <c r="C158" s="277" t="s">
        <v>237</v>
      </c>
      <c r="D158" s="116" t="s">
        <v>96</v>
      </c>
      <c r="E158" s="278">
        <v>1.0</v>
      </c>
      <c r="F158" s="279"/>
      <c r="G158" s="279"/>
      <c r="H158" s="101"/>
      <c r="I158" s="280">
        <v>29460.46</v>
      </c>
      <c r="J158" s="103">
        <f t="shared" si="2"/>
        <v>5597.4874</v>
      </c>
      <c r="K158" s="103">
        <f t="shared" si="3"/>
        <v>35057.9474</v>
      </c>
      <c r="L158" s="287">
        <f t="shared" si="4"/>
        <v>35057.9474</v>
      </c>
      <c r="M158" s="106"/>
      <c r="N158" s="112">
        <v>37766.0</v>
      </c>
      <c r="O158" s="103">
        <f t="shared" si="5"/>
        <v>7175.54</v>
      </c>
      <c r="P158" s="107">
        <f t="shared" si="6"/>
        <v>44941.54</v>
      </c>
      <c r="Q158" s="281">
        <f t="shared" si="7"/>
        <v>44941.54</v>
      </c>
      <c r="R158" s="106"/>
      <c r="S158" s="112">
        <v>38899.0</v>
      </c>
      <c r="T158" s="109">
        <f t="shared" si="8"/>
        <v>7390.81</v>
      </c>
      <c r="U158" s="109">
        <f t="shared" si="9"/>
        <v>46289.81</v>
      </c>
      <c r="V158" s="284">
        <f t="shared" si="10"/>
        <v>46289.81</v>
      </c>
      <c r="W158" s="111"/>
      <c r="X158" s="112">
        <v>38190.0</v>
      </c>
      <c r="Y158" s="109">
        <f t="shared" si="11"/>
        <v>7256.1</v>
      </c>
      <c r="Z158" s="109">
        <f t="shared" si="12"/>
        <v>45446.1</v>
      </c>
      <c r="AA158" s="285">
        <f t="shared" si="13"/>
        <v>45446.1</v>
      </c>
      <c r="AB158" s="286">
        <f t="shared" si="14"/>
        <v>29460.46</v>
      </c>
      <c r="AC158" s="286">
        <f t="shared" si="15"/>
        <v>38899</v>
      </c>
    </row>
    <row r="159" ht="15.75" customHeight="1">
      <c r="A159" s="101"/>
      <c r="B159" s="276">
        <v>147.0</v>
      </c>
      <c r="C159" s="277" t="s">
        <v>238</v>
      </c>
      <c r="D159" s="116" t="s">
        <v>83</v>
      </c>
      <c r="E159" s="278">
        <v>1.0</v>
      </c>
      <c r="F159" s="279"/>
      <c r="G159" s="279"/>
      <c r="H159" s="101"/>
      <c r="I159" s="280">
        <v>58193.74</v>
      </c>
      <c r="J159" s="103">
        <f t="shared" si="2"/>
        <v>11056.8106</v>
      </c>
      <c r="K159" s="103">
        <f t="shared" si="3"/>
        <v>69250.5506</v>
      </c>
      <c r="L159" s="289">
        <f t="shared" si="4"/>
        <v>69250.5506</v>
      </c>
      <c r="M159" s="106"/>
      <c r="N159" s="112">
        <v>55308.0</v>
      </c>
      <c r="O159" s="103">
        <f t="shared" si="5"/>
        <v>10508.52</v>
      </c>
      <c r="P159" s="107">
        <f t="shared" si="6"/>
        <v>65816.52</v>
      </c>
      <c r="Q159" s="283">
        <f t="shared" si="7"/>
        <v>65816.52</v>
      </c>
      <c r="R159" s="106"/>
      <c r="S159" s="112">
        <v>56967.0</v>
      </c>
      <c r="T159" s="109">
        <f t="shared" si="8"/>
        <v>10823.73</v>
      </c>
      <c r="U159" s="109">
        <f t="shared" si="9"/>
        <v>67790.73</v>
      </c>
      <c r="V159" s="281">
        <f t="shared" si="10"/>
        <v>67790.73</v>
      </c>
      <c r="W159" s="111"/>
      <c r="X159" s="112">
        <v>58938.0</v>
      </c>
      <c r="Y159" s="109">
        <f t="shared" si="11"/>
        <v>11198.22</v>
      </c>
      <c r="Z159" s="109">
        <f t="shared" si="12"/>
        <v>70136.22</v>
      </c>
      <c r="AA159" s="285">
        <f t="shared" si="13"/>
        <v>70136.22</v>
      </c>
      <c r="AB159" s="286">
        <f t="shared" si="14"/>
        <v>55308</v>
      </c>
      <c r="AC159" s="286">
        <f t="shared" si="15"/>
        <v>58938</v>
      </c>
    </row>
    <row r="160" ht="15.75" customHeight="1">
      <c r="A160" s="101"/>
      <c r="B160" s="276">
        <v>148.0</v>
      </c>
      <c r="C160" s="277" t="s">
        <v>239</v>
      </c>
      <c r="D160" s="116" t="s">
        <v>83</v>
      </c>
      <c r="E160" s="278">
        <v>1.0</v>
      </c>
      <c r="F160" s="279"/>
      <c r="G160" s="279"/>
      <c r="H160" s="101"/>
      <c r="I160" s="280">
        <v>65425.91</v>
      </c>
      <c r="J160" s="103">
        <f t="shared" si="2"/>
        <v>12430.9229</v>
      </c>
      <c r="K160" s="103">
        <f t="shared" si="3"/>
        <v>77856.8329</v>
      </c>
      <c r="L160" s="287">
        <f t="shared" si="4"/>
        <v>77856.8329</v>
      </c>
      <c r="M160" s="106"/>
      <c r="N160" s="112">
        <v>65782.0</v>
      </c>
      <c r="O160" s="103">
        <f t="shared" si="5"/>
        <v>12498.58</v>
      </c>
      <c r="P160" s="107">
        <f t="shared" si="6"/>
        <v>78280.58</v>
      </c>
      <c r="Q160" s="281">
        <f t="shared" si="7"/>
        <v>78280.58</v>
      </c>
      <c r="R160" s="106"/>
      <c r="S160" s="112">
        <v>67755.0</v>
      </c>
      <c r="T160" s="109">
        <f t="shared" si="8"/>
        <v>12873.45</v>
      </c>
      <c r="U160" s="109">
        <f t="shared" si="9"/>
        <v>80628.45</v>
      </c>
      <c r="V160" s="284">
        <f t="shared" si="10"/>
        <v>80628.45</v>
      </c>
      <c r="W160" s="111"/>
      <c r="X160" s="112">
        <v>71557.8</v>
      </c>
      <c r="Y160" s="109">
        <f t="shared" si="11"/>
        <v>13595.982</v>
      </c>
      <c r="Z160" s="109">
        <f t="shared" si="12"/>
        <v>85153.782</v>
      </c>
      <c r="AA160" s="285">
        <f t="shared" si="13"/>
        <v>85153.782</v>
      </c>
      <c r="AB160" s="286">
        <f t="shared" si="14"/>
        <v>65425.91</v>
      </c>
      <c r="AC160" s="286">
        <f t="shared" si="15"/>
        <v>71557.8</v>
      </c>
    </row>
    <row r="161" ht="15.75" customHeight="1">
      <c r="A161" s="101"/>
      <c r="B161" s="276">
        <v>149.0</v>
      </c>
      <c r="C161" s="277" t="s">
        <v>240</v>
      </c>
      <c r="D161" s="116" t="s">
        <v>83</v>
      </c>
      <c r="E161" s="278">
        <v>1.0</v>
      </c>
      <c r="F161" s="279"/>
      <c r="G161" s="279"/>
      <c r="H161" s="101"/>
      <c r="I161" s="280">
        <v>69462.47</v>
      </c>
      <c r="J161" s="103">
        <f t="shared" si="2"/>
        <v>13197.8693</v>
      </c>
      <c r="K161" s="103">
        <f t="shared" si="3"/>
        <v>82660.3393</v>
      </c>
      <c r="L161" s="287">
        <f t="shared" si="4"/>
        <v>82660.3393</v>
      </c>
      <c r="M161" s="106"/>
      <c r="N161" s="112">
        <v>77482.0</v>
      </c>
      <c r="O161" s="103">
        <f t="shared" si="5"/>
        <v>14721.58</v>
      </c>
      <c r="P161" s="107">
        <f t="shared" si="6"/>
        <v>92203.58</v>
      </c>
      <c r="Q161" s="281">
        <f t="shared" si="7"/>
        <v>92203.58</v>
      </c>
      <c r="R161" s="106"/>
      <c r="S161" s="112">
        <v>79806.0</v>
      </c>
      <c r="T161" s="109">
        <f t="shared" si="8"/>
        <v>15163.14</v>
      </c>
      <c r="U161" s="109">
        <f t="shared" si="9"/>
        <v>94969.14</v>
      </c>
      <c r="V161" s="284">
        <f t="shared" si="10"/>
        <v>94969.14</v>
      </c>
      <c r="W161" s="111"/>
      <c r="X161" s="112">
        <v>90972.0</v>
      </c>
      <c r="Y161" s="109">
        <f t="shared" si="11"/>
        <v>17284.68</v>
      </c>
      <c r="Z161" s="109">
        <f t="shared" si="12"/>
        <v>108256.68</v>
      </c>
      <c r="AA161" s="285">
        <f t="shared" si="13"/>
        <v>108256.68</v>
      </c>
      <c r="AB161" s="286">
        <f t="shared" si="14"/>
        <v>69462.47</v>
      </c>
      <c r="AC161" s="286">
        <f t="shared" si="15"/>
        <v>90972</v>
      </c>
    </row>
    <row r="162" ht="15.75" customHeight="1">
      <c r="A162" s="101"/>
      <c r="B162" s="276">
        <v>150.0</v>
      </c>
      <c r="C162" s="277" t="s">
        <v>241</v>
      </c>
      <c r="D162" s="116" t="s">
        <v>83</v>
      </c>
      <c r="E162" s="278">
        <v>1.0</v>
      </c>
      <c r="F162" s="279"/>
      <c r="G162" s="279"/>
      <c r="H162" s="101"/>
      <c r="I162" s="280">
        <v>80346.71</v>
      </c>
      <c r="J162" s="103">
        <f t="shared" si="2"/>
        <v>15265.8749</v>
      </c>
      <c r="K162" s="103">
        <f t="shared" si="3"/>
        <v>95612.5849</v>
      </c>
      <c r="L162" s="287">
        <f t="shared" si="4"/>
        <v>95612.5849</v>
      </c>
      <c r="M162" s="106"/>
      <c r="N162" s="112">
        <v>89646.0</v>
      </c>
      <c r="O162" s="103">
        <f t="shared" si="5"/>
        <v>17032.74</v>
      </c>
      <c r="P162" s="107">
        <f t="shared" si="6"/>
        <v>106678.74</v>
      </c>
      <c r="Q162" s="281">
        <f t="shared" si="7"/>
        <v>106678.74</v>
      </c>
      <c r="R162" s="106"/>
      <c r="S162" s="112">
        <v>92335.0</v>
      </c>
      <c r="T162" s="109">
        <f t="shared" si="8"/>
        <v>17543.65</v>
      </c>
      <c r="U162" s="109">
        <f t="shared" si="9"/>
        <v>109878.65</v>
      </c>
      <c r="V162" s="284">
        <f t="shared" si="10"/>
        <v>109878.65</v>
      </c>
      <c r="W162" s="111"/>
      <c r="X162" s="112">
        <v>97812.0</v>
      </c>
      <c r="Y162" s="109">
        <f t="shared" si="11"/>
        <v>18584.28</v>
      </c>
      <c r="Z162" s="109">
        <f t="shared" si="12"/>
        <v>116396.28</v>
      </c>
      <c r="AA162" s="285">
        <f t="shared" si="13"/>
        <v>116396.28</v>
      </c>
      <c r="AB162" s="286">
        <f t="shared" si="14"/>
        <v>80346.71</v>
      </c>
      <c r="AC162" s="286">
        <f t="shared" si="15"/>
        <v>97812</v>
      </c>
    </row>
    <row r="163" ht="15.75" customHeight="1">
      <c r="A163" s="101"/>
      <c r="B163" s="276">
        <v>151.0</v>
      </c>
      <c r="C163" s="277" t="s">
        <v>242</v>
      </c>
      <c r="D163" s="116" t="s">
        <v>79</v>
      </c>
      <c r="E163" s="278">
        <v>1.0</v>
      </c>
      <c r="F163" s="279"/>
      <c r="G163" s="279"/>
      <c r="H163" s="101"/>
      <c r="I163" s="280">
        <v>538208.0</v>
      </c>
      <c r="J163" s="103">
        <f t="shared" si="2"/>
        <v>102259.52</v>
      </c>
      <c r="K163" s="103">
        <f t="shared" si="3"/>
        <v>640467.52</v>
      </c>
      <c r="L163" s="281">
        <f t="shared" si="4"/>
        <v>640467.52</v>
      </c>
      <c r="M163" s="106"/>
      <c r="N163" s="112">
        <v>511520.0</v>
      </c>
      <c r="O163" s="103">
        <f t="shared" si="5"/>
        <v>97188.8</v>
      </c>
      <c r="P163" s="107">
        <f t="shared" si="6"/>
        <v>608708.8</v>
      </c>
      <c r="Q163" s="283">
        <f t="shared" si="7"/>
        <v>608708.8</v>
      </c>
      <c r="R163" s="106"/>
      <c r="S163" s="112">
        <v>526866.0</v>
      </c>
      <c r="T163" s="109">
        <f t="shared" si="8"/>
        <v>100104.54</v>
      </c>
      <c r="U163" s="109">
        <f t="shared" si="9"/>
        <v>626970.54</v>
      </c>
      <c r="V163" s="281">
        <f t="shared" si="10"/>
        <v>626970.54</v>
      </c>
      <c r="W163" s="111"/>
      <c r="X163" s="112">
        <v>467400.0</v>
      </c>
      <c r="Y163" s="109">
        <f t="shared" si="11"/>
        <v>88806</v>
      </c>
      <c r="Z163" s="109">
        <f t="shared" si="12"/>
        <v>556206</v>
      </c>
      <c r="AA163" s="285">
        <f t="shared" si="13"/>
        <v>556206</v>
      </c>
      <c r="AB163" s="286">
        <f t="shared" si="14"/>
        <v>467400</v>
      </c>
      <c r="AC163" s="286">
        <f t="shared" si="15"/>
        <v>538208</v>
      </c>
    </row>
    <row r="164" ht="15.75" customHeight="1">
      <c r="A164" s="101"/>
      <c r="B164" s="276">
        <v>152.0</v>
      </c>
      <c r="C164" s="277" t="s">
        <v>243</v>
      </c>
      <c r="D164" s="116" t="s">
        <v>96</v>
      </c>
      <c r="E164" s="278">
        <v>1.0</v>
      </c>
      <c r="F164" s="279"/>
      <c r="G164" s="279"/>
      <c r="H164" s="101"/>
      <c r="I164" s="280">
        <v>9923.21</v>
      </c>
      <c r="J164" s="103">
        <f t="shared" si="2"/>
        <v>1885.4099</v>
      </c>
      <c r="K164" s="103">
        <f t="shared" si="3"/>
        <v>11808.6199</v>
      </c>
      <c r="L164" s="287">
        <f t="shared" si="4"/>
        <v>11808.6199</v>
      </c>
      <c r="M164" s="106"/>
      <c r="N164" s="112">
        <v>14431.0</v>
      </c>
      <c r="O164" s="103">
        <f t="shared" si="5"/>
        <v>2741.89</v>
      </c>
      <c r="P164" s="107">
        <f t="shared" si="6"/>
        <v>17172.89</v>
      </c>
      <c r="Q164" s="281">
        <f t="shared" si="7"/>
        <v>17172.89</v>
      </c>
      <c r="R164" s="106"/>
      <c r="S164" s="112">
        <v>14864.0</v>
      </c>
      <c r="T164" s="109">
        <f t="shared" si="8"/>
        <v>2824.16</v>
      </c>
      <c r="U164" s="109">
        <f t="shared" si="9"/>
        <v>17688.16</v>
      </c>
      <c r="V164" s="284">
        <f t="shared" si="10"/>
        <v>17688.16</v>
      </c>
      <c r="W164" s="111"/>
      <c r="X164" s="112">
        <v>13452.0</v>
      </c>
      <c r="Y164" s="109">
        <f t="shared" si="11"/>
        <v>2555.88</v>
      </c>
      <c r="Z164" s="109">
        <f t="shared" si="12"/>
        <v>16007.88</v>
      </c>
      <c r="AA164" s="285">
        <f t="shared" si="13"/>
        <v>16007.88</v>
      </c>
      <c r="AB164" s="286">
        <f t="shared" si="14"/>
        <v>9923.21</v>
      </c>
      <c r="AC164" s="286">
        <f t="shared" si="15"/>
        <v>14864</v>
      </c>
    </row>
    <row r="165" ht="15.75" customHeight="1">
      <c r="A165" s="101"/>
      <c r="B165" s="276">
        <v>153.0</v>
      </c>
      <c r="C165" s="277" t="s">
        <v>244</v>
      </c>
      <c r="D165" s="116" t="s">
        <v>167</v>
      </c>
      <c r="E165" s="278">
        <v>1.0</v>
      </c>
      <c r="F165" s="279"/>
      <c r="G165" s="279"/>
      <c r="H165" s="101"/>
      <c r="I165" s="280">
        <v>53564.47</v>
      </c>
      <c r="J165" s="103">
        <f t="shared" si="2"/>
        <v>10177.2493</v>
      </c>
      <c r="K165" s="103">
        <f t="shared" si="3"/>
        <v>63741.7193</v>
      </c>
      <c r="L165" s="289">
        <f t="shared" si="4"/>
        <v>63741.7193</v>
      </c>
      <c r="M165" s="106"/>
      <c r="N165" s="112">
        <v>50033.0</v>
      </c>
      <c r="O165" s="103">
        <f t="shared" si="5"/>
        <v>9506.27</v>
      </c>
      <c r="P165" s="107">
        <f t="shared" si="6"/>
        <v>59539.27</v>
      </c>
      <c r="Q165" s="283">
        <f t="shared" si="7"/>
        <v>59539.27</v>
      </c>
      <c r="R165" s="106"/>
      <c r="S165" s="112">
        <v>51534.0</v>
      </c>
      <c r="T165" s="109">
        <f t="shared" si="8"/>
        <v>9791.46</v>
      </c>
      <c r="U165" s="109">
        <f t="shared" si="9"/>
        <v>61325.46</v>
      </c>
      <c r="V165" s="281">
        <f t="shared" si="10"/>
        <v>61325.46</v>
      </c>
      <c r="W165" s="111"/>
      <c r="X165" s="112">
        <v>70224.0</v>
      </c>
      <c r="Y165" s="109">
        <f t="shared" si="11"/>
        <v>13342.56</v>
      </c>
      <c r="Z165" s="109">
        <f t="shared" si="12"/>
        <v>83566.56</v>
      </c>
      <c r="AA165" s="285">
        <f t="shared" si="13"/>
        <v>83566.56</v>
      </c>
      <c r="AB165" s="286">
        <f t="shared" si="14"/>
        <v>50033</v>
      </c>
      <c r="AC165" s="286">
        <f t="shared" si="15"/>
        <v>70224</v>
      </c>
    </row>
    <row r="166" ht="15.75" customHeight="1">
      <c r="A166" s="101"/>
      <c r="B166" s="276">
        <v>154.0</v>
      </c>
      <c r="C166" s="277" t="s">
        <v>245</v>
      </c>
      <c r="D166" s="116" t="s">
        <v>167</v>
      </c>
      <c r="E166" s="278">
        <v>1.0</v>
      </c>
      <c r="F166" s="279"/>
      <c r="G166" s="279"/>
      <c r="H166" s="101"/>
      <c r="I166" s="280">
        <v>58866.5</v>
      </c>
      <c r="J166" s="103">
        <f t="shared" si="2"/>
        <v>11184.635</v>
      </c>
      <c r="K166" s="103">
        <f t="shared" si="3"/>
        <v>70051.135</v>
      </c>
      <c r="L166" s="289">
        <f t="shared" si="4"/>
        <v>70051.135</v>
      </c>
      <c r="M166" s="106"/>
      <c r="N166" s="112">
        <v>55948.0</v>
      </c>
      <c r="O166" s="103">
        <f t="shared" si="5"/>
        <v>10630.12</v>
      </c>
      <c r="P166" s="107">
        <f t="shared" si="6"/>
        <v>66578.12</v>
      </c>
      <c r="Q166" s="283">
        <f t="shared" si="7"/>
        <v>66578.12</v>
      </c>
      <c r="R166" s="106"/>
      <c r="S166" s="112">
        <v>57626.0</v>
      </c>
      <c r="T166" s="109">
        <f t="shared" si="8"/>
        <v>10948.94</v>
      </c>
      <c r="U166" s="109">
        <f t="shared" si="9"/>
        <v>68574.94</v>
      </c>
      <c r="V166" s="281">
        <f t="shared" si="10"/>
        <v>68574.94</v>
      </c>
      <c r="W166" s="111"/>
      <c r="X166" s="112">
        <v>70224.0</v>
      </c>
      <c r="Y166" s="109">
        <f t="shared" si="11"/>
        <v>13342.56</v>
      </c>
      <c r="Z166" s="109">
        <f t="shared" si="12"/>
        <v>83566.56</v>
      </c>
      <c r="AA166" s="285">
        <f t="shared" si="13"/>
        <v>83566.56</v>
      </c>
      <c r="AB166" s="286">
        <f t="shared" si="14"/>
        <v>55948</v>
      </c>
      <c r="AC166" s="286">
        <f t="shared" si="15"/>
        <v>70224</v>
      </c>
    </row>
    <row r="167" ht="15.75" customHeight="1">
      <c r="A167" s="101"/>
      <c r="B167" s="276">
        <v>155.0</v>
      </c>
      <c r="C167" s="277" t="s">
        <v>246</v>
      </c>
      <c r="D167" s="116" t="s">
        <v>167</v>
      </c>
      <c r="E167" s="278">
        <v>1.0</v>
      </c>
      <c r="F167" s="279"/>
      <c r="G167" s="279"/>
      <c r="H167" s="101"/>
      <c r="I167" s="280">
        <v>75685.5</v>
      </c>
      <c r="J167" s="103">
        <f t="shared" si="2"/>
        <v>14380.245</v>
      </c>
      <c r="K167" s="103">
        <f t="shared" si="3"/>
        <v>90065.745</v>
      </c>
      <c r="L167" s="289">
        <f t="shared" si="4"/>
        <v>90065.745</v>
      </c>
      <c r="M167" s="106"/>
      <c r="N167" s="112">
        <v>71933.0</v>
      </c>
      <c r="O167" s="103">
        <f t="shared" si="5"/>
        <v>13667.27</v>
      </c>
      <c r="P167" s="107">
        <f t="shared" si="6"/>
        <v>85600.27</v>
      </c>
      <c r="Q167" s="283">
        <f t="shared" si="7"/>
        <v>85600.27</v>
      </c>
      <c r="R167" s="106"/>
      <c r="S167" s="112">
        <v>74091.0</v>
      </c>
      <c r="T167" s="109">
        <f t="shared" si="8"/>
        <v>14077.29</v>
      </c>
      <c r="U167" s="109">
        <f t="shared" si="9"/>
        <v>88168.29</v>
      </c>
      <c r="V167" s="281">
        <f t="shared" si="10"/>
        <v>88168.29</v>
      </c>
      <c r="W167" s="111"/>
      <c r="X167" s="112">
        <v>84360.0</v>
      </c>
      <c r="Y167" s="109">
        <f t="shared" si="11"/>
        <v>16028.4</v>
      </c>
      <c r="Z167" s="109">
        <f t="shared" si="12"/>
        <v>100388.4</v>
      </c>
      <c r="AA167" s="285">
        <f t="shared" si="13"/>
        <v>100388.4</v>
      </c>
      <c r="AB167" s="286">
        <f t="shared" si="14"/>
        <v>71933</v>
      </c>
      <c r="AC167" s="286">
        <f t="shared" si="15"/>
        <v>84360</v>
      </c>
    </row>
    <row r="168" ht="15.75" customHeight="1">
      <c r="A168" s="101"/>
      <c r="B168" s="276">
        <v>156.0</v>
      </c>
      <c r="C168" s="277" t="s">
        <v>247</v>
      </c>
      <c r="D168" s="116" t="s">
        <v>167</v>
      </c>
      <c r="E168" s="278">
        <v>1.0</v>
      </c>
      <c r="F168" s="279"/>
      <c r="G168" s="279"/>
      <c r="H168" s="101"/>
      <c r="I168" s="280">
        <v>234344.57</v>
      </c>
      <c r="J168" s="103">
        <f t="shared" si="2"/>
        <v>44525.4683</v>
      </c>
      <c r="K168" s="103">
        <f t="shared" si="3"/>
        <v>278870.0383</v>
      </c>
      <c r="L168" s="287">
        <f t="shared" si="4"/>
        <v>278870.0383</v>
      </c>
      <c r="M168" s="106"/>
      <c r="N168" s="112">
        <v>247768.0</v>
      </c>
      <c r="O168" s="103">
        <f t="shared" si="5"/>
        <v>47075.92</v>
      </c>
      <c r="P168" s="107">
        <f t="shared" si="6"/>
        <v>294843.92</v>
      </c>
      <c r="Q168" s="281">
        <f t="shared" si="7"/>
        <v>294843.92</v>
      </c>
      <c r="R168" s="106"/>
      <c r="S168" s="112">
        <v>255201.0</v>
      </c>
      <c r="T168" s="109">
        <f t="shared" si="8"/>
        <v>48488.19</v>
      </c>
      <c r="U168" s="109">
        <f t="shared" si="9"/>
        <v>303689.19</v>
      </c>
      <c r="V168" s="284">
        <f t="shared" si="10"/>
        <v>303689.19</v>
      </c>
      <c r="W168" s="111"/>
      <c r="X168" s="112">
        <v>239400.0</v>
      </c>
      <c r="Y168" s="109">
        <f t="shared" si="11"/>
        <v>45486</v>
      </c>
      <c r="Z168" s="109">
        <f t="shared" si="12"/>
        <v>284886</v>
      </c>
      <c r="AA168" s="285">
        <f t="shared" si="13"/>
        <v>284886</v>
      </c>
      <c r="AB168" s="286">
        <f t="shared" si="14"/>
        <v>234344.57</v>
      </c>
      <c r="AC168" s="286">
        <f t="shared" si="15"/>
        <v>255201</v>
      </c>
    </row>
    <row r="169" ht="15.75" customHeight="1">
      <c r="A169" s="101"/>
      <c r="B169" s="276">
        <v>157.0</v>
      </c>
      <c r="C169" s="277" t="s">
        <v>248</v>
      </c>
      <c r="D169" s="116" t="s">
        <v>167</v>
      </c>
      <c r="E169" s="278">
        <v>1.0</v>
      </c>
      <c r="F169" s="279"/>
      <c r="G169" s="279"/>
      <c r="H169" s="101"/>
      <c r="I169" s="280">
        <v>254431.25</v>
      </c>
      <c r="J169" s="103">
        <f t="shared" si="2"/>
        <v>48341.9375</v>
      </c>
      <c r="K169" s="103">
        <f t="shared" si="3"/>
        <v>302773.1875</v>
      </c>
      <c r="L169" s="287">
        <f t="shared" si="4"/>
        <v>302773.1875</v>
      </c>
      <c r="M169" s="106"/>
      <c r="N169" s="112">
        <v>271745.0</v>
      </c>
      <c r="O169" s="103">
        <f t="shared" si="5"/>
        <v>51631.55</v>
      </c>
      <c r="P169" s="107">
        <f t="shared" si="6"/>
        <v>323376.55</v>
      </c>
      <c r="Q169" s="281">
        <f t="shared" si="7"/>
        <v>323376.55</v>
      </c>
      <c r="R169" s="106"/>
      <c r="S169" s="112">
        <v>279897.0</v>
      </c>
      <c r="T169" s="109">
        <f t="shared" si="8"/>
        <v>53180.43</v>
      </c>
      <c r="U169" s="109">
        <f t="shared" si="9"/>
        <v>333077.43</v>
      </c>
      <c r="V169" s="284">
        <f t="shared" si="10"/>
        <v>333077.43</v>
      </c>
      <c r="W169" s="111"/>
      <c r="X169" s="112">
        <v>291498.0</v>
      </c>
      <c r="Y169" s="109">
        <f t="shared" si="11"/>
        <v>55384.62</v>
      </c>
      <c r="Z169" s="109">
        <f t="shared" si="12"/>
        <v>346882.62</v>
      </c>
      <c r="AA169" s="285">
        <f t="shared" si="13"/>
        <v>346882.62</v>
      </c>
      <c r="AB169" s="286">
        <f t="shared" si="14"/>
        <v>254431.25</v>
      </c>
      <c r="AC169" s="286">
        <f t="shared" si="15"/>
        <v>291498</v>
      </c>
    </row>
    <row r="170" ht="15.75" customHeight="1">
      <c r="A170" s="101"/>
      <c r="B170" s="276">
        <v>158.0</v>
      </c>
      <c r="C170" s="277" t="s">
        <v>249</v>
      </c>
      <c r="D170" s="116" t="s">
        <v>167</v>
      </c>
      <c r="E170" s="278">
        <v>1.0</v>
      </c>
      <c r="F170" s="279"/>
      <c r="G170" s="279"/>
      <c r="H170" s="101"/>
      <c r="I170" s="280">
        <v>267822.37</v>
      </c>
      <c r="J170" s="103">
        <f t="shared" si="2"/>
        <v>50886.2503</v>
      </c>
      <c r="K170" s="103">
        <f t="shared" si="3"/>
        <v>318708.6203</v>
      </c>
      <c r="L170" s="287">
        <f t="shared" si="4"/>
        <v>318708.6203</v>
      </c>
      <c r="M170" s="106"/>
      <c r="N170" s="112">
        <v>287730.0</v>
      </c>
      <c r="O170" s="103">
        <f t="shared" si="5"/>
        <v>54668.7</v>
      </c>
      <c r="P170" s="107">
        <f t="shared" si="6"/>
        <v>342398.7</v>
      </c>
      <c r="Q170" s="281">
        <f t="shared" si="7"/>
        <v>342398.7</v>
      </c>
      <c r="R170" s="106"/>
      <c r="S170" s="112">
        <v>296362.0</v>
      </c>
      <c r="T170" s="109">
        <f t="shared" si="8"/>
        <v>56308.78</v>
      </c>
      <c r="U170" s="109">
        <f t="shared" si="9"/>
        <v>352670.78</v>
      </c>
      <c r="V170" s="284">
        <f t="shared" si="10"/>
        <v>352670.78</v>
      </c>
      <c r="W170" s="111"/>
      <c r="X170" s="112">
        <v>307800.0</v>
      </c>
      <c r="Y170" s="109">
        <f t="shared" si="11"/>
        <v>58482</v>
      </c>
      <c r="Z170" s="109">
        <f t="shared" si="12"/>
        <v>366282</v>
      </c>
      <c r="AA170" s="285">
        <f t="shared" si="13"/>
        <v>366282</v>
      </c>
      <c r="AB170" s="286">
        <f t="shared" si="14"/>
        <v>267822.37</v>
      </c>
      <c r="AC170" s="286">
        <f t="shared" si="15"/>
        <v>307800</v>
      </c>
    </row>
    <row r="171" ht="15.75" customHeight="1">
      <c r="A171" s="101"/>
      <c r="B171" s="276">
        <v>159.0</v>
      </c>
      <c r="C171" s="277" t="s">
        <v>250</v>
      </c>
      <c r="D171" s="116" t="s">
        <v>167</v>
      </c>
      <c r="E171" s="278">
        <v>1.0</v>
      </c>
      <c r="F171" s="279"/>
      <c r="G171" s="279"/>
      <c r="H171" s="101"/>
      <c r="I171" s="280">
        <v>328082.4</v>
      </c>
      <c r="J171" s="103">
        <f t="shared" si="2"/>
        <v>62335.656</v>
      </c>
      <c r="K171" s="103">
        <f t="shared" si="3"/>
        <v>390418.056</v>
      </c>
      <c r="L171" s="287">
        <f t="shared" si="4"/>
        <v>390418.056</v>
      </c>
      <c r="M171" s="106"/>
      <c r="N171" s="112">
        <v>367655.0</v>
      </c>
      <c r="O171" s="103">
        <f t="shared" si="5"/>
        <v>69854.45</v>
      </c>
      <c r="P171" s="107">
        <f t="shared" si="6"/>
        <v>437509.45</v>
      </c>
      <c r="Q171" s="281">
        <f t="shared" si="7"/>
        <v>437509.45</v>
      </c>
      <c r="R171" s="106"/>
      <c r="S171" s="112">
        <v>378685.0</v>
      </c>
      <c r="T171" s="109">
        <f t="shared" si="8"/>
        <v>71950.15</v>
      </c>
      <c r="U171" s="109">
        <f t="shared" si="9"/>
        <v>450635.15</v>
      </c>
      <c r="V171" s="284">
        <f t="shared" si="10"/>
        <v>450635.15</v>
      </c>
      <c r="W171" s="111"/>
      <c r="X171" s="112">
        <v>433200.0</v>
      </c>
      <c r="Y171" s="109">
        <f t="shared" si="11"/>
        <v>82308</v>
      </c>
      <c r="Z171" s="109">
        <f t="shared" si="12"/>
        <v>515508</v>
      </c>
      <c r="AA171" s="285">
        <f t="shared" si="13"/>
        <v>515508</v>
      </c>
      <c r="AB171" s="286">
        <f t="shared" si="14"/>
        <v>328082.4</v>
      </c>
      <c r="AC171" s="286">
        <f t="shared" si="15"/>
        <v>433200</v>
      </c>
    </row>
    <row r="172" ht="15.75" customHeight="1">
      <c r="A172" s="101"/>
      <c r="B172" s="276">
        <v>160.0</v>
      </c>
      <c r="C172" s="277" t="s">
        <v>251</v>
      </c>
      <c r="D172" s="116" t="s">
        <v>167</v>
      </c>
      <c r="E172" s="278">
        <v>1.0</v>
      </c>
      <c r="F172" s="279"/>
      <c r="G172" s="279"/>
      <c r="H172" s="101"/>
      <c r="I172" s="280">
        <v>421820.23</v>
      </c>
      <c r="J172" s="103">
        <f t="shared" si="2"/>
        <v>80145.8437</v>
      </c>
      <c r="K172" s="103">
        <f t="shared" si="3"/>
        <v>501966.0737</v>
      </c>
      <c r="L172" s="287">
        <f t="shared" si="4"/>
        <v>501966.0737</v>
      </c>
      <c r="M172" s="106"/>
      <c r="N172" s="112">
        <v>463565.0</v>
      </c>
      <c r="O172" s="103">
        <f t="shared" si="5"/>
        <v>88077.35</v>
      </c>
      <c r="P172" s="107">
        <f t="shared" si="6"/>
        <v>551642.35</v>
      </c>
      <c r="Q172" s="281">
        <f t="shared" si="7"/>
        <v>551642.35</v>
      </c>
      <c r="R172" s="106"/>
      <c r="S172" s="112">
        <v>477472.0</v>
      </c>
      <c r="T172" s="109">
        <f t="shared" si="8"/>
        <v>90719.68</v>
      </c>
      <c r="U172" s="109">
        <f t="shared" si="9"/>
        <v>568191.68</v>
      </c>
      <c r="V172" s="284">
        <f t="shared" si="10"/>
        <v>568191.68</v>
      </c>
      <c r="W172" s="111"/>
      <c r="X172" s="112">
        <v>581400.0</v>
      </c>
      <c r="Y172" s="109">
        <f t="shared" si="11"/>
        <v>110466</v>
      </c>
      <c r="Z172" s="109">
        <f t="shared" si="12"/>
        <v>691866</v>
      </c>
      <c r="AA172" s="285">
        <f t="shared" si="13"/>
        <v>691866</v>
      </c>
      <c r="AB172" s="286">
        <f t="shared" si="14"/>
        <v>421820.23</v>
      </c>
      <c r="AC172" s="286">
        <f t="shared" si="15"/>
        <v>581400</v>
      </c>
    </row>
    <row r="173" ht="15.75" customHeight="1">
      <c r="A173" s="101"/>
      <c r="B173" s="276">
        <v>161.0</v>
      </c>
      <c r="C173" s="277" t="s">
        <v>252</v>
      </c>
      <c r="D173" s="116" t="s">
        <v>116</v>
      </c>
      <c r="E173" s="278">
        <v>1.0</v>
      </c>
      <c r="F173" s="279"/>
      <c r="G173" s="279"/>
      <c r="H173" s="101"/>
      <c r="I173" s="280">
        <v>127151.64</v>
      </c>
      <c r="J173" s="103">
        <f t="shared" si="2"/>
        <v>24158.8116</v>
      </c>
      <c r="K173" s="103">
        <f t="shared" si="3"/>
        <v>151310.4516</v>
      </c>
      <c r="L173" s="289">
        <f t="shared" si="4"/>
        <v>151310.4516</v>
      </c>
      <c r="M173" s="106"/>
      <c r="N173" s="112">
        <v>120847.0</v>
      </c>
      <c r="O173" s="103">
        <f t="shared" si="5"/>
        <v>22960.93</v>
      </c>
      <c r="P173" s="107">
        <f t="shared" si="6"/>
        <v>143807.93</v>
      </c>
      <c r="Q173" s="283">
        <f t="shared" si="7"/>
        <v>143807.93</v>
      </c>
      <c r="R173" s="106"/>
      <c r="S173" s="112">
        <v>124472.0</v>
      </c>
      <c r="T173" s="109">
        <f t="shared" si="8"/>
        <v>23649.68</v>
      </c>
      <c r="U173" s="109">
        <f t="shared" si="9"/>
        <v>148121.68</v>
      </c>
      <c r="V173" s="281">
        <f t="shared" si="10"/>
        <v>148121.68</v>
      </c>
      <c r="W173" s="111"/>
      <c r="X173" s="112">
        <v>153900.0</v>
      </c>
      <c r="Y173" s="109">
        <f t="shared" si="11"/>
        <v>29241</v>
      </c>
      <c r="Z173" s="109">
        <f t="shared" si="12"/>
        <v>183141</v>
      </c>
      <c r="AA173" s="285">
        <f t="shared" si="13"/>
        <v>183141</v>
      </c>
      <c r="AB173" s="286">
        <f t="shared" si="14"/>
        <v>120847</v>
      </c>
      <c r="AC173" s="286">
        <f t="shared" si="15"/>
        <v>153900</v>
      </c>
    </row>
    <row r="174" ht="15.75" customHeight="1">
      <c r="A174" s="101"/>
      <c r="B174" s="276">
        <v>162.0</v>
      </c>
      <c r="C174" s="277" t="s">
        <v>253</v>
      </c>
      <c r="D174" s="116" t="s">
        <v>83</v>
      </c>
      <c r="E174" s="278">
        <v>1.0</v>
      </c>
      <c r="F174" s="279"/>
      <c r="G174" s="279"/>
      <c r="H174" s="101"/>
      <c r="I174" s="280">
        <v>48208.03</v>
      </c>
      <c r="J174" s="103">
        <f t="shared" si="2"/>
        <v>9159.5257</v>
      </c>
      <c r="K174" s="103">
        <f t="shared" si="3"/>
        <v>57367.5557</v>
      </c>
      <c r="L174" s="281">
        <f t="shared" si="4"/>
        <v>57367.5557</v>
      </c>
      <c r="M174" s="106"/>
      <c r="N174" s="112">
        <v>47955.0</v>
      </c>
      <c r="O174" s="103">
        <f t="shared" si="5"/>
        <v>9111.45</v>
      </c>
      <c r="P174" s="107">
        <f t="shared" si="6"/>
        <v>57066.45</v>
      </c>
      <c r="Q174" s="283">
        <f t="shared" si="7"/>
        <v>57066.45</v>
      </c>
      <c r="R174" s="106"/>
      <c r="S174" s="112">
        <v>49394.0</v>
      </c>
      <c r="T174" s="109">
        <f t="shared" si="8"/>
        <v>9384.86</v>
      </c>
      <c r="U174" s="109">
        <f t="shared" si="9"/>
        <v>58778.86</v>
      </c>
      <c r="V174" s="284">
        <f t="shared" si="10"/>
        <v>58778.86</v>
      </c>
      <c r="W174" s="111"/>
      <c r="X174" s="112">
        <v>46740.0</v>
      </c>
      <c r="Y174" s="109">
        <f t="shared" si="11"/>
        <v>8880.6</v>
      </c>
      <c r="Z174" s="109">
        <f t="shared" si="12"/>
        <v>55620.6</v>
      </c>
      <c r="AA174" s="285">
        <f t="shared" si="13"/>
        <v>55620.6</v>
      </c>
      <c r="AB174" s="286">
        <f t="shared" si="14"/>
        <v>46740</v>
      </c>
      <c r="AC174" s="286">
        <f t="shared" si="15"/>
        <v>49394</v>
      </c>
    </row>
    <row r="175" ht="15.75" customHeight="1">
      <c r="A175" s="101"/>
      <c r="B175" s="276">
        <v>163.0</v>
      </c>
      <c r="C175" s="277" t="s">
        <v>254</v>
      </c>
      <c r="D175" s="116" t="s">
        <v>167</v>
      </c>
      <c r="E175" s="278">
        <v>1.0</v>
      </c>
      <c r="F175" s="279"/>
      <c r="G175" s="279"/>
      <c r="H175" s="101"/>
      <c r="I175" s="280">
        <v>16482.62</v>
      </c>
      <c r="J175" s="103">
        <f t="shared" si="2"/>
        <v>3131.6978</v>
      </c>
      <c r="K175" s="103">
        <f t="shared" si="3"/>
        <v>19614.3178</v>
      </c>
      <c r="L175" s="289">
        <f t="shared" si="4"/>
        <v>19614.3178</v>
      </c>
      <c r="M175" s="106"/>
      <c r="N175" s="112">
        <v>15665.0</v>
      </c>
      <c r="O175" s="103">
        <f t="shared" si="5"/>
        <v>2976.35</v>
      </c>
      <c r="P175" s="107">
        <f t="shared" si="6"/>
        <v>18641.35</v>
      </c>
      <c r="Q175" s="283">
        <f t="shared" si="7"/>
        <v>18641.35</v>
      </c>
      <c r="R175" s="106"/>
      <c r="S175" s="112">
        <v>16135.0</v>
      </c>
      <c r="T175" s="109">
        <f t="shared" si="8"/>
        <v>3065.65</v>
      </c>
      <c r="U175" s="109">
        <f t="shared" si="9"/>
        <v>19200.65</v>
      </c>
      <c r="V175" s="281">
        <f t="shared" si="10"/>
        <v>19200.65</v>
      </c>
      <c r="W175" s="111"/>
      <c r="X175" s="112">
        <v>14364.0</v>
      </c>
      <c r="Y175" s="109">
        <f t="shared" si="11"/>
        <v>2729.16</v>
      </c>
      <c r="Z175" s="109">
        <f t="shared" si="12"/>
        <v>17093.16</v>
      </c>
      <c r="AA175" s="285">
        <f t="shared" si="13"/>
        <v>17093.16</v>
      </c>
      <c r="AB175" s="286">
        <f t="shared" si="14"/>
        <v>14364</v>
      </c>
      <c r="AC175" s="286">
        <f t="shared" si="15"/>
        <v>16482.62</v>
      </c>
    </row>
    <row r="176" ht="15.75" customHeight="1">
      <c r="A176" s="101"/>
      <c r="B176" s="276">
        <v>164.0</v>
      </c>
      <c r="C176" s="277" t="s">
        <v>255</v>
      </c>
      <c r="D176" s="116" t="s">
        <v>167</v>
      </c>
      <c r="E176" s="278">
        <v>1.0</v>
      </c>
      <c r="F176" s="279"/>
      <c r="G176" s="279"/>
      <c r="H176" s="101"/>
      <c r="I176" s="280">
        <v>20687.37</v>
      </c>
      <c r="J176" s="103">
        <f t="shared" si="2"/>
        <v>3930.6003</v>
      </c>
      <c r="K176" s="103">
        <f t="shared" si="3"/>
        <v>24617.9703</v>
      </c>
      <c r="L176" s="289">
        <f t="shared" si="4"/>
        <v>24617.9703</v>
      </c>
      <c r="M176" s="106"/>
      <c r="N176" s="112">
        <v>19662.0</v>
      </c>
      <c r="O176" s="103">
        <f t="shared" si="5"/>
        <v>3735.78</v>
      </c>
      <c r="P176" s="107">
        <f t="shared" si="6"/>
        <v>23397.78</v>
      </c>
      <c r="Q176" s="283">
        <f t="shared" si="7"/>
        <v>23397.78</v>
      </c>
      <c r="R176" s="106"/>
      <c r="S176" s="112">
        <v>20252.0</v>
      </c>
      <c r="T176" s="109">
        <f t="shared" si="8"/>
        <v>3847.88</v>
      </c>
      <c r="U176" s="109">
        <f t="shared" si="9"/>
        <v>24099.88</v>
      </c>
      <c r="V176" s="281">
        <f t="shared" si="10"/>
        <v>24099.88</v>
      </c>
      <c r="W176" s="111"/>
      <c r="X176" s="112">
        <v>21318.0</v>
      </c>
      <c r="Y176" s="109">
        <f t="shared" si="11"/>
        <v>4050.42</v>
      </c>
      <c r="Z176" s="109">
        <f t="shared" si="12"/>
        <v>25368.42</v>
      </c>
      <c r="AA176" s="285">
        <f t="shared" si="13"/>
        <v>25368.42</v>
      </c>
      <c r="AB176" s="286">
        <f t="shared" si="14"/>
        <v>19662</v>
      </c>
      <c r="AC176" s="286">
        <f t="shared" si="15"/>
        <v>21318</v>
      </c>
    </row>
    <row r="177" ht="15.75" customHeight="1">
      <c r="A177" s="101"/>
      <c r="B177" s="276">
        <v>165.0</v>
      </c>
      <c r="C177" s="277" t="s">
        <v>256</v>
      </c>
      <c r="D177" s="116" t="s">
        <v>96</v>
      </c>
      <c r="E177" s="278">
        <v>1.0</v>
      </c>
      <c r="F177" s="279"/>
      <c r="G177" s="279"/>
      <c r="H177" s="101"/>
      <c r="I177" s="280">
        <v>34310.76</v>
      </c>
      <c r="J177" s="103">
        <f t="shared" si="2"/>
        <v>6519.0444</v>
      </c>
      <c r="K177" s="103">
        <f t="shared" si="3"/>
        <v>40829.8044</v>
      </c>
      <c r="L177" s="281">
        <f t="shared" si="4"/>
        <v>40829.8044</v>
      </c>
      <c r="M177" s="106"/>
      <c r="N177" s="112">
        <v>42717.0</v>
      </c>
      <c r="O177" s="103">
        <f t="shared" si="5"/>
        <v>8116.23</v>
      </c>
      <c r="P177" s="107">
        <f t="shared" si="6"/>
        <v>50833.23</v>
      </c>
      <c r="Q177" s="281">
        <f t="shared" si="7"/>
        <v>50833.23</v>
      </c>
      <c r="R177" s="106"/>
      <c r="S177" s="112">
        <v>43999.0</v>
      </c>
      <c r="T177" s="109">
        <f t="shared" si="8"/>
        <v>8359.81</v>
      </c>
      <c r="U177" s="109">
        <f t="shared" si="9"/>
        <v>52358.81</v>
      </c>
      <c r="V177" s="284">
        <f t="shared" si="10"/>
        <v>52358.81</v>
      </c>
      <c r="W177" s="111"/>
      <c r="X177" s="112">
        <v>42864.0</v>
      </c>
      <c r="Y177" s="109">
        <f t="shared" si="11"/>
        <v>8144.16</v>
      </c>
      <c r="Z177" s="109">
        <f t="shared" si="12"/>
        <v>51008.16</v>
      </c>
      <c r="AA177" s="285">
        <f t="shared" si="13"/>
        <v>51008.16</v>
      </c>
      <c r="AB177" s="286">
        <f t="shared" si="14"/>
        <v>34310.76</v>
      </c>
      <c r="AC177" s="286">
        <f t="shared" si="15"/>
        <v>43999</v>
      </c>
    </row>
    <row r="178" ht="15.75" customHeight="1">
      <c r="A178" s="101"/>
      <c r="B178" s="276">
        <v>166.0</v>
      </c>
      <c r="C178" s="277" t="s">
        <v>257</v>
      </c>
      <c r="D178" s="116" t="s">
        <v>96</v>
      </c>
      <c r="E178" s="278">
        <v>1.0</v>
      </c>
      <c r="F178" s="279"/>
      <c r="G178" s="279"/>
      <c r="H178" s="101"/>
      <c r="I178" s="280">
        <v>20855.56</v>
      </c>
      <c r="J178" s="103">
        <f t="shared" si="2"/>
        <v>3962.5564</v>
      </c>
      <c r="K178" s="103">
        <f t="shared" si="3"/>
        <v>24818.1164</v>
      </c>
      <c r="L178" s="289">
        <f t="shared" si="4"/>
        <v>24818.1164</v>
      </c>
      <c r="M178" s="106"/>
      <c r="N178" s="112">
        <v>19821.0</v>
      </c>
      <c r="O178" s="103">
        <f t="shared" si="5"/>
        <v>3765.99</v>
      </c>
      <c r="P178" s="107">
        <f t="shared" si="6"/>
        <v>23586.99</v>
      </c>
      <c r="Q178" s="283">
        <f t="shared" si="7"/>
        <v>23586.99</v>
      </c>
      <c r="R178" s="106"/>
      <c r="S178" s="112">
        <v>20416.0</v>
      </c>
      <c r="T178" s="109">
        <f t="shared" si="8"/>
        <v>3879.04</v>
      </c>
      <c r="U178" s="109">
        <f t="shared" si="9"/>
        <v>24295.04</v>
      </c>
      <c r="V178" s="281">
        <f t="shared" si="10"/>
        <v>24295.04</v>
      </c>
      <c r="W178" s="111"/>
      <c r="X178" s="112">
        <v>25080.0</v>
      </c>
      <c r="Y178" s="109">
        <f t="shared" si="11"/>
        <v>4765.2</v>
      </c>
      <c r="Z178" s="109">
        <f t="shared" si="12"/>
        <v>29845.2</v>
      </c>
      <c r="AA178" s="285">
        <f t="shared" si="13"/>
        <v>29845.2</v>
      </c>
      <c r="AB178" s="286">
        <f t="shared" si="14"/>
        <v>19821</v>
      </c>
      <c r="AC178" s="286">
        <f t="shared" si="15"/>
        <v>25080</v>
      </c>
    </row>
    <row r="179" ht="15.75" customHeight="1">
      <c r="A179" s="101"/>
      <c r="B179" s="276">
        <v>167.0</v>
      </c>
      <c r="C179" s="277" t="s">
        <v>258</v>
      </c>
      <c r="D179" s="116" t="s">
        <v>96</v>
      </c>
      <c r="E179" s="278">
        <v>1.0</v>
      </c>
      <c r="F179" s="279"/>
      <c r="G179" s="279"/>
      <c r="H179" s="101"/>
      <c r="I179" s="280">
        <v>20855.56</v>
      </c>
      <c r="J179" s="103">
        <f t="shared" si="2"/>
        <v>3962.5564</v>
      </c>
      <c r="K179" s="103">
        <f t="shared" si="3"/>
        <v>24818.1164</v>
      </c>
      <c r="L179" s="289">
        <f t="shared" si="4"/>
        <v>24818.1164</v>
      </c>
      <c r="M179" s="106"/>
      <c r="N179" s="112">
        <v>19821.0</v>
      </c>
      <c r="O179" s="103">
        <f t="shared" si="5"/>
        <v>3765.99</v>
      </c>
      <c r="P179" s="107">
        <f t="shared" si="6"/>
        <v>23586.99</v>
      </c>
      <c r="Q179" s="283">
        <f t="shared" si="7"/>
        <v>23586.99</v>
      </c>
      <c r="R179" s="106"/>
      <c r="S179" s="112">
        <v>20416.0</v>
      </c>
      <c r="T179" s="109">
        <f t="shared" si="8"/>
        <v>3879.04</v>
      </c>
      <c r="U179" s="109">
        <f t="shared" si="9"/>
        <v>24295.04</v>
      </c>
      <c r="V179" s="281">
        <f t="shared" si="10"/>
        <v>24295.04</v>
      </c>
      <c r="W179" s="111"/>
      <c r="X179" s="112">
        <v>25080.0</v>
      </c>
      <c r="Y179" s="109">
        <f t="shared" si="11"/>
        <v>4765.2</v>
      </c>
      <c r="Z179" s="109">
        <f t="shared" si="12"/>
        <v>29845.2</v>
      </c>
      <c r="AA179" s="285">
        <f t="shared" si="13"/>
        <v>29845.2</v>
      </c>
      <c r="AB179" s="286">
        <f t="shared" si="14"/>
        <v>19821</v>
      </c>
      <c r="AC179" s="286">
        <f t="shared" si="15"/>
        <v>25080</v>
      </c>
    </row>
    <row r="180" ht="15.75" customHeight="1">
      <c r="A180" s="101"/>
      <c r="B180" s="276">
        <v>168.0</v>
      </c>
      <c r="C180" s="277" t="s">
        <v>259</v>
      </c>
      <c r="D180" s="116" t="s">
        <v>83</v>
      </c>
      <c r="E180" s="278">
        <v>1.0</v>
      </c>
      <c r="F180" s="279"/>
      <c r="G180" s="279"/>
      <c r="H180" s="101"/>
      <c r="I180" s="280">
        <v>4372.94</v>
      </c>
      <c r="J180" s="103">
        <f t="shared" si="2"/>
        <v>830.8586</v>
      </c>
      <c r="K180" s="103">
        <f t="shared" si="3"/>
        <v>5203.7986</v>
      </c>
      <c r="L180" s="281">
        <f t="shared" si="4"/>
        <v>5203.7986</v>
      </c>
      <c r="M180" s="106"/>
      <c r="N180" s="112">
        <v>9485.0</v>
      </c>
      <c r="O180" s="103">
        <f t="shared" si="5"/>
        <v>1802.15</v>
      </c>
      <c r="P180" s="107">
        <f t="shared" si="6"/>
        <v>11287.15</v>
      </c>
      <c r="Q180" s="281">
        <f t="shared" si="7"/>
        <v>11287.15</v>
      </c>
      <c r="R180" s="106"/>
      <c r="S180" s="112">
        <v>9770.0</v>
      </c>
      <c r="T180" s="109">
        <f t="shared" si="8"/>
        <v>1856.3</v>
      </c>
      <c r="U180" s="109">
        <f t="shared" si="9"/>
        <v>11626.3</v>
      </c>
      <c r="V180" s="284">
        <f t="shared" si="10"/>
        <v>11626.3</v>
      </c>
      <c r="W180" s="111"/>
      <c r="X180" s="112">
        <v>12768.0</v>
      </c>
      <c r="Y180" s="109">
        <f t="shared" si="11"/>
        <v>2425.92</v>
      </c>
      <c r="Z180" s="109">
        <f t="shared" si="12"/>
        <v>15193.92</v>
      </c>
      <c r="AA180" s="285">
        <f t="shared" si="13"/>
        <v>15193.92</v>
      </c>
      <c r="AB180" s="286">
        <f t="shared" si="14"/>
        <v>4372.94</v>
      </c>
      <c r="AC180" s="286">
        <f t="shared" si="15"/>
        <v>12768</v>
      </c>
    </row>
    <row r="181" ht="15.75" customHeight="1">
      <c r="A181" s="101"/>
      <c r="B181" s="276">
        <v>169.0</v>
      </c>
      <c r="C181" s="277" t="s">
        <v>260</v>
      </c>
      <c r="D181" s="116" t="s">
        <v>116</v>
      </c>
      <c r="E181" s="278">
        <v>1.0</v>
      </c>
      <c r="F181" s="279"/>
      <c r="G181" s="279"/>
      <c r="H181" s="101"/>
      <c r="I181" s="280">
        <v>3952.47</v>
      </c>
      <c r="J181" s="103">
        <f t="shared" si="2"/>
        <v>750.9693</v>
      </c>
      <c r="K181" s="103">
        <f t="shared" si="3"/>
        <v>4703.4393</v>
      </c>
      <c r="L181" s="281">
        <f t="shared" si="4"/>
        <v>4703.4393</v>
      </c>
      <c r="M181" s="106"/>
      <c r="N181" s="112">
        <v>13430.0</v>
      </c>
      <c r="O181" s="103">
        <f t="shared" si="5"/>
        <v>2551.7</v>
      </c>
      <c r="P181" s="107">
        <f t="shared" si="6"/>
        <v>15981.7</v>
      </c>
      <c r="Q181" s="281">
        <f t="shared" si="7"/>
        <v>15981.7</v>
      </c>
      <c r="R181" s="106"/>
      <c r="S181" s="112">
        <v>13833.0</v>
      </c>
      <c r="T181" s="109">
        <f t="shared" si="8"/>
        <v>2628.27</v>
      </c>
      <c r="U181" s="109">
        <f t="shared" si="9"/>
        <v>16461.27</v>
      </c>
      <c r="V181" s="284">
        <f t="shared" si="10"/>
        <v>16461.27</v>
      </c>
      <c r="W181" s="111"/>
      <c r="X181" s="112">
        <v>14592.0</v>
      </c>
      <c r="Y181" s="109">
        <f t="shared" si="11"/>
        <v>2772.48</v>
      </c>
      <c r="Z181" s="109">
        <f t="shared" si="12"/>
        <v>17364.48</v>
      </c>
      <c r="AA181" s="285">
        <f t="shared" si="13"/>
        <v>17364.48</v>
      </c>
      <c r="AB181" s="286">
        <f t="shared" si="14"/>
        <v>3952.47</v>
      </c>
      <c r="AC181" s="286">
        <f t="shared" si="15"/>
        <v>14592</v>
      </c>
    </row>
    <row r="182" ht="15.75" customHeight="1">
      <c r="A182" s="101"/>
      <c r="B182" s="276">
        <v>170.0</v>
      </c>
      <c r="C182" s="277" t="s">
        <v>261</v>
      </c>
      <c r="D182" s="116" t="s">
        <v>111</v>
      </c>
      <c r="E182" s="278">
        <v>1.0</v>
      </c>
      <c r="F182" s="279"/>
      <c r="G182" s="279"/>
      <c r="H182" s="101"/>
      <c r="I182" s="280">
        <v>897.2</v>
      </c>
      <c r="J182" s="103">
        <f t="shared" si="2"/>
        <v>170.468</v>
      </c>
      <c r="K182" s="103">
        <f t="shared" si="3"/>
        <v>1067.668</v>
      </c>
      <c r="L182" s="281">
        <f t="shared" si="4"/>
        <v>1067.668</v>
      </c>
      <c r="M182" s="106"/>
      <c r="N182" s="112">
        <v>2100.0</v>
      </c>
      <c r="O182" s="103">
        <f t="shared" si="5"/>
        <v>399</v>
      </c>
      <c r="P182" s="107">
        <f t="shared" si="6"/>
        <v>2499</v>
      </c>
      <c r="Q182" s="281">
        <f t="shared" si="7"/>
        <v>2499</v>
      </c>
      <c r="R182" s="106"/>
      <c r="S182" s="112">
        <v>2163.0</v>
      </c>
      <c r="T182" s="109">
        <f t="shared" si="8"/>
        <v>410.97</v>
      </c>
      <c r="U182" s="109">
        <f t="shared" si="9"/>
        <v>2573.97</v>
      </c>
      <c r="V182" s="284">
        <f t="shared" si="10"/>
        <v>2573.97</v>
      </c>
      <c r="W182" s="111"/>
      <c r="X182" s="112">
        <v>2166.0</v>
      </c>
      <c r="Y182" s="109">
        <f t="shared" si="11"/>
        <v>411.54</v>
      </c>
      <c r="Z182" s="109">
        <f t="shared" si="12"/>
        <v>2577.54</v>
      </c>
      <c r="AA182" s="285">
        <f t="shared" si="13"/>
        <v>2577.54</v>
      </c>
      <c r="AB182" s="286">
        <f t="shared" si="14"/>
        <v>897.2</v>
      </c>
      <c r="AC182" s="286">
        <f t="shared" si="15"/>
        <v>2166</v>
      </c>
    </row>
    <row r="183" ht="15.75" customHeight="1">
      <c r="A183" s="101"/>
      <c r="B183" s="276">
        <v>171.0</v>
      </c>
      <c r="C183" s="277" t="s">
        <v>262</v>
      </c>
      <c r="D183" s="116" t="s">
        <v>116</v>
      </c>
      <c r="E183" s="278">
        <v>1.0</v>
      </c>
      <c r="F183" s="279"/>
      <c r="G183" s="279"/>
      <c r="H183" s="101"/>
      <c r="I183" s="280">
        <v>58530.12</v>
      </c>
      <c r="J183" s="103">
        <f t="shared" si="2"/>
        <v>11120.7228</v>
      </c>
      <c r="K183" s="103">
        <f t="shared" si="3"/>
        <v>69650.8428</v>
      </c>
      <c r="L183" s="289">
        <f t="shared" si="4"/>
        <v>69650.8428</v>
      </c>
      <c r="M183" s="106"/>
      <c r="N183" s="112">
        <v>55628.0</v>
      </c>
      <c r="O183" s="103">
        <f t="shared" si="5"/>
        <v>10569.32</v>
      </c>
      <c r="P183" s="107">
        <f t="shared" si="6"/>
        <v>66197.32</v>
      </c>
      <c r="Q183" s="283">
        <f t="shared" si="7"/>
        <v>66197.32</v>
      </c>
      <c r="R183" s="106"/>
      <c r="S183" s="112">
        <v>57297.0</v>
      </c>
      <c r="T183" s="109">
        <f t="shared" si="8"/>
        <v>10886.43</v>
      </c>
      <c r="U183" s="109">
        <f t="shared" si="9"/>
        <v>68183.43</v>
      </c>
      <c r="V183" s="281">
        <f t="shared" si="10"/>
        <v>68183.43</v>
      </c>
      <c r="W183" s="111"/>
      <c r="X183" s="112">
        <v>49818.0</v>
      </c>
      <c r="Y183" s="109">
        <f t="shared" si="11"/>
        <v>9465.42</v>
      </c>
      <c r="Z183" s="109">
        <f t="shared" si="12"/>
        <v>59283.42</v>
      </c>
      <c r="AA183" s="285">
        <f t="shared" si="13"/>
        <v>59283.42</v>
      </c>
      <c r="AB183" s="286">
        <f t="shared" si="14"/>
        <v>49818</v>
      </c>
      <c r="AC183" s="286">
        <f t="shared" si="15"/>
        <v>58530.12</v>
      </c>
    </row>
    <row r="184" ht="15.75" customHeight="1">
      <c r="A184" s="101"/>
      <c r="B184" s="276">
        <v>172.0</v>
      </c>
      <c r="C184" s="277" t="s">
        <v>263</v>
      </c>
      <c r="D184" s="116" t="s">
        <v>116</v>
      </c>
      <c r="E184" s="278">
        <v>1.0</v>
      </c>
      <c r="F184" s="279"/>
      <c r="G184" s="279"/>
      <c r="H184" s="101"/>
      <c r="I184" s="280">
        <v>60548.4</v>
      </c>
      <c r="J184" s="103">
        <f t="shared" si="2"/>
        <v>11504.196</v>
      </c>
      <c r="K184" s="103">
        <f t="shared" si="3"/>
        <v>72052.596</v>
      </c>
      <c r="L184" s="289">
        <f t="shared" si="4"/>
        <v>72052.596</v>
      </c>
      <c r="M184" s="106"/>
      <c r="N184" s="112">
        <v>57546.0</v>
      </c>
      <c r="O184" s="103">
        <f t="shared" si="5"/>
        <v>10933.74</v>
      </c>
      <c r="P184" s="107">
        <f t="shared" si="6"/>
        <v>68479.74</v>
      </c>
      <c r="Q184" s="283">
        <f t="shared" si="7"/>
        <v>68479.74</v>
      </c>
      <c r="R184" s="106"/>
      <c r="S184" s="112">
        <v>59272.0</v>
      </c>
      <c r="T184" s="109">
        <f t="shared" si="8"/>
        <v>11261.68</v>
      </c>
      <c r="U184" s="109">
        <f t="shared" si="9"/>
        <v>70533.68</v>
      </c>
      <c r="V184" s="281">
        <f t="shared" si="10"/>
        <v>70533.68</v>
      </c>
      <c r="W184" s="111"/>
      <c r="X184" s="112">
        <v>60306.0</v>
      </c>
      <c r="Y184" s="109">
        <f t="shared" si="11"/>
        <v>11458.14</v>
      </c>
      <c r="Z184" s="109">
        <f t="shared" si="12"/>
        <v>71764.14</v>
      </c>
      <c r="AA184" s="285">
        <f t="shared" si="13"/>
        <v>71764.14</v>
      </c>
      <c r="AB184" s="286">
        <f t="shared" si="14"/>
        <v>57546</v>
      </c>
      <c r="AC184" s="286">
        <f t="shared" si="15"/>
        <v>60548.4</v>
      </c>
    </row>
    <row r="185" ht="15.75" customHeight="1">
      <c r="A185" s="101"/>
      <c r="B185" s="276">
        <v>173.0</v>
      </c>
      <c r="C185" s="277" t="s">
        <v>264</v>
      </c>
      <c r="D185" s="116" t="s">
        <v>96</v>
      </c>
      <c r="E185" s="278">
        <v>1.0</v>
      </c>
      <c r="F185" s="279"/>
      <c r="G185" s="279"/>
      <c r="H185" s="101"/>
      <c r="I185" s="280">
        <v>6223.03</v>
      </c>
      <c r="J185" s="103">
        <f t="shared" si="2"/>
        <v>1182.3757</v>
      </c>
      <c r="K185" s="103">
        <f t="shared" si="3"/>
        <v>7405.4057</v>
      </c>
      <c r="L185" s="289">
        <f t="shared" si="4"/>
        <v>7405.4057</v>
      </c>
      <c r="M185" s="106"/>
      <c r="N185" s="112">
        <v>5914.0</v>
      </c>
      <c r="O185" s="103">
        <f t="shared" si="5"/>
        <v>1123.66</v>
      </c>
      <c r="P185" s="107">
        <f t="shared" si="6"/>
        <v>7037.66</v>
      </c>
      <c r="Q185" s="283">
        <f t="shared" si="7"/>
        <v>7037.66</v>
      </c>
      <c r="R185" s="106"/>
      <c r="S185" s="112">
        <v>6091.0</v>
      </c>
      <c r="T185" s="109">
        <f t="shared" si="8"/>
        <v>1157.29</v>
      </c>
      <c r="U185" s="109">
        <f t="shared" si="9"/>
        <v>7248.29</v>
      </c>
      <c r="V185" s="281">
        <f t="shared" si="10"/>
        <v>7248.29</v>
      </c>
      <c r="W185" s="111"/>
      <c r="X185" s="112">
        <v>7752.0</v>
      </c>
      <c r="Y185" s="109">
        <f t="shared" si="11"/>
        <v>1472.88</v>
      </c>
      <c r="Z185" s="109">
        <f t="shared" si="12"/>
        <v>9224.88</v>
      </c>
      <c r="AA185" s="285">
        <f t="shared" si="13"/>
        <v>9224.88</v>
      </c>
      <c r="AB185" s="286">
        <f t="shared" si="14"/>
        <v>5914</v>
      </c>
      <c r="AC185" s="286">
        <f t="shared" si="15"/>
        <v>7752</v>
      </c>
    </row>
    <row r="186" ht="15.75" customHeight="1">
      <c r="A186" s="101"/>
      <c r="B186" s="276">
        <v>174.0</v>
      </c>
      <c r="C186" s="277" t="s">
        <v>265</v>
      </c>
      <c r="D186" s="116" t="s">
        <v>83</v>
      </c>
      <c r="E186" s="278">
        <v>1.0</v>
      </c>
      <c r="F186" s="279"/>
      <c r="G186" s="279"/>
      <c r="H186" s="101"/>
      <c r="I186" s="280">
        <v>20855.56</v>
      </c>
      <c r="J186" s="103">
        <f t="shared" si="2"/>
        <v>3962.5564</v>
      </c>
      <c r="K186" s="103">
        <f t="shared" si="3"/>
        <v>24818.1164</v>
      </c>
      <c r="L186" s="289">
        <f t="shared" si="4"/>
        <v>24818.1164</v>
      </c>
      <c r="M186" s="106"/>
      <c r="N186" s="112">
        <v>19821.0</v>
      </c>
      <c r="O186" s="103">
        <f t="shared" si="5"/>
        <v>3765.99</v>
      </c>
      <c r="P186" s="107">
        <f t="shared" si="6"/>
        <v>23586.99</v>
      </c>
      <c r="Q186" s="283">
        <f t="shared" si="7"/>
        <v>23586.99</v>
      </c>
      <c r="R186" s="106"/>
      <c r="S186" s="112">
        <v>20416.0</v>
      </c>
      <c r="T186" s="109">
        <f t="shared" si="8"/>
        <v>3879.04</v>
      </c>
      <c r="U186" s="109">
        <f t="shared" si="9"/>
        <v>24295.04</v>
      </c>
      <c r="V186" s="281">
        <f t="shared" si="10"/>
        <v>24295.04</v>
      </c>
      <c r="W186" s="111"/>
      <c r="X186" s="112">
        <v>25080.0</v>
      </c>
      <c r="Y186" s="109">
        <f t="shared" si="11"/>
        <v>4765.2</v>
      </c>
      <c r="Z186" s="109">
        <f t="shared" si="12"/>
        <v>29845.2</v>
      </c>
      <c r="AA186" s="285">
        <f t="shared" si="13"/>
        <v>29845.2</v>
      </c>
      <c r="AB186" s="286">
        <f t="shared" si="14"/>
        <v>19821</v>
      </c>
      <c r="AC186" s="286">
        <f t="shared" si="15"/>
        <v>25080</v>
      </c>
    </row>
    <row r="187" ht="15.75" customHeight="1">
      <c r="A187" s="101"/>
      <c r="B187" s="276">
        <v>175.0</v>
      </c>
      <c r="C187" s="277" t="s">
        <v>266</v>
      </c>
      <c r="D187" s="116" t="s">
        <v>96</v>
      </c>
      <c r="E187" s="278">
        <v>1.0</v>
      </c>
      <c r="F187" s="279"/>
      <c r="G187" s="279"/>
      <c r="H187" s="101"/>
      <c r="I187" s="280">
        <v>4017.34</v>
      </c>
      <c r="J187" s="103">
        <f t="shared" si="2"/>
        <v>763.2946</v>
      </c>
      <c r="K187" s="103">
        <f t="shared" si="3"/>
        <v>4780.6346</v>
      </c>
      <c r="L187" s="289">
        <f t="shared" si="4"/>
        <v>4780.6346</v>
      </c>
      <c r="M187" s="106"/>
      <c r="N187" s="112">
        <v>3796.0</v>
      </c>
      <c r="O187" s="103">
        <f t="shared" si="5"/>
        <v>721.24</v>
      </c>
      <c r="P187" s="107">
        <f t="shared" si="6"/>
        <v>4517.24</v>
      </c>
      <c r="Q187" s="283">
        <f t="shared" si="7"/>
        <v>4517.24</v>
      </c>
      <c r="R187" s="106"/>
      <c r="S187" s="112">
        <v>3910.0</v>
      </c>
      <c r="T187" s="109">
        <f t="shared" si="8"/>
        <v>742.9</v>
      </c>
      <c r="U187" s="109">
        <f t="shared" si="9"/>
        <v>4652.9</v>
      </c>
      <c r="V187" s="281">
        <f t="shared" si="10"/>
        <v>4652.9</v>
      </c>
      <c r="W187" s="111"/>
      <c r="X187" s="112">
        <v>5472.0</v>
      </c>
      <c r="Y187" s="109">
        <f t="shared" si="11"/>
        <v>1039.68</v>
      </c>
      <c r="Z187" s="109">
        <f t="shared" si="12"/>
        <v>6511.68</v>
      </c>
      <c r="AA187" s="285">
        <f t="shared" si="13"/>
        <v>6511.68</v>
      </c>
      <c r="AB187" s="286">
        <f t="shared" si="14"/>
        <v>3796</v>
      </c>
      <c r="AC187" s="286">
        <f t="shared" si="15"/>
        <v>5472</v>
      </c>
    </row>
    <row r="188" ht="15.75" customHeight="1">
      <c r="A188" s="101"/>
      <c r="B188" s="276">
        <v>176.0</v>
      </c>
      <c r="C188" s="277" t="s">
        <v>267</v>
      </c>
      <c r="D188" s="116" t="s">
        <v>83</v>
      </c>
      <c r="E188" s="278">
        <v>1.0</v>
      </c>
      <c r="F188" s="279"/>
      <c r="G188" s="279"/>
      <c r="H188" s="101"/>
      <c r="I188" s="280">
        <v>53820.8</v>
      </c>
      <c r="J188" s="103">
        <f t="shared" si="2"/>
        <v>10225.952</v>
      </c>
      <c r="K188" s="103">
        <f t="shared" si="3"/>
        <v>64046.752</v>
      </c>
      <c r="L188" s="289">
        <f t="shared" si="4"/>
        <v>64046.752</v>
      </c>
      <c r="M188" s="106"/>
      <c r="N188" s="112">
        <v>51152.0</v>
      </c>
      <c r="O188" s="103">
        <f t="shared" si="5"/>
        <v>9718.88</v>
      </c>
      <c r="P188" s="107">
        <f t="shared" si="6"/>
        <v>60870.88</v>
      </c>
      <c r="Q188" s="283">
        <f t="shared" si="7"/>
        <v>60870.88</v>
      </c>
      <c r="R188" s="106"/>
      <c r="S188" s="112">
        <v>52687.0</v>
      </c>
      <c r="T188" s="109">
        <f t="shared" si="8"/>
        <v>10010.53</v>
      </c>
      <c r="U188" s="109">
        <f t="shared" si="9"/>
        <v>62697.53</v>
      </c>
      <c r="V188" s="281">
        <f t="shared" si="10"/>
        <v>62697.53</v>
      </c>
      <c r="W188" s="111"/>
      <c r="X188" s="112">
        <v>55518.0</v>
      </c>
      <c r="Y188" s="109">
        <f t="shared" si="11"/>
        <v>10548.42</v>
      </c>
      <c r="Z188" s="109">
        <f t="shared" si="12"/>
        <v>66066.42</v>
      </c>
      <c r="AA188" s="285">
        <f t="shared" si="13"/>
        <v>66066.42</v>
      </c>
      <c r="AB188" s="286">
        <f t="shared" si="14"/>
        <v>51152</v>
      </c>
      <c r="AC188" s="286">
        <f t="shared" si="15"/>
        <v>55518</v>
      </c>
    </row>
    <row r="189" ht="15.75" customHeight="1">
      <c r="A189" s="101"/>
      <c r="B189" s="276">
        <v>177.0</v>
      </c>
      <c r="C189" s="277" t="s">
        <v>268</v>
      </c>
      <c r="D189" s="116" t="s">
        <v>83</v>
      </c>
      <c r="E189" s="278">
        <v>1.0</v>
      </c>
      <c r="F189" s="279"/>
      <c r="G189" s="279"/>
      <c r="H189" s="101"/>
      <c r="I189" s="280">
        <v>64277.37</v>
      </c>
      <c r="J189" s="103">
        <f t="shared" si="2"/>
        <v>12212.7003</v>
      </c>
      <c r="K189" s="103">
        <f t="shared" si="3"/>
        <v>76490.0703</v>
      </c>
      <c r="L189" s="287">
        <f t="shared" si="4"/>
        <v>76490.0703</v>
      </c>
      <c r="M189" s="106"/>
      <c r="N189" s="112">
        <v>73531.0</v>
      </c>
      <c r="O189" s="103">
        <f t="shared" si="5"/>
        <v>13970.89</v>
      </c>
      <c r="P189" s="107">
        <f t="shared" si="6"/>
        <v>87501.89</v>
      </c>
      <c r="Q189" s="281">
        <f t="shared" si="7"/>
        <v>87501.89</v>
      </c>
      <c r="R189" s="106"/>
      <c r="S189" s="112">
        <v>75737.0</v>
      </c>
      <c r="T189" s="109">
        <f t="shared" si="8"/>
        <v>14390.03</v>
      </c>
      <c r="U189" s="109">
        <f t="shared" si="9"/>
        <v>90127.03</v>
      </c>
      <c r="V189" s="284">
        <f t="shared" si="10"/>
        <v>90127.03</v>
      </c>
      <c r="W189" s="111"/>
      <c r="X189" s="112">
        <v>75240.0</v>
      </c>
      <c r="Y189" s="109">
        <f t="shared" si="11"/>
        <v>14295.6</v>
      </c>
      <c r="Z189" s="109">
        <f t="shared" si="12"/>
        <v>89535.6</v>
      </c>
      <c r="AA189" s="285">
        <f t="shared" si="13"/>
        <v>89535.6</v>
      </c>
      <c r="AB189" s="286">
        <f t="shared" si="14"/>
        <v>64277.37</v>
      </c>
      <c r="AC189" s="286">
        <f t="shared" si="15"/>
        <v>75737</v>
      </c>
    </row>
    <row r="190" ht="15.75" customHeight="1">
      <c r="A190" s="101"/>
      <c r="B190" s="276">
        <v>178.0</v>
      </c>
      <c r="C190" s="277" t="s">
        <v>269</v>
      </c>
      <c r="D190" s="116" t="s">
        <v>83</v>
      </c>
      <c r="E190" s="278">
        <v>1.0</v>
      </c>
      <c r="F190" s="279"/>
      <c r="G190" s="279"/>
      <c r="H190" s="101"/>
      <c r="I190" s="280">
        <v>45411.3</v>
      </c>
      <c r="J190" s="103">
        <f t="shared" si="2"/>
        <v>8628.147</v>
      </c>
      <c r="K190" s="103">
        <f t="shared" si="3"/>
        <v>54039.447</v>
      </c>
      <c r="L190" s="289">
        <f t="shared" si="4"/>
        <v>54039.447</v>
      </c>
      <c r="M190" s="106"/>
      <c r="N190" s="112">
        <v>43160.0</v>
      </c>
      <c r="O190" s="103">
        <f t="shared" si="5"/>
        <v>8200.4</v>
      </c>
      <c r="P190" s="107">
        <f t="shared" si="6"/>
        <v>51360.4</v>
      </c>
      <c r="Q190" s="283">
        <f t="shared" si="7"/>
        <v>51360.4</v>
      </c>
      <c r="R190" s="106"/>
      <c r="S190" s="112">
        <v>44455.0</v>
      </c>
      <c r="T190" s="109">
        <f t="shared" si="8"/>
        <v>8446.45</v>
      </c>
      <c r="U190" s="109">
        <f t="shared" si="9"/>
        <v>52901.45</v>
      </c>
      <c r="V190" s="281">
        <f t="shared" si="10"/>
        <v>52901.45</v>
      </c>
      <c r="W190" s="111"/>
      <c r="X190" s="112">
        <v>47538.0</v>
      </c>
      <c r="Y190" s="109">
        <f t="shared" si="11"/>
        <v>9032.22</v>
      </c>
      <c r="Z190" s="109">
        <f t="shared" si="12"/>
        <v>56570.22</v>
      </c>
      <c r="AA190" s="285">
        <f t="shared" si="13"/>
        <v>56570.22</v>
      </c>
      <c r="AB190" s="286">
        <f t="shared" si="14"/>
        <v>43160</v>
      </c>
      <c r="AC190" s="286">
        <f t="shared" si="15"/>
        <v>47538</v>
      </c>
    </row>
    <row r="191" ht="15.75" customHeight="1">
      <c r="A191" s="101"/>
      <c r="B191" s="276">
        <v>179.0</v>
      </c>
      <c r="C191" s="277" t="s">
        <v>270</v>
      </c>
      <c r="D191" s="116" t="s">
        <v>83</v>
      </c>
      <c r="E191" s="278">
        <v>1.0</v>
      </c>
      <c r="F191" s="279"/>
      <c r="G191" s="279"/>
      <c r="H191" s="101"/>
      <c r="I191" s="280">
        <v>44738.54</v>
      </c>
      <c r="J191" s="103">
        <f t="shared" si="2"/>
        <v>8500.3226</v>
      </c>
      <c r="K191" s="103">
        <f t="shared" si="3"/>
        <v>53238.8626</v>
      </c>
      <c r="L191" s="289">
        <f t="shared" si="4"/>
        <v>53238.8626</v>
      </c>
      <c r="M191" s="106"/>
      <c r="N191" s="112">
        <v>42520.0</v>
      </c>
      <c r="O191" s="103">
        <f t="shared" si="5"/>
        <v>8078.8</v>
      </c>
      <c r="P191" s="107">
        <f t="shared" si="6"/>
        <v>50598.8</v>
      </c>
      <c r="Q191" s="283">
        <f t="shared" si="7"/>
        <v>50598.8</v>
      </c>
      <c r="R191" s="106"/>
      <c r="S191" s="112">
        <v>43796.0</v>
      </c>
      <c r="T191" s="109">
        <f t="shared" si="8"/>
        <v>8321.24</v>
      </c>
      <c r="U191" s="109">
        <f t="shared" si="9"/>
        <v>52117.24</v>
      </c>
      <c r="V191" s="281">
        <f t="shared" si="10"/>
        <v>52117.24</v>
      </c>
      <c r="W191" s="111"/>
      <c r="X191" s="112">
        <v>49704.0</v>
      </c>
      <c r="Y191" s="109">
        <f t="shared" si="11"/>
        <v>9443.76</v>
      </c>
      <c r="Z191" s="109">
        <f t="shared" si="12"/>
        <v>59147.76</v>
      </c>
      <c r="AA191" s="285">
        <f t="shared" si="13"/>
        <v>59147.76</v>
      </c>
      <c r="AB191" s="286">
        <f t="shared" si="14"/>
        <v>42520</v>
      </c>
      <c r="AC191" s="286">
        <f t="shared" si="15"/>
        <v>49704</v>
      </c>
    </row>
    <row r="192" ht="15.75" customHeight="1">
      <c r="A192" s="101"/>
      <c r="B192" s="276">
        <v>180.0</v>
      </c>
      <c r="C192" s="277" t="s">
        <v>271</v>
      </c>
      <c r="D192" s="116" t="s">
        <v>83</v>
      </c>
      <c r="E192" s="278">
        <v>1.0</v>
      </c>
      <c r="F192" s="279"/>
      <c r="G192" s="279"/>
      <c r="H192" s="101"/>
      <c r="I192" s="280">
        <v>64277.37</v>
      </c>
      <c r="J192" s="103">
        <f t="shared" si="2"/>
        <v>12212.7003</v>
      </c>
      <c r="K192" s="103">
        <f t="shared" si="3"/>
        <v>76490.0703</v>
      </c>
      <c r="L192" s="287">
        <f t="shared" si="4"/>
        <v>76490.0703</v>
      </c>
      <c r="M192" s="106"/>
      <c r="N192" s="112">
        <v>67137.0</v>
      </c>
      <c r="O192" s="103">
        <f t="shared" si="5"/>
        <v>12756.03</v>
      </c>
      <c r="P192" s="107">
        <f t="shared" si="6"/>
        <v>79893.03</v>
      </c>
      <c r="Q192" s="281">
        <f t="shared" si="7"/>
        <v>79893.03</v>
      </c>
      <c r="R192" s="106"/>
      <c r="S192" s="112">
        <v>69151.0</v>
      </c>
      <c r="T192" s="109">
        <f t="shared" si="8"/>
        <v>13138.69</v>
      </c>
      <c r="U192" s="109">
        <f t="shared" si="9"/>
        <v>82289.69</v>
      </c>
      <c r="V192" s="284">
        <f t="shared" si="10"/>
        <v>82289.69</v>
      </c>
      <c r="W192" s="111"/>
      <c r="X192" s="112">
        <v>76152.0</v>
      </c>
      <c r="Y192" s="109">
        <f t="shared" si="11"/>
        <v>14468.88</v>
      </c>
      <c r="Z192" s="109">
        <f t="shared" si="12"/>
        <v>90620.88</v>
      </c>
      <c r="AA192" s="285">
        <f t="shared" si="13"/>
        <v>90620.88</v>
      </c>
      <c r="AB192" s="286">
        <f t="shared" si="14"/>
        <v>64277.37</v>
      </c>
      <c r="AC192" s="286">
        <f t="shared" si="15"/>
        <v>76152</v>
      </c>
    </row>
    <row r="193" ht="15.75" customHeight="1">
      <c r="A193" s="101"/>
      <c r="B193" s="276">
        <v>181.0</v>
      </c>
      <c r="C193" s="277" t="s">
        <v>272</v>
      </c>
      <c r="D193" s="116" t="s">
        <v>96</v>
      </c>
      <c r="E193" s="278">
        <v>1.0</v>
      </c>
      <c r="F193" s="279"/>
      <c r="G193" s="279"/>
      <c r="H193" s="101"/>
      <c r="I193" s="280">
        <v>28760.49</v>
      </c>
      <c r="J193" s="103">
        <f t="shared" si="2"/>
        <v>5464.4931</v>
      </c>
      <c r="K193" s="103">
        <f t="shared" si="3"/>
        <v>34224.9831</v>
      </c>
      <c r="L193" s="289">
        <f t="shared" si="4"/>
        <v>34224.9831</v>
      </c>
      <c r="M193" s="106"/>
      <c r="N193" s="112">
        <v>27334.0</v>
      </c>
      <c r="O193" s="103">
        <f t="shared" si="5"/>
        <v>5193.46</v>
      </c>
      <c r="P193" s="107">
        <f t="shared" si="6"/>
        <v>32527.46</v>
      </c>
      <c r="Q193" s="283">
        <f t="shared" si="7"/>
        <v>32527.46</v>
      </c>
      <c r="R193" s="106"/>
      <c r="S193" s="112">
        <v>28154.0</v>
      </c>
      <c r="T193" s="109">
        <f t="shared" si="8"/>
        <v>5349.26</v>
      </c>
      <c r="U193" s="109">
        <f t="shared" si="9"/>
        <v>33503.26</v>
      </c>
      <c r="V193" s="281">
        <f t="shared" si="10"/>
        <v>33503.26</v>
      </c>
      <c r="W193" s="111"/>
      <c r="X193" s="112">
        <v>25878.0</v>
      </c>
      <c r="Y193" s="109">
        <f t="shared" si="11"/>
        <v>4916.82</v>
      </c>
      <c r="Z193" s="109">
        <f t="shared" si="12"/>
        <v>30794.82</v>
      </c>
      <c r="AA193" s="285">
        <f t="shared" si="13"/>
        <v>30794.82</v>
      </c>
      <c r="AB193" s="286">
        <f t="shared" si="14"/>
        <v>25878</v>
      </c>
      <c r="AC193" s="286">
        <f t="shared" si="15"/>
        <v>28760.49</v>
      </c>
    </row>
    <row r="194" ht="15.75" customHeight="1">
      <c r="A194" s="101"/>
      <c r="B194" s="276">
        <v>182.0</v>
      </c>
      <c r="C194" s="277" t="s">
        <v>273</v>
      </c>
      <c r="D194" s="116" t="s">
        <v>83</v>
      </c>
      <c r="E194" s="278">
        <v>1.0</v>
      </c>
      <c r="F194" s="279"/>
      <c r="G194" s="279"/>
      <c r="H194" s="101"/>
      <c r="I194" s="280">
        <v>16482.62</v>
      </c>
      <c r="J194" s="103">
        <f t="shared" si="2"/>
        <v>3131.6978</v>
      </c>
      <c r="K194" s="103">
        <f t="shared" si="3"/>
        <v>19614.3178</v>
      </c>
      <c r="L194" s="289">
        <f t="shared" si="4"/>
        <v>19614.3178</v>
      </c>
      <c r="M194" s="106"/>
      <c r="N194" s="112">
        <v>15665.0</v>
      </c>
      <c r="O194" s="103">
        <f t="shared" si="5"/>
        <v>2976.35</v>
      </c>
      <c r="P194" s="107">
        <f t="shared" si="6"/>
        <v>18641.35</v>
      </c>
      <c r="Q194" s="283">
        <f t="shared" si="7"/>
        <v>18641.35</v>
      </c>
      <c r="R194" s="106"/>
      <c r="S194" s="112">
        <v>16135.0</v>
      </c>
      <c r="T194" s="109">
        <f t="shared" si="8"/>
        <v>3065.65</v>
      </c>
      <c r="U194" s="109">
        <f t="shared" si="9"/>
        <v>19200.65</v>
      </c>
      <c r="V194" s="281">
        <f t="shared" si="10"/>
        <v>19200.65</v>
      </c>
      <c r="W194" s="111"/>
      <c r="X194" s="112">
        <v>16644.0</v>
      </c>
      <c r="Y194" s="109">
        <f t="shared" si="11"/>
        <v>3162.36</v>
      </c>
      <c r="Z194" s="109">
        <f t="shared" si="12"/>
        <v>19806.36</v>
      </c>
      <c r="AA194" s="285">
        <f t="shared" si="13"/>
        <v>19806.36</v>
      </c>
      <c r="AB194" s="286">
        <f t="shared" si="14"/>
        <v>15665</v>
      </c>
      <c r="AC194" s="286">
        <f t="shared" si="15"/>
        <v>16644</v>
      </c>
    </row>
    <row r="195" ht="15.75" customHeight="1">
      <c r="A195" s="101"/>
      <c r="B195" s="276">
        <v>183.0</v>
      </c>
      <c r="C195" s="277" t="s">
        <v>274</v>
      </c>
      <c r="D195" s="116" t="s">
        <v>94</v>
      </c>
      <c r="E195" s="278">
        <v>1.0</v>
      </c>
      <c r="F195" s="279"/>
      <c r="G195" s="279"/>
      <c r="H195" s="101"/>
      <c r="I195" s="280">
        <v>20182.8</v>
      </c>
      <c r="J195" s="103">
        <f t="shared" si="2"/>
        <v>3834.732</v>
      </c>
      <c r="K195" s="103">
        <f t="shared" si="3"/>
        <v>24017.532</v>
      </c>
      <c r="L195" s="289">
        <f t="shared" si="4"/>
        <v>24017.532</v>
      </c>
      <c r="M195" s="106"/>
      <c r="N195" s="112">
        <v>18182.0</v>
      </c>
      <c r="O195" s="103">
        <f t="shared" si="5"/>
        <v>3454.58</v>
      </c>
      <c r="P195" s="107">
        <f t="shared" si="6"/>
        <v>21636.58</v>
      </c>
      <c r="Q195" s="283">
        <f t="shared" si="7"/>
        <v>21636.58</v>
      </c>
      <c r="R195" s="106"/>
      <c r="S195" s="112">
        <v>18727.0</v>
      </c>
      <c r="T195" s="109">
        <f t="shared" si="8"/>
        <v>3558.13</v>
      </c>
      <c r="U195" s="109">
        <f t="shared" si="9"/>
        <v>22285.13</v>
      </c>
      <c r="V195" s="281">
        <f t="shared" si="10"/>
        <v>22285.13</v>
      </c>
      <c r="W195" s="111"/>
      <c r="X195" s="112">
        <v>19152.0</v>
      </c>
      <c r="Y195" s="109">
        <f t="shared" si="11"/>
        <v>3638.88</v>
      </c>
      <c r="Z195" s="109">
        <f t="shared" si="12"/>
        <v>22790.88</v>
      </c>
      <c r="AA195" s="285">
        <f t="shared" si="13"/>
        <v>22790.88</v>
      </c>
      <c r="AB195" s="286">
        <f t="shared" si="14"/>
        <v>18182</v>
      </c>
      <c r="AC195" s="286">
        <f t="shared" si="15"/>
        <v>20182.8</v>
      </c>
    </row>
    <row r="196" ht="15.75" customHeight="1">
      <c r="A196" s="101"/>
      <c r="B196" s="276">
        <v>184.0</v>
      </c>
      <c r="C196" s="277" t="s">
        <v>275</v>
      </c>
      <c r="D196" s="116" t="s">
        <v>79</v>
      </c>
      <c r="E196" s="278">
        <v>1.0</v>
      </c>
      <c r="F196" s="279"/>
      <c r="G196" s="279"/>
      <c r="H196" s="101"/>
      <c r="I196" s="280">
        <v>66098.67</v>
      </c>
      <c r="J196" s="103">
        <f t="shared" si="2"/>
        <v>12558.7473</v>
      </c>
      <c r="K196" s="103">
        <f t="shared" si="3"/>
        <v>78657.4173</v>
      </c>
      <c r="L196" s="289">
        <f t="shared" si="4"/>
        <v>78657.4173</v>
      </c>
      <c r="M196" s="106"/>
      <c r="N196" s="112">
        <v>62342.0</v>
      </c>
      <c r="O196" s="103">
        <f t="shared" si="5"/>
        <v>11844.98</v>
      </c>
      <c r="P196" s="107">
        <f t="shared" si="6"/>
        <v>74186.98</v>
      </c>
      <c r="Q196" s="283">
        <f t="shared" si="7"/>
        <v>74186.98</v>
      </c>
      <c r="R196" s="106"/>
      <c r="S196" s="112">
        <v>64854.0</v>
      </c>
      <c r="T196" s="109">
        <f t="shared" si="8"/>
        <v>12322.26</v>
      </c>
      <c r="U196" s="109">
        <f t="shared" si="9"/>
        <v>77176.26</v>
      </c>
      <c r="V196" s="281">
        <f t="shared" si="10"/>
        <v>77176.26</v>
      </c>
      <c r="W196" s="111"/>
      <c r="X196" s="112">
        <v>86184.0</v>
      </c>
      <c r="Y196" s="109">
        <f t="shared" si="11"/>
        <v>16374.96</v>
      </c>
      <c r="Z196" s="109">
        <f t="shared" si="12"/>
        <v>102558.96</v>
      </c>
      <c r="AA196" s="285">
        <f t="shared" si="13"/>
        <v>102558.96</v>
      </c>
      <c r="AB196" s="286">
        <f t="shared" si="14"/>
        <v>62342</v>
      </c>
      <c r="AC196" s="286">
        <f t="shared" si="15"/>
        <v>86184</v>
      </c>
    </row>
    <row r="197" ht="15.75" customHeight="1">
      <c r="A197" s="101"/>
      <c r="B197" s="276">
        <v>185.0</v>
      </c>
      <c r="C197" s="277" t="s">
        <v>276</v>
      </c>
      <c r="D197" s="116" t="s">
        <v>96</v>
      </c>
      <c r="E197" s="278">
        <v>1.0</v>
      </c>
      <c r="F197" s="279"/>
      <c r="G197" s="279"/>
      <c r="H197" s="101"/>
      <c r="I197" s="280">
        <v>16482.62</v>
      </c>
      <c r="J197" s="103">
        <f t="shared" si="2"/>
        <v>3131.6978</v>
      </c>
      <c r="K197" s="103">
        <f t="shared" si="3"/>
        <v>19614.3178</v>
      </c>
      <c r="L197" s="287">
        <f t="shared" si="4"/>
        <v>19614.3178</v>
      </c>
      <c r="M197" s="106"/>
      <c r="N197" s="112">
        <v>21665.0</v>
      </c>
      <c r="O197" s="103">
        <f t="shared" si="5"/>
        <v>4116.35</v>
      </c>
      <c r="P197" s="107">
        <f t="shared" si="6"/>
        <v>25781.35</v>
      </c>
      <c r="Q197" s="281">
        <f t="shared" si="7"/>
        <v>25781.35</v>
      </c>
      <c r="R197" s="106"/>
      <c r="S197" s="112">
        <v>22538.0</v>
      </c>
      <c r="T197" s="109">
        <f t="shared" si="8"/>
        <v>4282.22</v>
      </c>
      <c r="U197" s="109">
        <f t="shared" si="9"/>
        <v>26820.22</v>
      </c>
      <c r="V197" s="284">
        <f t="shared" si="10"/>
        <v>26820.22</v>
      </c>
      <c r="W197" s="111"/>
      <c r="X197" s="112">
        <v>30210.0</v>
      </c>
      <c r="Y197" s="109">
        <f t="shared" si="11"/>
        <v>5739.9</v>
      </c>
      <c r="Z197" s="109">
        <f t="shared" si="12"/>
        <v>35949.9</v>
      </c>
      <c r="AA197" s="285">
        <f t="shared" si="13"/>
        <v>35949.9</v>
      </c>
      <c r="AB197" s="286">
        <f t="shared" si="14"/>
        <v>16482.62</v>
      </c>
      <c r="AC197" s="286">
        <f t="shared" si="15"/>
        <v>30210</v>
      </c>
    </row>
    <row r="198" ht="15.75" customHeight="1">
      <c r="A198" s="101"/>
      <c r="B198" s="276">
        <v>186.0</v>
      </c>
      <c r="C198" s="277" t="s">
        <v>277</v>
      </c>
      <c r="D198" s="116" t="s">
        <v>79</v>
      </c>
      <c r="E198" s="278">
        <v>1.0</v>
      </c>
      <c r="F198" s="279"/>
      <c r="G198" s="279"/>
      <c r="H198" s="101"/>
      <c r="I198" s="280">
        <v>60548.4</v>
      </c>
      <c r="J198" s="103">
        <f t="shared" si="2"/>
        <v>11504.196</v>
      </c>
      <c r="K198" s="103">
        <f t="shared" si="3"/>
        <v>72052.596</v>
      </c>
      <c r="L198" s="287">
        <f t="shared" si="4"/>
        <v>72052.596</v>
      </c>
      <c r="M198" s="106"/>
      <c r="N198" s="112">
        <v>62342.0</v>
      </c>
      <c r="O198" s="103">
        <f t="shared" si="5"/>
        <v>11844.98</v>
      </c>
      <c r="P198" s="107">
        <f t="shared" si="6"/>
        <v>74186.98</v>
      </c>
      <c r="Q198" s="281">
        <f t="shared" si="7"/>
        <v>74186.98</v>
      </c>
      <c r="R198" s="106"/>
      <c r="S198" s="112">
        <v>64854.0</v>
      </c>
      <c r="T198" s="109">
        <f t="shared" si="8"/>
        <v>12322.26</v>
      </c>
      <c r="U198" s="109">
        <f t="shared" si="9"/>
        <v>77176.26</v>
      </c>
      <c r="V198" s="284">
        <f t="shared" si="10"/>
        <v>77176.26</v>
      </c>
      <c r="W198" s="111"/>
      <c r="X198" s="112">
        <v>62358.0</v>
      </c>
      <c r="Y198" s="109">
        <f t="shared" si="11"/>
        <v>11848.02</v>
      </c>
      <c r="Z198" s="109">
        <f t="shared" si="12"/>
        <v>74206.02</v>
      </c>
      <c r="AA198" s="285">
        <f t="shared" si="13"/>
        <v>74206.02</v>
      </c>
      <c r="AB198" s="286">
        <f t="shared" si="14"/>
        <v>60548.4</v>
      </c>
      <c r="AC198" s="286">
        <f t="shared" si="15"/>
        <v>64854</v>
      </c>
    </row>
    <row r="199" ht="15.75" customHeight="1">
      <c r="A199" s="101"/>
      <c r="B199" s="276">
        <v>187.0</v>
      </c>
      <c r="C199" s="277" t="s">
        <v>278</v>
      </c>
      <c r="D199" s="116" t="s">
        <v>79</v>
      </c>
      <c r="E199" s="278">
        <v>1.0</v>
      </c>
      <c r="F199" s="279"/>
      <c r="G199" s="279"/>
      <c r="H199" s="101"/>
      <c r="I199" s="280">
        <v>65594.1</v>
      </c>
      <c r="J199" s="103">
        <f t="shared" si="2"/>
        <v>12462.879</v>
      </c>
      <c r="K199" s="103">
        <f t="shared" si="3"/>
        <v>78056.979</v>
      </c>
      <c r="L199" s="289">
        <f t="shared" si="4"/>
        <v>78056.979</v>
      </c>
      <c r="M199" s="106"/>
      <c r="N199" s="112">
        <v>62342.0</v>
      </c>
      <c r="O199" s="103">
        <f t="shared" si="5"/>
        <v>11844.98</v>
      </c>
      <c r="P199" s="107">
        <f t="shared" si="6"/>
        <v>74186.98</v>
      </c>
      <c r="Q199" s="283">
        <f t="shared" si="7"/>
        <v>74186.98</v>
      </c>
      <c r="R199" s="106"/>
      <c r="S199" s="112">
        <v>64854.0</v>
      </c>
      <c r="T199" s="109">
        <f t="shared" si="8"/>
        <v>12322.26</v>
      </c>
      <c r="U199" s="109">
        <f t="shared" si="9"/>
        <v>77176.26</v>
      </c>
      <c r="V199" s="281">
        <f t="shared" si="10"/>
        <v>77176.26</v>
      </c>
      <c r="W199" s="111"/>
      <c r="X199" s="112">
        <v>85500.0</v>
      </c>
      <c r="Y199" s="109">
        <f t="shared" si="11"/>
        <v>16245</v>
      </c>
      <c r="Z199" s="109">
        <f t="shared" si="12"/>
        <v>101745</v>
      </c>
      <c r="AA199" s="285">
        <f t="shared" si="13"/>
        <v>101745</v>
      </c>
      <c r="AB199" s="286">
        <f t="shared" si="14"/>
        <v>62342</v>
      </c>
      <c r="AC199" s="286">
        <f t="shared" si="15"/>
        <v>85500</v>
      </c>
    </row>
    <row r="200" ht="15.75" customHeight="1">
      <c r="A200" s="101"/>
      <c r="B200" s="276">
        <v>188.0</v>
      </c>
      <c r="C200" s="277" t="s">
        <v>279</v>
      </c>
      <c r="D200" s="116" t="s">
        <v>79</v>
      </c>
      <c r="E200" s="278">
        <v>1.0</v>
      </c>
      <c r="F200" s="279"/>
      <c r="G200" s="279"/>
      <c r="H200" s="101"/>
      <c r="I200" s="280">
        <v>100577.62</v>
      </c>
      <c r="J200" s="103">
        <f t="shared" si="2"/>
        <v>19109.7478</v>
      </c>
      <c r="K200" s="103">
        <f t="shared" si="3"/>
        <v>119687.3678</v>
      </c>
      <c r="L200" s="287">
        <f t="shared" si="4"/>
        <v>119687.3678</v>
      </c>
      <c r="M200" s="106"/>
      <c r="N200" s="112">
        <v>112436.0</v>
      </c>
      <c r="O200" s="103">
        <f t="shared" si="5"/>
        <v>21362.84</v>
      </c>
      <c r="P200" s="107">
        <f t="shared" si="6"/>
        <v>133798.84</v>
      </c>
      <c r="Q200" s="281">
        <f t="shared" si="7"/>
        <v>133798.84</v>
      </c>
      <c r="R200" s="106"/>
      <c r="S200" s="112">
        <v>116967.0</v>
      </c>
      <c r="T200" s="109">
        <f t="shared" si="8"/>
        <v>22223.73</v>
      </c>
      <c r="U200" s="109">
        <f t="shared" si="9"/>
        <v>139190.73</v>
      </c>
      <c r="V200" s="284">
        <f t="shared" si="10"/>
        <v>139190.73</v>
      </c>
      <c r="W200" s="111"/>
      <c r="X200" s="112">
        <v>153900.0</v>
      </c>
      <c r="Y200" s="109">
        <f t="shared" si="11"/>
        <v>29241</v>
      </c>
      <c r="Z200" s="109">
        <f t="shared" si="12"/>
        <v>183141</v>
      </c>
      <c r="AA200" s="285">
        <f t="shared" si="13"/>
        <v>183141</v>
      </c>
      <c r="AB200" s="286">
        <f t="shared" si="14"/>
        <v>100577.62</v>
      </c>
      <c r="AC200" s="286">
        <f t="shared" si="15"/>
        <v>153900</v>
      </c>
    </row>
    <row r="201" ht="15.75" customHeight="1">
      <c r="A201" s="101"/>
      <c r="B201" s="276">
        <v>189.0</v>
      </c>
      <c r="C201" s="277" t="s">
        <v>280</v>
      </c>
      <c r="D201" s="116" t="s">
        <v>79</v>
      </c>
      <c r="E201" s="278">
        <v>1.0</v>
      </c>
      <c r="F201" s="279"/>
      <c r="G201" s="279"/>
      <c r="H201" s="101"/>
      <c r="I201" s="280">
        <v>329652.4</v>
      </c>
      <c r="J201" s="103">
        <f t="shared" si="2"/>
        <v>62633.956</v>
      </c>
      <c r="K201" s="103">
        <f t="shared" si="3"/>
        <v>392286.356</v>
      </c>
      <c r="L201" s="287">
        <f t="shared" si="4"/>
        <v>392286.356</v>
      </c>
      <c r="M201" s="106"/>
      <c r="N201" s="112">
        <v>408723.0</v>
      </c>
      <c r="O201" s="103">
        <f t="shared" si="5"/>
        <v>77657.37</v>
      </c>
      <c r="P201" s="107">
        <f t="shared" si="6"/>
        <v>486380.37</v>
      </c>
      <c r="Q201" s="281">
        <f t="shared" si="7"/>
        <v>486380.37</v>
      </c>
      <c r="R201" s="106"/>
      <c r="S201" s="112">
        <v>425195.0</v>
      </c>
      <c r="T201" s="109">
        <f t="shared" si="8"/>
        <v>80787.05</v>
      </c>
      <c r="U201" s="109">
        <f t="shared" si="9"/>
        <v>505982.05</v>
      </c>
      <c r="V201" s="284">
        <f t="shared" si="10"/>
        <v>505982.05</v>
      </c>
      <c r="W201" s="111"/>
      <c r="X201" s="112">
        <v>467400.0</v>
      </c>
      <c r="Y201" s="109">
        <f t="shared" si="11"/>
        <v>88806</v>
      </c>
      <c r="Z201" s="109">
        <f t="shared" si="12"/>
        <v>556206</v>
      </c>
      <c r="AA201" s="285">
        <f t="shared" si="13"/>
        <v>556206</v>
      </c>
      <c r="AB201" s="286">
        <f t="shared" si="14"/>
        <v>329652.4</v>
      </c>
      <c r="AC201" s="286">
        <f t="shared" si="15"/>
        <v>467400</v>
      </c>
    </row>
    <row r="202" ht="15.75" customHeight="1">
      <c r="A202" s="101"/>
      <c r="B202" s="276">
        <v>190.0</v>
      </c>
      <c r="C202" s="277" t="s">
        <v>281</v>
      </c>
      <c r="D202" s="116" t="s">
        <v>79</v>
      </c>
      <c r="E202" s="278">
        <v>1.0</v>
      </c>
      <c r="F202" s="279"/>
      <c r="G202" s="279"/>
      <c r="H202" s="101"/>
      <c r="I202" s="280">
        <v>139429.51</v>
      </c>
      <c r="J202" s="103">
        <f t="shared" si="2"/>
        <v>26491.6069</v>
      </c>
      <c r="K202" s="103">
        <f t="shared" si="3"/>
        <v>165921.1169</v>
      </c>
      <c r="L202" s="287">
        <f t="shared" si="4"/>
        <v>165921.1169</v>
      </c>
      <c r="M202" s="106"/>
      <c r="N202" s="112">
        <v>145320.0</v>
      </c>
      <c r="O202" s="103">
        <f t="shared" si="5"/>
        <v>27610.8</v>
      </c>
      <c r="P202" s="107">
        <f t="shared" si="6"/>
        <v>172930.8</v>
      </c>
      <c r="Q202" s="281">
        <f t="shared" si="7"/>
        <v>172930.8</v>
      </c>
      <c r="R202" s="106"/>
      <c r="S202" s="112">
        <v>151176.0</v>
      </c>
      <c r="T202" s="109">
        <f t="shared" si="8"/>
        <v>28723.44</v>
      </c>
      <c r="U202" s="109">
        <f t="shared" si="9"/>
        <v>179899.44</v>
      </c>
      <c r="V202" s="284">
        <f t="shared" si="10"/>
        <v>179899.44</v>
      </c>
      <c r="W202" s="111"/>
      <c r="X202" s="112">
        <v>190380.0</v>
      </c>
      <c r="Y202" s="109">
        <f t="shared" si="11"/>
        <v>36172.2</v>
      </c>
      <c r="Z202" s="109">
        <f t="shared" si="12"/>
        <v>226552.2</v>
      </c>
      <c r="AA202" s="285">
        <f t="shared" si="13"/>
        <v>226552.2</v>
      </c>
      <c r="AB202" s="286">
        <f t="shared" si="14"/>
        <v>139429.51</v>
      </c>
      <c r="AC202" s="286">
        <f t="shared" si="15"/>
        <v>190380</v>
      </c>
    </row>
    <row r="203" ht="15.75" customHeight="1">
      <c r="A203" s="101"/>
      <c r="B203" s="276">
        <v>191.0</v>
      </c>
      <c r="C203" s="277" t="s">
        <v>282</v>
      </c>
      <c r="D203" s="116" t="s">
        <v>79</v>
      </c>
      <c r="E203" s="278">
        <v>1.0</v>
      </c>
      <c r="F203" s="279"/>
      <c r="G203" s="279"/>
      <c r="H203" s="101"/>
      <c r="I203" s="280">
        <v>163480.68</v>
      </c>
      <c r="J203" s="103">
        <f t="shared" si="2"/>
        <v>31061.3292</v>
      </c>
      <c r="K203" s="103">
        <f t="shared" si="3"/>
        <v>194542.0092</v>
      </c>
      <c r="L203" s="287">
        <f t="shared" si="4"/>
        <v>194542.0092</v>
      </c>
      <c r="M203" s="106"/>
      <c r="N203" s="112">
        <v>185374.0</v>
      </c>
      <c r="O203" s="103">
        <f t="shared" si="5"/>
        <v>35221.06</v>
      </c>
      <c r="P203" s="107">
        <f t="shared" si="6"/>
        <v>220595.06</v>
      </c>
      <c r="Q203" s="281">
        <f t="shared" si="7"/>
        <v>220595.06</v>
      </c>
      <c r="R203" s="106"/>
      <c r="S203" s="112">
        <v>192845.0</v>
      </c>
      <c r="T203" s="109">
        <f t="shared" si="8"/>
        <v>36640.55</v>
      </c>
      <c r="U203" s="109">
        <f t="shared" si="9"/>
        <v>229485.55</v>
      </c>
      <c r="V203" s="284">
        <f t="shared" si="10"/>
        <v>229485.55</v>
      </c>
      <c r="W203" s="111"/>
      <c r="X203" s="112">
        <v>199500.0</v>
      </c>
      <c r="Y203" s="109">
        <f t="shared" si="11"/>
        <v>37905</v>
      </c>
      <c r="Z203" s="109">
        <f t="shared" si="12"/>
        <v>237405</v>
      </c>
      <c r="AA203" s="285">
        <f t="shared" si="13"/>
        <v>237405</v>
      </c>
      <c r="AB203" s="286">
        <f t="shared" si="14"/>
        <v>163480.68</v>
      </c>
      <c r="AC203" s="286">
        <f t="shared" si="15"/>
        <v>199500</v>
      </c>
    </row>
    <row r="204" ht="15.75" customHeight="1">
      <c r="A204" s="101"/>
      <c r="B204" s="276">
        <v>192.0</v>
      </c>
      <c r="C204" s="277" t="s">
        <v>283</v>
      </c>
      <c r="D204" s="116" t="s">
        <v>79</v>
      </c>
      <c r="E204" s="278">
        <v>1.0</v>
      </c>
      <c r="F204" s="279"/>
      <c r="G204" s="279"/>
      <c r="H204" s="101"/>
      <c r="I204" s="280">
        <v>203509.9</v>
      </c>
      <c r="J204" s="103">
        <f t="shared" si="2"/>
        <v>38666.881</v>
      </c>
      <c r="K204" s="103">
        <f t="shared" si="3"/>
        <v>242176.781</v>
      </c>
      <c r="L204" s="287">
        <f t="shared" si="4"/>
        <v>242176.781</v>
      </c>
      <c r="M204" s="106"/>
      <c r="N204" s="112">
        <v>235520.0</v>
      </c>
      <c r="O204" s="103">
        <f t="shared" si="5"/>
        <v>44748.8</v>
      </c>
      <c r="P204" s="107">
        <f t="shared" si="6"/>
        <v>280268.8</v>
      </c>
      <c r="Q204" s="281">
        <f t="shared" si="7"/>
        <v>280268.8</v>
      </c>
      <c r="R204" s="106"/>
      <c r="S204" s="112">
        <v>245011.0</v>
      </c>
      <c r="T204" s="109">
        <f t="shared" si="8"/>
        <v>46552.09</v>
      </c>
      <c r="U204" s="109">
        <f t="shared" si="9"/>
        <v>291563.09</v>
      </c>
      <c r="V204" s="284">
        <f t="shared" si="10"/>
        <v>291563.09</v>
      </c>
      <c r="W204" s="111"/>
      <c r="X204" s="112">
        <v>275880.0</v>
      </c>
      <c r="Y204" s="109">
        <f t="shared" si="11"/>
        <v>52417.2</v>
      </c>
      <c r="Z204" s="109">
        <f t="shared" si="12"/>
        <v>328297.2</v>
      </c>
      <c r="AA204" s="285">
        <f t="shared" si="13"/>
        <v>328297.2</v>
      </c>
      <c r="AB204" s="286">
        <f t="shared" si="14"/>
        <v>203509.9</v>
      </c>
      <c r="AC204" s="286">
        <f t="shared" si="15"/>
        <v>275880</v>
      </c>
    </row>
    <row r="205" ht="15.75" customHeight="1">
      <c r="A205" s="101"/>
      <c r="B205" s="276">
        <v>193.0</v>
      </c>
      <c r="C205" s="277" t="s">
        <v>284</v>
      </c>
      <c r="D205" s="116" t="s">
        <v>79</v>
      </c>
      <c r="E205" s="278">
        <v>1.0</v>
      </c>
      <c r="F205" s="279"/>
      <c r="G205" s="279"/>
      <c r="H205" s="101"/>
      <c r="I205" s="280">
        <v>282559.2</v>
      </c>
      <c r="J205" s="103">
        <f t="shared" si="2"/>
        <v>53686.248</v>
      </c>
      <c r="K205" s="103">
        <f t="shared" si="3"/>
        <v>336245.448</v>
      </c>
      <c r="L205" s="287">
        <f t="shared" si="4"/>
        <v>336245.448</v>
      </c>
      <c r="M205" s="106"/>
      <c r="N205" s="112">
        <v>310231.0</v>
      </c>
      <c r="O205" s="103">
        <f t="shared" si="5"/>
        <v>58943.89</v>
      </c>
      <c r="P205" s="107">
        <f t="shared" si="6"/>
        <v>369174.89</v>
      </c>
      <c r="Q205" s="281">
        <f t="shared" si="7"/>
        <v>369174.89</v>
      </c>
      <c r="R205" s="106"/>
      <c r="S205" s="112">
        <v>322733.0</v>
      </c>
      <c r="T205" s="109">
        <f t="shared" si="8"/>
        <v>61319.27</v>
      </c>
      <c r="U205" s="109">
        <f t="shared" si="9"/>
        <v>384052.27</v>
      </c>
      <c r="V205" s="284">
        <f t="shared" si="10"/>
        <v>384052.27</v>
      </c>
      <c r="W205" s="111"/>
      <c r="X205" s="112">
        <v>336300.0</v>
      </c>
      <c r="Y205" s="109">
        <f t="shared" si="11"/>
        <v>63897</v>
      </c>
      <c r="Z205" s="109">
        <f t="shared" si="12"/>
        <v>400197</v>
      </c>
      <c r="AA205" s="285">
        <f t="shared" si="13"/>
        <v>400197</v>
      </c>
      <c r="AB205" s="286">
        <f t="shared" si="14"/>
        <v>282559.2</v>
      </c>
      <c r="AC205" s="286">
        <f t="shared" si="15"/>
        <v>336300</v>
      </c>
    </row>
    <row r="206" ht="15.75" customHeight="1">
      <c r="A206" s="101"/>
      <c r="B206" s="276">
        <v>194.0</v>
      </c>
      <c r="C206" s="277" t="s">
        <v>285</v>
      </c>
      <c r="D206" s="116" t="s">
        <v>83</v>
      </c>
      <c r="E206" s="278">
        <v>1.0</v>
      </c>
      <c r="F206" s="279"/>
      <c r="G206" s="279"/>
      <c r="H206" s="101"/>
      <c r="I206" s="280">
        <v>52138.9</v>
      </c>
      <c r="J206" s="103">
        <f t="shared" si="2"/>
        <v>9906.391</v>
      </c>
      <c r="K206" s="103">
        <f t="shared" si="3"/>
        <v>62045.291</v>
      </c>
      <c r="L206" s="287">
        <f t="shared" si="4"/>
        <v>62045.291</v>
      </c>
      <c r="M206" s="106"/>
      <c r="N206" s="112">
        <v>52181.0</v>
      </c>
      <c r="O206" s="103">
        <f t="shared" si="5"/>
        <v>9914.39</v>
      </c>
      <c r="P206" s="107">
        <f t="shared" si="6"/>
        <v>62095.39</v>
      </c>
      <c r="Q206" s="281">
        <f t="shared" si="7"/>
        <v>62095.39</v>
      </c>
      <c r="R206" s="106"/>
      <c r="S206" s="112">
        <v>54284.0</v>
      </c>
      <c r="T206" s="109">
        <f t="shared" si="8"/>
        <v>10313.96</v>
      </c>
      <c r="U206" s="109">
        <f t="shared" si="9"/>
        <v>64597.96</v>
      </c>
      <c r="V206" s="284">
        <f t="shared" si="10"/>
        <v>64597.96</v>
      </c>
      <c r="W206" s="111"/>
      <c r="X206" s="112">
        <v>48678.0</v>
      </c>
      <c r="Y206" s="109">
        <f t="shared" si="11"/>
        <v>9248.82</v>
      </c>
      <c r="Z206" s="109">
        <f t="shared" si="12"/>
        <v>57926.82</v>
      </c>
      <c r="AA206" s="285">
        <f t="shared" si="13"/>
        <v>57926.82</v>
      </c>
      <c r="AB206" s="286">
        <f t="shared" si="14"/>
        <v>48678</v>
      </c>
      <c r="AC206" s="286">
        <f t="shared" si="15"/>
        <v>54284</v>
      </c>
    </row>
    <row r="207" ht="15.75" customHeight="1">
      <c r="A207" s="101"/>
      <c r="B207" s="276">
        <v>195.0</v>
      </c>
      <c r="C207" s="277" t="s">
        <v>286</v>
      </c>
      <c r="D207" s="116" t="s">
        <v>96</v>
      </c>
      <c r="E207" s="278">
        <v>1.0</v>
      </c>
      <c r="F207" s="279"/>
      <c r="G207" s="279"/>
      <c r="H207" s="101"/>
      <c r="I207" s="280">
        <v>25733.07</v>
      </c>
      <c r="J207" s="103">
        <f t="shared" si="2"/>
        <v>4889.2833</v>
      </c>
      <c r="K207" s="103">
        <f t="shared" si="3"/>
        <v>30622.3533</v>
      </c>
      <c r="L207" s="287">
        <f t="shared" si="4"/>
        <v>30622.3533</v>
      </c>
      <c r="M207" s="106"/>
      <c r="N207" s="112">
        <v>28110.0</v>
      </c>
      <c r="O207" s="103">
        <f t="shared" si="5"/>
        <v>5340.9</v>
      </c>
      <c r="P207" s="107">
        <f t="shared" si="6"/>
        <v>33450.9</v>
      </c>
      <c r="Q207" s="281">
        <f t="shared" si="7"/>
        <v>33450.9</v>
      </c>
      <c r="R207" s="106"/>
      <c r="S207" s="112">
        <v>29243.0</v>
      </c>
      <c r="T207" s="109">
        <f t="shared" si="8"/>
        <v>5556.17</v>
      </c>
      <c r="U207" s="109">
        <f t="shared" si="9"/>
        <v>34799.17</v>
      </c>
      <c r="V207" s="284">
        <f t="shared" si="10"/>
        <v>34799.17</v>
      </c>
      <c r="W207" s="111"/>
      <c r="X207" s="112">
        <v>35340.0</v>
      </c>
      <c r="Y207" s="109">
        <f t="shared" si="11"/>
        <v>6714.6</v>
      </c>
      <c r="Z207" s="109">
        <f t="shared" si="12"/>
        <v>42054.6</v>
      </c>
      <c r="AA207" s="285">
        <f t="shared" si="13"/>
        <v>42054.6</v>
      </c>
      <c r="AB207" s="286">
        <f t="shared" si="14"/>
        <v>25733.07</v>
      </c>
      <c r="AC207" s="286">
        <f t="shared" si="15"/>
        <v>35340</v>
      </c>
    </row>
    <row r="208" ht="15.75" customHeight="1">
      <c r="A208" s="101"/>
      <c r="B208" s="276">
        <v>196.0</v>
      </c>
      <c r="C208" s="277" t="s">
        <v>287</v>
      </c>
      <c r="D208" s="116" t="s">
        <v>83</v>
      </c>
      <c r="E208" s="278">
        <v>1.0</v>
      </c>
      <c r="F208" s="279"/>
      <c r="G208" s="279"/>
      <c r="H208" s="101"/>
      <c r="I208" s="280">
        <v>6159.91</v>
      </c>
      <c r="J208" s="103">
        <f t="shared" si="2"/>
        <v>1170.3829</v>
      </c>
      <c r="K208" s="103">
        <f t="shared" si="3"/>
        <v>7330.2929</v>
      </c>
      <c r="L208" s="281">
        <f t="shared" si="4"/>
        <v>7330.2929</v>
      </c>
      <c r="M208" s="106"/>
      <c r="N208" s="112">
        <v>6074.0</v>
      </c>
      <c r="O208" s="103">
        <f t="shared" si="5"/>
        <v>1154.06</v>
      </c>
      <c r="P208" s="107">
        <f t="shared" si="6"/>
        <v>7228.06</v>
      </c>
      <c r="Q208" s="283">
        <f t="shared" si="7"/>
        <v>7228.06</v>
      </c>
      <c r="R208" s="106"/>
      <c r="S208" s="112">
        <v>6319.0</v>
      </c>
      <c r="T208" s="109">
        <f t="shared" si="8"/>
        <v>1200.61</v>
      </c>
      <c r="U208" s="109">
        <f t="shared" si="9"/>
        <v>7519.61</v>
      </c>
      <c r="V208" s="284">
        <f t="shared" si="10"/>
        <v>7519.61</v>
      </c>
      <c r="W208" s="111"/>
      <c r="X208" s="112">
        <v>5928.0</v>
      </c>
      <c r="Y208" s="109">
        <f t="shared" si="11"/>
        <v>1126.32</v>
      </c>
      <c r="Z208" s="109">
        <f t="shared" si="12"/>
        <v>7054.32</v>
      </c>
      <c r="AA208" s="285">
        <f t="shared" si="13"/>
        <v>7054.32</v>
      </c>
      <c r="AB208" s="286">
        <f t="shared" si="14"/>
        <v>5928</v>
      </c>
      <c r="AC208" s="286">
        <f t="shared" si="15"/>
        <v>6319</v>
      </c>
    </row>
    <row r="209" ht="15.75" customHeight="1">
      <c r="A209" s="101"/>
      <c r="B209" s="276">
        <v>197.0</v>
      </c>
      <c r="C209" s="277" t="s">
        <v>288</v>
      </c>
      <c r="D209" s="116" t="s">
        <v>83</v>
      </c>
      <c r="E209" s="278">
        <v>1.0</v>
      </c>
      <c r="F209" s="279"/>
      <c r="G209" s="279"/>
      <c r="H209" s="101"/>
      <c r="I209" s="280">
        <v>5045.7</v>
      </c>
      <c r="J209" s="103">
        <f t="shared" si="2"/>
        <v>958.683</v>
      </c>
      <c r="K209" s="103">
        <f t="shared" si="3"/>
        <v>6004.383</v>
      </c>
      <c r="L209" s="287">
        <f t="shared" si="4"/>
        <v>6004.383</v>
      </c>
      <c r="M209" s="106"/>
      <c r="N209" s="112">
        <v>9796.0</v>
      </c>
      <c r="O209" s="103">
        <f t="shared" si="5"/>
        <v>1861.24</v>
      </c>
      <c r="P209" s="107">
        <f t="shared" si="6"/>
        <v>11657.24</v>
      </c>
      <c r="Q209" s="281">
        <f t="shared" si="7"/>
        <v>11657.24</v>
      </c>
      <c r="R209" s="106"/>
      <c r="S209" s="112">
        <v>10191.0</v>
      </c>
      <c r="T209" s="109">
        <f t="shared" si="8"/>
        <v>1936.29</v>
      </c>
      <c r="U209" s="109">
        <f t="shared" si="9"/>
        <v>12127.29</v>
      </c>
      <c r="V209" s="284">
        <f t="shared" si="10"/>
        <v>12127.29</v>
      </c>
      <c r="W209" s="111"/>
      <c r="X209" s="112">
        <v>12654.0</v>
      </c>
      <c r="Y209" s="109">
        <f t="shared" si="11"/>
        <v>2404.26</v>
      </c>
      <c r="Z209" s="109">
        <f t="shared" si="12"/>
        <v>15058.26</v>
      </c>
      <c r="AA209" s="285">
        <f t="shared" si="13"/>
        <v>15058.26</v>
      </c>
      <c r="AB209" s="286">
        <f t="shared" si="14"/>
        <v>5045.7</v>
      </c>
      <c r="AC209" s="286">
        <f t="shared" si="15"/>
        <v>12654</v>
      </c>
    </row>
    <row r="210" ht="15.75" customHeight="1">
      <c r="A210" s="101"/>
      <c r="B210" s="276">
        <v>198.0</v>
      </c>
      <c r="C210" s="277" t="s">
        <v>289</v>
      </c>
      <c r="D210" s="116" t="s">
        <v>83</v>
      </c>
      <c r="E210" s="278">
        <v>1.0</v>
      </c>
      <c r="F210" s="279"/>
      <c r="G210" s="279"/>
      <c r="H210" s="101"/>
      <c r="I210" s="280">
        <v>21425.79</v>
      </c>
      <c r="J210" s="103">
        <f t="shared" si="2"/>
        <v>4070.9001</v>
      </c>
      <c r="K210" s="103">
        <f t="shared" si="3"/>
        <v>25496.6901</v>
      </c>
      <c r="L210" s="287">
        <f t="shared" si="4"/>
        <v>25496.6901</v>
      </c>
      <c r="M210" s="106"/>
      <c r="N210" s="112">
        <v>24767.0</v>
      </c>
      <c r="O210" s="103">
        <f t="shared" si="5"/>
        <v>4705.73</v>
      </c>
      <c r="P210" s="107">
        <f t="shared" si="6"/>
        <v>29472.73</v>
      </c>
      <c r="Q210" s="281">
        <f t="shared" si="7"/>
        <v>29472.73</v>
      </c>
      <c r="R210" s="106"/>
      <c r="S210" s="112">
        <v>25765.0</v>
      </c>
      <c r="T210" s="109">
        <f t="shared" si="8"/>
        <v>4895.35</v>
      </c>
      <c r="U210" s="109">
        <f t="shared" si="9"/>
        <v>30660.35</v>
      </c>
      <c r="V210" s="284">
        <f t="shared" si="10"/>
        <v>30660.35</v>
      </c>
      <c r="W210" s="111"/>
      <c r="X210" s="112">
        <v>25650.0</v>
      </c>
      <c r="Y210" s="109">
        <f t="shared" si="11"/>
        <v>4873.5</v>
      </c>
      <c r="Z210" s="109">
        <f t="shared" si="12"/>
        <v>30523.5</v>
      </c>
      <c r="AA210" s="285">
        <f t="shared" si="13"/>
        <v>30523.5</v>
      </c>
      <c r="AB210" s="286">
        <f t="shared" si="14"/>
        <v>21425.79</v>
      </c>
      <c r="AC210" s="286">
        <f t="shared" si="15"/>
        <v>25765</v>
      </c>
    </row>
    <row r="211" ht="15.75" customHeight="1">
      <c r="A211" s="101"/>
      <c r="B211" s="276">
        <v>199.0</v>
      </c>
      <c r="C211" s="277" t="s">
        <v>290</v>
      </c>
      <c r="D211" s="116" t="s">
        <v>83</v>
      </c>
      <c r="E211" s="278">
        <v>1.0</v>
      </c>
      <c r="F211" s="279"/>
      <c r="G211" s="279"/>
      <c r="H211" s="101"/>
      <c r="I211" s="280">
        <v>48208.03</v>
      </c>
      <c r="J211" s="103">
        <f t="shared" si="2"/>
        <v>9159.5257</v>
      </c>
      <c r="K211" s="103">
        <f t="shared" si="3"/>
        <v>57367.5557</v>
      </c>
      <c r="L211" s="287">
        <f t="shared" si="4"/>
        <v>57367.5557</v>
      </c>
      <c r="M211" s="106"/>
      <c r="N211" s="112">
        <v>68725.0</v>
      </c>
      <c r="O211" s="103">
        <f t="shared" si="5"/>
        <v>13057.75</v>
      </c>
      <c r="P211" s="107">
        <f t="shared" si="6"/>
        <v>81782.75</v>
      </c>
      <c r="Q211" s="281">
        <f t="shared" si="7"/>
        <v>81782.75</v>
      </c>
      <c r="R211" s="106"/>
      <c r="S211" s="112">
        <v>71495.0</v>
      </c>
      <c r="T211" s="109">
        <f t="shared" si="8"/>
        <v>13584.05</v>
      </c>
      <c r="U211" s="109">
        <f t="shared" si="9"/>
        <v>85079.05</v>
      </c>
      <c r="V211" s="284">
        <f t="shared" si="10"/>
        <v>85079.05</v>
      </c>
      <c r="W211" s="111"/>
      <c r="X211" s="112">
        <v>85500.0</v>
      </c>
      <c r="Y211" s="109">
        <f t="shared" si="11"/>
        <v>16245</v>
      </c>
      <c r="Z211" s="109">
        <f t="shared" si="12"/>
        <v>101745</v>
      </c>
      <c r="AA211" s="285">
        <f t="shared" si="13"/>
        <v>101745</v>
      </c>
      <c r="AB211" s="286">
        <f t="shared" si="14"/>
        <v>48208.03</v>
      </c>
      <c r="AC211" s="286">
        <f t="shared" si="15"/>
        <v>85500</v>
      </c>
    </row>
    <row r="212" ht="15.75" customHeight="1">
      <c r="A212" s="101"/>
      <c r="B212" s="276">
        <v>200.0</v>
      </c>
      <c r="C212" s="277" t="s">
        <v>291</v>
      </c>
      <c r="D212" s="116" t="s">
        <v>83</v>
      </c>
      <c r="E212" s="278">
        <v>1.0</v>
      </c>
      <c r="F212" s="279"/>
      <c r="G212" s="279"/>
      <c r="H212" s="101"/>
      <c r="I212" s="280">
        <v>37338.18</v>
      </c>
      <c r="J212" s="103">
        <f t="shared" si="2"/>
        <v>7094.2542</v>
      </c>
      <c r="K212" s="103">
        <f t="shared" si="3"/>
        <v>44432.4342</v>
      </c>
      <c r="L212" s="287">
        <f t="shared" si="4"/>
        <v>44432.4342</v>
      </c>
      <c r="M212" s="106"/>
      <c r="N212" s="112">
        <v>68725.0</v>
      </c>
      <c r="O212" s="103">
        <f t="shared" si="5"/>
        <v>13057.75</v>
      </c>
      <c r="P212" s="107">
        <f t="shared" si="6"/>
        <v>81782.75</v>
      </c>
      <c r="Q212" s="281">
        <f t="shared" si="7"/>
        <v>81782.75</v>
      </c>
      <c r="R212" s="106"/>
      <c r="S212" s="112">
        <v>71495.0</v>
      </c>
      <c r="T212" s="109">
        <f t="shared" si="8"/>
        <v>13584.05</v>
      </c>
      <c r="U212" s="109">
        <f t="shared" si="9"/>
        <v>85079.05</v>
      </c>
      <c r="V212" s="284">
        <f t="shared" si="10"/>
        <v>85079.05</v>
      </c>
      <c r="W212" s="111"/>
      <c r="X212" s="112">
        <v>81624.0</v>
      </c>
      <c r="Y212" s="109">
        <f t="shared" si="11"/>
        <v>15508.56</v>
      </c>
      <c r="Z212" s="109">
        <f t="shared" si="12"/>
        <v>97132.56</v>
      </c>
      <c r="AA212" s="285">
        <f t="shared" si="13"/>
        <v>97132.56</v>
      </c>
      <c r="AB212" s="286">
        <f t="shared" si="14"/>
        <v>37338.18</v>
      </c>
      <c r="AC212" s="286">
        <f t="shared" si="15"/>
        <v>81624</v>
      </c>
    </row>
    <row r="213" ht="15.75" customHeight="1">
      <c r="A213" s="101"/>
      <c r="B213" s="276">
        <v>201.0</v>
      </c>
      <c r="C213" s="277" t="s">
        <v>292</v>
      </c>
      <c r="D213" s="116" t="s">
        <v>94</v>
      </c>
      <c r="E213" s="278">
        <v>1.0</v>
      </c>
      <c r="F213" s="279"/>
      <c r="G213" s="279"/>
      <c r="H213" s="101"/>
      <c r="I213" s="280">
        <v>25060.31</v>
      </c>
      <c r="J213" s="103">
        <f t="shared" si="2"/>
        <v>4761.4589</v>
      </c>
      <c r="K213" s="103">
        <f t="shared" si="3"/>
        <v>29821.7689</v>
      </c>
      <c r="L213" s="287">
        <f t="shared" si="4"/>
        <v>29821.7689</v>
      </c>
      <c r="M213" s="106"/>
      <c r="N213" s="112">
        <v>34767.0</v>
      </c>
      <c r="O213" s="103">
        <f t="shared" si="5"/>
        <v>6605.73</v>
      </c>
      <c r="P213" s="107">
        <f t="shared" si="6"/>
        <v>41372.73</v>
      </c>
      <c r="Q213" s="281">
        <f t="shared" si="7"/>
        <v>41372.73</v>
      </c>
      <c r="R213" s="106"/>
      <c r="S213" s="112">
        <v>36168.0</v>
      </c>
      <c r="T213" s="109">
        <f t="shared" si="8"/>
        <v>6871.92</v>
      </c>
      <c r="U213" s="109">
        <f t="shared" si="9"/>
        <v>43039.92</v>
      </c>
      <c r="V213" s="284">
        <f t="shared" si="10"/>
        <v>43039.92</v>
      </c>
      <c r="W213" s="111"/>
      <c r="X213" s="112">
        <v>36024.0</v>
      </c>
      <c r="Y213" s="109">
        <f t="shared" si="11"/>
        <v>6844.56</v>
      </c>
      <c r="Z213" s="109">
        <f t="shared" si="12"/>
        <v>42868.56</v>
      </c>
      <c r="AA213" s="285">
        <f t="shared" si="13"/>
        <v>42868.56</v>
      </c>
      <c r="AB213" s="286">
        <f t="shared" si="14"/>
        <v>25060.31</v>
      </c>
      <c r="AC213" s="286">
        <f t="shared" si="15"/>
        <v>36168</v>
      </c>
    </row>
    <row r="214" ht="15.75" customHeight="1">
      <c r="A214" s="101"/>
      <c r="B214" s="276">
        <v>202.0</v>
      </c>
      <c r="C214" s="277" t="s">
        <v>293</v>
      </c>
      <c r="D214" s="116" t="s">
        <v>294</v>
      </c>
      <c r="E214" s="278">
        <v>1.0</v>
      </c>
      <c r="F214" s="279"/>
      <c r="G214" s="279"/>
      <c r="H214" s="101"/>
      <c r="I214" s="280">
        <v>28072.0</v>
      </c>
      <c r="J214" s="103">
        <f t="shared" si="2"/>
        <v>5333.68</v>
      </c>
      <c r="K214" s="103">
        <f t="shared" si="3"/>
        <v>33405.68</v>
      </c>
      <c r="L214" s="281">
        <f t="shared" si="4"/>
        <v>33405.68</v>
      </c>
      <c r="M214" s="106"/>
      <c r="N214" s="112">
        <v>27512.0</v>
      </c>
      <c r="O214" s="103">
        <f t="shared" si="5"/>
        <v>5227.28</v>
      </c>
      <c r="P214" s="107">
        <f t="shared" si="6"/>
        <v>32739.28</v>
      </c>
      <c r="Q214" s="283">
        <f t="shared" si="7"/>
        <v>32739.28</v>
      </c>
      <c r="R214" s="106"/>
      <c r="S214" s="112">
        <v>28621.0</v>
      </c>
      <c r="T214" s="109">
        <f t="shared" si="8"/>
        <v>5437.99</v>
      </c>
      <c r="U214" s="109">
        <f t="shared" si="9"/>
        <v>34058.99</v>
      </c>
      <c r="V214" s="284">
        <f t="shared" si="10"/>
        <v>34058.99</v>
      </c>
      <c r="W214" s="111"/>
      <c r="X214" s="112">
        <v>30096.0</v>
      </c>
      <c r="Y214" s="109">
        <f t="shared" si="11"/>
        <v>5718.24</v>
      </c>
      <c r="Z214" s="109">
        <f t="shared" si="12"/>
        <v>35814.24</v>
      </c>
      <c r="AA214" s="285">
        <f t="shared" si="13"/>
        <v>35814.24</v>
      </c>
      <c r="AB214" s="286">
        <f t="shared" si="14"/>
        <v>27512</v>
      </c>
      <c r="AC214" s="286">
        <f t="shared" si="15"/>
        <v>30096</v>
      </c>
    </row>
    <row r="215" ht="15.75" customHeight="1">
      <c r="A215" s="101"/>
      <c r="B215" s="276">
        <v>203.0</v>
      </c>
      <c r="C215" s="277" t="s">
        <v>295</v>
      </c>
      <c r="D215" s="116" t="s">
        <v>294</v>
      </c>
      <c r="E215" s="278">
        <v>1.0</v>
      </c>
      <c r="F215" s="279"/>
      <c r="G215" s="279"/>
      <c r="H215" s="101"/>
      <c r="I215" s="280">
        <v>23707.08</v>
      </c>
      <c r="J215" s="103">
        <f t="shared" si="2"/>
        <v>4504.3452</v>
      </c>
      <c r="K215" s="103">
        <f t="shared" si="3"/>
        <v>28211.4252</v>
      </c>
      <c r="L215" s="289">
        <f t="shared" si="4"/>
        <v>28211.4252</v>
      </c>
      <c r="M215" s="106"/>
      <c r="N215" s="112">
        <v>22113.0</v>
      </c>
      <c r="O215" s="103">
        <f t="shared" si="5"/>
        <v>4201.47</v>
      </c>
      <c r="P215" s="107">
        <f t="shared" si="6"/>
        <v>26314.47</v>
      </c>
      <c r="Q215" s="283">
        <f t="shared" si="7"/>
        <v>26314.47</v>
      </c>
      <c r="R215" s="106"/>
      <c r="S215" s="112">
        <v>23004.0</v>
      </c>
      <c r="T215" s="109">
        <f t="shared" si="8"/>
        <v>4370.76</v>
      </c>
      <c r="U215" s="109">
        <f t="shared" si="9"/>
        <v>27374.76</v>
      </c>
      <c r="V215" s="281">
        <f t="shared" si="10"/>
        <v>27374.76</v>
      </c>
      <c r="W215" s="111"/>
      <c r="X215" s="112">
        <v>26362.5</v>
      </c>
      <c r="Y215" s="109">
        <f t="shared" si="11"/>
        <v>5008.875</v>
      </c>
      <c r="Z215" s="109">
        <f t="shared" si="12"/>
        <v>31371.375</v>
      </c>
      <c r="AA215" s="285">
        <f t="shared" si="13"/>
        <v>31371.375</v>
      </c>
      <c r="AB215" s="286">
        <f t="shared" si="14"/>
        <v>22113</v>
      </c>
      <c r="AC215" s="286">
        <f t="shared" si="15"/>
        <v>26362.5</v>
      </c>
    </row>
    <row r="216" ht="15.75" customHeight="1">
      <c r="A216" s="101"/>
      <c r="B216" s="276">
        <v>204.0</v>
      </c>
      <c r="C216" s="277" t="s">
        <v>296</v>
      </c>
      <c r="D216" s="116" t="s">
        <v>294</v>
      </c>
      <c r="E216" s="278">
        <v>1.0</v>
      </c>
      <c r="F216" s="279"/>
      <c r="G216" s="279"/>
      <c r="H216" s="101"/>
      <c r="I216" s="280">
        <v>20339.21</v>
      </c>
      <c r="J216" s="103">
        <f t="shared" si="2"/>
        <v>3864.4499</v>
      </c>
      <c r="K216" s="103">
        <f t="shared" si="3"/>
        <v>24203.6599</v>
      </c>
      <c r="L216" s="281">
        <f t="shared" si="4"/>
        <v>24203.6599</v>
      </c>
      <c r="M216" s="106"/>
      <c r="N216" s="112">
        <v>19902.0</v>
      </c>
      <c r="O216" s="103">
        <f t="shared" si="5"/>
        <v>3781.38</v>
      </c>
      <c r="P216" s="107">
        <f t="shared" si="6"/>
        <v>23683.38</v>
      </c>
      <c r="Q216" s="283">
        <f t="shared" si="7"/>
        <v>23683.38</v>
      </c>
      <c r="R216" s="106"/>
      <c r="S216" s="112">
        <v>20704.0</v>
      </c>
      <c r="T216" s="109">
        <f t="shared" si="8"/>
        <v>3933.76</v>
      </c>
      <c r="U216" s="109">
        <f t="shared" si="9"/>
        <v>24637.76</v>
      </c>
      <c r="V216" s="284">
        <f t="shared" si="10"/>
        <v>24637.76</v>
      </c>
      <c r="W216" s="111"/>
      <c r="X216" s="112">
        <v>23940.0</v>
      </c>
      <c r="Y216" s="109">
        <f t="shared" si="11"/>
        <v>4548.6</v>
      </c>
      <c r="Z216" s="109">
        <f t="shared" si="12"/>
        <v>28488.6</v>
      </c>
      <c r="AA216" s="285">
        <f t="shared" si="13"/>
        <v>28488.6</v>
      </c>
      <c r="AB216" s="286">
        <f t="shared" si="14"/>
        <v>19902</v>
      </c>
      <c r="AC216" s="286">
        <f t="shared" si="15"/>
        <v>23940</v>
      </c>
    </row>
    <row r="217" ht="15.75" customHeight="1">
      <c r="A217" s="101"/>
      <c r="B217" s="276">
        <v>205.0</v>
      </c>
      <c r="C217" s="277" t="s">
        <v>297</v>
      </c>
      <c r="D217" s="116" t="s">
        <v>294</v>
      </c>
      <c r="E217" s="278">
        <v>1.0</v>
      </c>
      <c r="F217" s="279"/>
      <c r="G217" s="279"/>
      <c r="H217" s="101"/>
      <c r="I217" s="280">
        <v>25293.84</v>
      </c>
      <c r="J217" s="103">
        <f t="shared" si="2"/>
        <v>4805.8296</v>
      </c>
      <c r="K217" s="103">
        <f t="shared" si="3"/>
        <v>30099.6696</v>
      </c>
      <c r="L217" s="287">
        <f t="shared" si="4"/>
        <v>30099.6696</v>
      </c>
      <c r="M217" s="106"/>
      <c r="N217" s="112">
        <v>30644.0</v>
      </c>
      <c r="O217" s="103">
        <f t="shared" si="5"/>
        <v>5822.36</v>
      </c>
      <c r="P217" s="107">
        <f t="shared" si="6"/>
        <v>36466.36</v>
      </c>
      <c r="Q217" s="281">
        <f t="shared" si="7"/>
        <v>36466.36</v>
      </c>
      <c r="R217" s="106"/>
      <c r="S217" s="112">
        <v>31879.0</v>
      </c>
      <c r="T217" s="109">
        <f t="shared" si="8"/>
        <v>6057.01</v>
      </c>
      <c r="U217" s="109">
        <f t="shared" si="9"/>
        <v>37936.01</v>
      </c>
      <c r="V217" s="284">
        <f t="shared" si="10"/>
        <v>37936.01</v>
      </c>
      <c r="W217" s="111"/>
      <c r="X217" s="112">
        <v>33516.0</v>
      </c>
      <c r="Y217" s="109">
        <f t="shared" si="11"/>
        <v>6368.04</v>
      </c>
      <c r="Z217" s="109">
        <f t="shared" si="12"/>
        <v>39884.04</v>
      </c>
      <c r="AA217" s="285">
        <f t="shared" si="13"/>
        <v>39884.04</v>
      </c>
      <c r="AB217" s="286">
        <f t="shared" si="14"/>
        <v>25293.84</v>
      </c>
      <c r="AC217" s="286">
        <f t="shared" si="15"/>
        <v>33516</v>
      </c>
    </row>
    <row r="218" ht="15.75" customHeight="1">
      <c r="A218" s="141"/>
      <c r="B218" s="136"/>
      <c r="C218" s="290" t="s">
        <v>30</v>
      </c>
      <c r="F218" s="291">
        <f>SUM(G7:G28)</f>
        <v>0</v>
      </c>
      <c r="G218" s="19"/>
      <c r="H218" s="145"/>
      <c r="I218" s="146"/>
      <c r="J218" s="143"/>
      <c r="K218" s="143"/>
      <c r="L218" s="147">
        <f>SUM(L108:L217)</f>
        <v>9631353.215</v>
      </c>
      <c r="M218" s="149"/>
      <c r="N218" s="146"/>
      <c r="O218" s="143"/>
      <c r="P218" s="143"/>
      <c r="Q218" s="292">
        <f>SUM(Q108:Q217)</f>
        <v>10489043.18</v>
      </c>
      <c r="R218" s="149"/>
      <c r="S218" s="146"/>
      <c r="T218" s="143"/>
      <c r="U218" s="143"/>
      <c r="V218" s="293">
        <f>SUM(V108:V217)</f>
        <v>10828227.69</v>
      </c>
      <c r="W218" s="14"/>
      <c r="X218" s="146"/>
      <c r="Y218" s="143"/>
      <c r="Z218" s="143"/>
      <c r="AA218" s="293">
        <f>SUM(AA108:AA217)</f>
        <v>11985418.56</v>
      </c>
      <c r="AB218" s="14"/>
      <c r="AC218" s="14"/>
    </row>
    <row r="219" ht="15.75" customHeight="1">
      <c r="A219" s="153"/>
      <c r="B219" s="136"/>
      <c r="C219" s="154"/>
      <c r="D219" s="155"/>
      <c r="E219" s="155"/>
      <c r="F219" s="154"/>
      <c r="G219" s="156"/>
      <c r="H219" s="145"/>
      <c r="I219" s="154"/>
      <c r="J219" s="155"/>
      <c r="K219" s="155"/>
      <c r="L219" s="84"/>
      <c r="M219" s="149"/>
      <c r="N219" s="154"/>
      <c r="O219" s="155"/>
      <c r="P219" s="155"/>
      <c r="Q219" s="84"/>
      <c r="R219" s="149"/>
      <c r="S219" s="154"/>
      <c r="T219" s="155"/>
      <c r="U219" s="155"/>
      <c r="V219" s="84"/>
      <c r="W219" s="14"/>
      <c r="X219" s="154"/>
      <c r="Y219" s="155"/>
      <c r="Z219" s="155"/>
      <c r="AA219" s="84"/>
      <c r="AB219" s="14"/>
      <c r="AC219" s="14"/>
    </row>
    <row r="220" ht="8.25" customHeight="1">
      <c r="A220" s="137"/>
      <c r="B220" s="137"/>
      <c r="C220" s="137"/>
      <c r="D220" s="137"/>
      <c r="E220" s="157"/>
      <c r="F220" s="157"/>
      <c r="G220" s="157"/>
      <c r="H220" s="9"/>
      <c r="I220" s="158"/>
      <c r="J220" s="158"/>
      <c r="K220" s="158"/>
      <c r="L220" s="149"/>
      <c r="M220" s="149"/>
      <c r="N220" s="158"/>
      <c r="O220" s="158"/>
      <c r="P220" s="158"/>
      <c r="Q220" s="149"/>
      <c r="R220" s="149"/>
      <c r="S220" s="158"/>
      <c r="T220" s="158"/>
      <c r="U220" s="158"/>
      <c r="V220" s="149"/>
      <c r="W220" s="14"/>
      <c r="X220" s="158"/>
      <c r="Y220" s="158"/>
      <c r="Z220" s="158"/>
      <c r="AA220" s="149"/>
      <c r="AB220" s="14"/>
      <c r="AC220" s="14"/>
    </row>
    <row r="221" ht="15.75" customHeight="1">
      <c r="A221" s="159"/>
      <c r="B221" s="160" t="s">
        <v>31</v>
      </c>
      <c r="C221" s="160"/>
      <c r="D221" s="160"/>
      <c r="E221" s="161"/>
      <c r="F221" s="137"/>
      <c r="G221" s="137"/>
      <c r="H221" s="162"/>
      <c r="I221" s="163"/>
      <c r="J221" s="143"/>
      <c r="K221" s="143"/>
      <c r="L221" s="164">
        <f>+L218-MIN($L$218,$Q$218,$V$218)</f>
        <v>0</v>
      </c>
      <c r="M221" s="166"/>
      <c r="N221" s="163"/>
      <c r="O221" s="143"/>
      <c r="P221" s="143"/>
      <c r="Q221" s="167">
        <f>+Q218-MIN($L$218,$Q$218)</f>
        <v>857689.9653</v>
      </c>
      <c r="R221" s="166"/>
      <c r="S221" s="163"/>
      <c r="T221" s="143"/>
      <c r="U221" s="143"/>
      <c r="V221" s="169">
        <f>+V218-MIN($L$218,$Q$218,$V$218)</f>
        <v>1196874.475</v>
      </c>
      <c r="W221" s="14"/>
      <c r="X221" s="163"/>
      <c r="Y221" s="143"/>
      <c r="Z221" s="143"/>
      <c r="AA221" s="169">
        <f>+AA218-MIN($L$218,$Q$218,$V$218)</f>
        <v>2354065.342</v>
      </c>
      <c r="AB221" s="14"/>
      <c r="AC221" s="14"/>
    </row>
    <row r="222" ht="15.75" customHeight="1">
      <c r="A222" s="174"/>
      <c r="B222" s="175" t="s">
        <v>32</v>
      </c>
      <c r="C222" s="175"/>
      <c r="D222" s="175"/>
      <c r="E222" s="176"/>
      <c r="F222" s="187"/>
      <c r="G222" s="187"/>
      <c r="H222" s="162"/>
      <c r="I222" s="154"/>
      <c r="J222" s="155"/>
      <c r="K222" s="155"/>
      <c r="L222" s="294" t="str">
        <f>+L218/F218</f>
        <v>#DIV/0!</v>
      </c>
      <c r="M222" s="179"/>
      <c r="N222" s="154"/>
      <c r="O222" s="155"/>
      <c r="P222" s="155"/>
      <c r="Q222" s="295" t="str">
        <f>+Q218/F218</f>
        <v>#DIV/0!</v>
      </c>
      <c r="R222" s="179"/>
      <c r="S222" s="154"/>
      <c r="T222" s="155"/>
      <c r="U222" s="155"/>
      <c r="V222" s="296" t="str">
        <f>+V218/F218</f>
        <v>#DIV/0!</v>
      </c>
      <c r="W222" s="14"/>
      <c r="X222" s="154"/>
      <c r="Y222" s="155"/>
      <c r="Z222" s="155"/>
      <c r="AA222" s="296" t="str">
        <f>+AA218/K218</f>
        <v>#DIV/0!</v>
      </c>
      <c r="AB222" s="14"/>
      <c r="AC222" s="14"/>
    </row>
    <row r="223" ht="7.5" customHeight="1">
      <c r="A223" s="187"/>
      <c r="B223" s="187"/>
      <c r="C223" s="187"/>
      <c r="D223" s="187"/>
      <c r="E223" s="157"/>
      <c r="F223" s="157"/>
      <c r="G223" s="157"/>
      <c r="H223" s="188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4"/>
      <c r="X223" s="14"/>
      <c r="Y223" s="14"/>
      <c r="Z223" s="14"/>
      <c r="AA223" s="14"/>
      <c r="AB223" s="14"/>
      <c r="AC223" s="14"/>
    </row>
    <row r="224" ht="9.0" customHeight="1">
      <c r="A224" s="190"/>
      <c r="B224" s="191"/>
      <c r="C224" s="191"/>
      <c r="D224" s="191"/>
      <c r="E224" s="191"/>
      <c r="F224" s="191"/>
      <c r="G224" s="191"/>
      <c r="H224" s="192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11"/>
      <c r="X224" s="111"/>
      <c r="Y224" s="111"/>
      <c r="Z224" s="111"/>
      <c r="AA224" s="111"/>
      <c r="AB224" s="111"/>
      <c r="AC224" s="111"/>
    </row>
    <row r="225" ht="15.0" customHeight="1">
      <c r="A225" s="194"/>
      <c r="B225" s="191"/>
      <c r="C225" s="191"/>
      <c r="D225" s="191"/>
      <c r="E225" s="191"/>
      <c r="F225" s="191"/>
      <c r="G225" s="191"/>
      <c r="H225" s="195"/>
      <c r="I225" s="196" t="s">
        <v>33</v>
      </c>
      <c r="J225" s="197" t="s">
        <v>298</v>
      </c>
      <c r="K225" s="143"/>
      <c r="L225" s="144"/>
      <c r="M225" s="198"/>
      <c r="N225" s="196" t="s">
        <v>33</v>
      </c>
      <c r="O225" s="197" t="s">
        <v>298</v>
      </c>
      <c r="P225" s="143"/>
      <c r="Q225" s="144"/>
      <c r="R225" s="198"/>
      <c r="S225" s="196" t="s">
        <v>33</v>
      </c>
      <c r="T225" s="197" t="s">
        <v>298</v>
      </c>
      <c r="U225" s="143"/>
      <c r="V225" s="144"/>
      <c r="W225" s="111"/>
      <c r="X225" s="111"/>
      <c r="Y225" s="111"/>
      <c r="Z225" s="111"/>
      <c r="AA225" s="111"/>
      <c r="AB225" s="111"/>
      <c r="AC225" s="111"/>
    </row>
    <row r="226" ht="15.0" customHeight="1">
      <c r="A226" s="199"/>
      <c r="B226" s="191"/>
      <c r="C226" s="191"/>
      <c r="D226" s="191"/>
      <c r="E226" s="191"/>
      <c r="F226" s="297"/>
      <c r="G226" s="191"/>
      <c r="H226" s="195"/>
      <c r="I226" s="200"/>
      <c r="J226" s="201"/>
      <c r="K226" s="201"/>
      <c r="L226" s="202"/>
      <c r="M226" s="201"/>
      <c r="N226" s="200"/>
      <c r="O226" s="201"/>
      <c r="P226" s="201"/>
      <c r="Q226" s="202"/>
      <c r="R226" s="201"/>
      <c r="S226" s="200"/>
      <c r="T226" s="201"/>
      <c r="U226" s="201"/>
      <c r="V226" s="202"/>
      <c r="W226" s="111"/>
      <c r="X226" s="111"/>
      <c r="Y226" s="111"/>
      <c r="Z226" s="111"/>
      <c r="AA226" s="111"/>
      <c r="AB226" s="111"/>
      <c r="AC226" s="111"/>
    </row>
    <row r="227" ht="15.0" customHeight="1">
      <c r="A227" s="199"/>
      <c r="B227" s="191"/>
      <c r="C227" s="191"/>
      <c r="D227" s="191"/>
      <c r="E227" s="191"/>
      <c r="F227" s="191"/>
      <c r="G227" s="191"/>
      <c r="H227" s="195"/>
      <c r="I227" s="200" t="s">
        <v>36</v>
      </c>
      <c r="J227" s="203"/>
      <c r="K227" s="203"/>
      <c r="L227" s="204"/>
      <c r="M227" s="205"/>
      <c r="N227" s="206" t="s">
        <v>36</v>
      </c>
      <c r="O227" s="298"/>
      <c r="P227" s="207"/>
      <c r="Q227" s="208"/>
      <c r="R227" s="205"/>
      <c r="S227" s="206" t="s">
        <v>36</v>
      </c>
      <c r="T227" s="299"/>
      <c r="V227" s="19"/>
      <c r="W227" s="111"/>
      <c r="X227" s="111"/>
      <c r="Y227" s="111"/>
      <c r="Z227" s="111"/>
      <c r="AA227" s="111"/>
      <c r="AB227" s="111"/>
      <c r="AC227" s="111"/>
    </row>
    <row r="228" ht="15.0" customHeight="1">
      <c r="A228" s="199"/>
      <c r="B228" s="191"/>
      <c r="C228" s="191"/>
      <c r="D228" s="191"/>
      <c r="E228" s="191"/>
      <c r="F228" s="191"/>
      <c r="G228" s="191"/>
      <c r="H228" s="195"/>
      <c r="I228" s="200"/>
      <c r="J228" s="201"/>
      <c r="K228" s="201"/>
      <c r="L228" s="202"/>
      <c r="M228" s="201"/>
      <c r="N228" s="200"/>
      <c r="O228" s="201"/>
      <c r="P228" s="201"/>
      <c r="Q228" s="202"/>
      <c r="R228" s="201"/>
      <c r="S228" s="200"/>
      <c r="T228" s="201"/>
      <c r="U228" s="201"/>
      <c r="V228" s="202"/>
      <c r="W228" s="111"/>
      <c r="X228" s="111"/>
      <c r="Y228" s="111"/>
      <c r="Z228" s="111"/>
      <c r="AA228" s="111"/>
      <c r="AB228" s="111"/>
      <c r="AC228" s="111"/>
    </row>
    <row r="229" ht="15.0" customHeight="1">
      <c r="A229" s="199"/>
      <c r="B229" s="191"/>
      <c r="C229" s="209" t="s">
        <v>37</v>
      </c>
      <c r="D229" s="191"/>
      <c r="E229" s="191"/>
      <c r="F229" s="191"/>
      <c r="G229" s="191"/>
      <c r="H229" s="195"/>
      <c r="I229" s="206" t="s">
        <v>299</v>
      </c>
      <c r="J229" s="198"/>
      <c r="L229" s="19"/>
      <c r="M229" s="198"/>
      <c r="N229" s="206" t="s">
        <v>299</v>
      </c>
      <c r="O229" s="198"/>
      <c r="Q229" s="19"/>
      <c r="R229" s="198"/>
      <c r="S229" s="206" t="s">
        <v>299</v>
      </c>
      <c r="T229" s="198"/>
      <c r="V229" s="19"/>
      <c r="W229" s="111"/>
      <c r="X229" s="111"/>
      <c r="Y229" s="111"/>
      <c r="Z229" s="111"/>
      <c r="AA229" s="111"/>
      <c r="AB229" s="111"/>
      <c r="AC229" s="111"/>
    </row>
    <row r="230" ht="15.0" customHeight="1">
      <c r="A230" s="199"/>
      <c r="B230" s="191"/>
      <c r="C230" s="300" t="s">
        <v>39</v>
      </c>
      <c r="D230" s="191"/>
      <c r="E230" s="191"/>
      <c r="F230" s="191"/>
      <c r="G230" s="191"/>
      <c r="H230" s="195"/>
      <c r="I230" s="200"/>
      <c r="J230" s="203"/>
      <c r="K230" s="203"/>
      <c r="L230" s="204"/>
      <c r="M230" s="203"/>
      <c r="N230" s="200"/>
      <c r="O230" s="203"/>
      <c r="P230" s="203"/>
      <c r="Q230" s="204"/>
      <c r="R230" s="203"/>
      <c r="S230" s="200"/>
      <c r="T230" s="203"/>
      <c r="U230" s="203"/>
      <c r="V230" s="204"/>
      <c r="W230" s="111"/>
      <c r="X230" s="111"/>
      <c r="Y230" s="111"/>
      <c r="Z230" s="111"/>
      <c r="AA230" s="111"/>
      <c r="AB230" s="111"/>
      <c r="AC230" s="111"/>
    </row>
    <row r="231" ht="15.0" customHeight="1">
      <c r="A231" s="199"/>
      <c r="B231" s="191"/>
      <c r="C231" s="300" t="s">
        <v>40</v>
      </c>
      <c r="D231" s="191"/>
      <c r="E231" s="191"/>
      <c r="F231" s="191"/>
      <c r="G231" s="191"/>
      <c r="H231" s="195"/>
      <c r="I231" s="206" t="s">
        <v>41</v>
      </c>
      <c r="K231" s="198">
        <v>0.0</v>
      </c>
      <c r="L231" s="19"/>
      <c r="M231" s="198"/>
      <c r="N231" s="200" t="s">
        <v>41</v>
      </c>
      <c r="O231" s="203"/>
      <c r="P231" s="203">
        <v>0.0</v>
      </c>
      <c r="Q231" s="204"/>
      <c r="R231" s="198"/>
      <c r="S231" s="206" t="s">
        <v>41</v>
      </c>
      <c r="U231" s="198">
        <v>0.0</v>
      </c>
      <c r="V231" s="19"/>
      <c r="W231" s="111"/>
      <c r="X231" s="111"/>
      <c r="Y231" s="111"/>
      <c r="Z231" s="111"/>
      <c r="AA231" s="111"/>
      <c r="AB231" s="111"/>
      <c r="AC231" s="111"/>
    </row>
    <row r="232" ht="15.0" customHeight="1">
      <c r="A232" s="199"/>
      <c r="B232" s="191"/>
      <c r="C232" s="300" t="s">
        <v>42</v>
      </c>
      <c r="D232" s="191"/>
      <c r="E232" s="191"/>
      <c r="F232" s="191"/>
      <c r="G232" s="191"/>
      <c r="H232" s="195"/>
      <c r="I232" s="206"/>
      <c r="J232" s="210"/>
      <c r="K232" s="198"/>
      <c r="L232" s="211"/>
      <c r="M232" s="198"/>
      <c r="N232" s="206"/>
      <c r="O232" s="210"/>
      <c r="P232" s="198"/>
      <c r="Q232" s="211"/>
      <c r="R232" s="198"/>
      <c r="S232" s="206"/>
      <c r="T232" s="210"/>
      <c r="U232" s="198"/>
      <c r="V232" s="211"/>
      <c r="W232" s="111"/>
      <c r="X232" s="111"/>
      <c r="Y232" s="111"/>
      <c r="Z232" s="111"/>
      <c r="AA232" s="111"/>
      <c r="AB232" s="111"/>
      <c r="AC232" s="111"/>
    </row>
    <row r="233" ht="15.0" customHeight="1">
      <c r="A233" s="199"/>
      <c r="B233" s="191"/>
      <c r="C233" s="300" t="s">
        <v>43</v>
      </c>
      <c r="D233" s="191"/>
      <c r="E233" s="191"/>
      <c r="F233" s="191"/>
      <c r="G233" s="191"/>
      <c r="H233" s="195"/>
      <c r="I233" s="206" t="s">
        <v>44</v>
      </c>
      <c r="J233" s="203"/>
      <c r="K233" s="203"/>
      <c r="L233" s="204"/>
      <c r="M233" s="212"/>
      <c r="N233" s="200" t="s">
        <v>44</v>
      </c>
      <c r="O233" s="203"/>
      <c r="P233" s="203"/>
      <c r="Q233" s="204"/>
      <c r="R233" s="212"/>
      <c r="S233" s="206" t="s">
        <v>44</v>
      </c>
      <c r="T233" s="212"/>
      <c r="V233" s="19"/>
      <c r="W233" s="111"/>
      <c r="X233" s="111"/>
      <c r="Y233" s="111"/>
      <c r="Z233" s="111"/>
      <c r="AA233" s="111"/>
      <c r="AB233" s="111"/>
      <c r="AC233" s="111"/>
    </row>
    <row r="234" ht="15.0" customHeight="1">
      <c r="A234" s="199"/>
      <c r="B234" s="191"/>
      <c r="C234" s="300" t="s">
        <v>45</v>
      </c>
      <c r="D234" s="191"/>
      <c r="E234" s="191"/>
      <c r="F234" s="191"/>
      <c r="G234" s="191"/>
      <c r="H234" s="195"/>
      <c r="I234" s="301"/>
      <c r="L234" s="19"/>
      <c r="M234" s="212"/>
      <c r="N234" s="301"/>
      <c r="Q234" s="19"/>
      <c r="R234" s="212"/>
      <c r="S234" s="301"/>
      <c r="V234" s="19"/>
      <c r="W234" s="111"/>
      <c r="X234" s="111"/>
      <c r="Y234" s="111"/>
      <c r="Z234" s="111"/>
      <c r="AA234" s="111"/>
      <c r="AB234" s="111"/>
      <c r="AC234" s="111"/>
    </row>
    <row r="235" ht="15.0" customHeight="1">
      <c r="A235" s="199"/>
      <c r="B235" s="191"/>
      <c r="C235" s="300" t="s">
        <v>51</v>
      </c>
      <c r="D235" s="191"/>
      <c r="E235" s="191"/>
      <c r="F235" s="191"/>
      <c r="G235" s="191"/>
      <c r="H235" s="195"/>
      <c r="I235" s="219"/>
      <c r="L235" s="19"/>
      <c r="M235" s="212"/>
      <c r="N235" s="219"/>
      <c r="Q235" s="19"/>
      <c r="R235" s="212"/>
      <c r="S235" s="219"/>
      <c r="V235" s="19"/>
      <c r="W235" s="111"/>
      <c r="X235" s="111"/>
      <c r="Y235" s="111"/>
      <c r="Z235" s="111"/>
      <c r="AA235" s="111"/>
      <c r="AB235" s="111"/>
      <c r="AC235" s="111"/>
    </row>
    <row r="236" ht="15.0" customHeight="1">
      <c r="A236" s="199"/>
      <c r="B236" s="191"/>
      <c r="C236" s="191"/>
      <c r="D236" s="191"/>
      <c r="E236" s="191"/>
      <c r="F236" s="191"/>
      <c r="G236" s="191"/>
      <c r="H236" s="195"/>
      <c r="I236" s="219"/>
      <c r="L236" s="19"/>
      <c r="M236" s="212"/>
      <c r="N236" s="219"/>
      <c r="Q236" s="19"/>
      <c r="R236" s="212"/>
      <c r="S236" s="219"/>
      <c r="V236" s="19"/>
      <c r="W236" s="111"/>
      <c r="X236" s="111"/>
      <c r="Y236" s="111"/>
      <c r="Z236" s="111"/>
      <c r="AA236" s="111"/>
      <c r="AB236" s="111"/>
      <c r="AC236" s="111"/>
    </row>
    <row r="237" ht="15.0" customHeight="1">
      <c r="A237" s="199"/>
      <c r="B237" s="191"/>
      <c r="C237" s="191"/>
      <c r="D237" s="191"/>
      <c r="E237" s="191"/>
      <c r="F237" s="191"/>
      <c r="G237" s="191"/>
      <c r="H237" s="195"/>
      <c r="I237" s="206" t="s">
        <v>52</v>
      </c>
      <c r="J237" s="201"/>
      <c r="K237" s="201"/>
      <c r="L237" s="202"/>
      <c r="M237" s="198"/>
      <c r="N237" s="200" t="s">
        <v>52</v>
      </c>
      <c r="O237" s="203"/>
      <c r="P237" s="203"/>
      <c r="Q237" s="204"/>
      <c r="R237" s="198"/>
      <c r="S237" s="206" t="s">
        <v>52</v>
      </c>
      <c r="T237" s="201"/>
      <c r="U237" s="201"/>
      <c r="V237" s="202"/>
      <c r="W237" s="111"/>
      <c r="X237" s="111"/>
      <c r="Y237" s="111"/>
      <c r="Z237" s="111"/>
      <c r="AA237" s="111"/>
      <c r="AB237" s="111"/>
      <c r="AC237" s="111"/>
    </row>
    <row r="238" ht="15.0" customHeight="1">
      <c r="A238" s="221"/>
      <c r="B238" s="191"/>
      <c r="C238" s="302"/>
      <c r="D238" s="303"/>
      <c r="F238" s="303"/>
      <c r="G238" s="303"/>
      <c r="H238" s="195"/>
      <c r="I238" s="222"/>
      <c r="J238" s="155"/>
      <c r="K238" s="155"/>
      <c r="L238" s="156"/>
      <c r="M238" s="223"/>
      <c r="N238" s="222"/>
      <c r="O238" s="155"/>
      <c r="P238" s="155"/>
      <c r="Q238" s="156"/>
      <c r="R238" s="223"/>
      <c r="S238" s="222"/>
      <c r="T238" s="155"/>
      <c r="U238" s="155"/>
      <c r="V238" s="156"/>
      <c r="W238" s="111"/>
      <c r="X238" s="111"/>
      <c r="Y238" s="111"/>
      <c r="Z238" s="111"/>
      <c r="AA238" s="111"/>
      <c r="AB238" s="111"/>
      <c r="AC238" s="111"/>
    </row>
    <row r="239" ht="15.75" customHeight="1">
      <c r="A239" s="194"/>
      <c r="B239" s="191"/>
      <c r="F239" s="303"/>
      <c r="G239" s="303"/>
      <c r="H239" s="195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</row>
    <row r="240" ht="15.75" customHeight="1">
      <c r="A240" s="199"/>
      <c r="B240" s="191"/>
      <c r="C240" s="191"/>
      <c r="D240" s="191"/>
      <c r="E240" s="191"/>
      <c r="F240" s="191"/>
      <c r="G240" s="191"/>
      <c r="H240" s="195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</row>
  </sheetData>
  <mergeCells count="72">
    <mergeCell ref="I2:L2"/>
    <mergeCell ref="I3:L3"/>
    <mergeCell ref="B4:B6"/>
    <mergeCell ref="C4:C6"/>
    <mergeCell ref="D4:G4"/>
    <mergeCell ref="K4:L4"/>
    <mergeCell ref="D5:G5"/>
    <mergeCell ref="J225:L225"/>
    <mergeCell ref="J229:L229"/>
    <mergeCell ref="I231:J231"/>
    <mergeCell ref="K231:L231"/>
    <mergeCell ref="I234:L236"/>
    <mergeCell ref="C238:C239"/>
    <mergeCell ref="D238:E239"/>
    <mergeCell ref="I238:L238"/>
    <mergeCell ref="I4:J4"/>
    <mergeCell ref="I5:I6"/>
    <mergeCell ref="C218:E219"/>
    <mergeCell ref="F218:G219"/>
    <mergeCell ref="I218:K219"/>
    <mergeCell ref="L218:L219"/>
    <mergeCell ref="I221:K222"/>
    <mergeCell ref="N238:Q238"/>
    <mergeCell ref="S238:V238"/>
    <mergeCell ref="O229:Q229"/>
    <mergeCell ref="T229:V229"/>
    <mergeCell ref="S231:T231"/>
    <mergeCell ref="U231:V231"/>
    <mergeCell ref="T233:V233"/>
    <mergeCell ref="N234:Q236"/>
    <mergeCell ref="S234:V236"/>
    <mergeCell ref="S1:V1"/>
    <mergeCell ref="S2:V2"/>
    <mergeCell ref="N3:Q3"/>
    <mergeCell ref="S3:V3"/>
    <mergeCell ref="N4:O4"/>
    <mergeCell ref="P4:Q4"/>
    <mergeCell ref="S4:T4"/>
    <mergeCell ref="U4:V4"/>
    <mergeCell ref="X4:Y4"/>
    <mergeCell ref="Z4:AA4"/>
    <mergeCell ref="B1:F3"/>
    <mergeCell ref="G1:G3"/>
    <mergeCell ref="I1:L1"/>
    <mergeCell ref="N1:Q1"/>
    <mergeCell ref="X1:AA1"/>
    <mergeCell ref="N2:Q2"/>
    <mergeCell ref="X2:AA2"/>
    <mergeCell ref="X3:AA3"/>
    <mergeCell ref="V5:V6"/>
    <mergeCell ref="X5:X6"/>
    <mergeCell ref="Z5:Z6"/>
    <mergeCell ref="AA5:AA6"/>
    <mergeCell ref="K5:K6"/>
    <mergeCell ref="L5:L6"/>
    <mergeCell ref="N5:N6"/>
    <mergeCell ref="P5:P6"/>
    <mergeCell ref="Q5:Q6"/>
    <mergeCell ref="S5:S6"/>
    <mergeCell ref="U5:U6"/>
    <mergeCell ref="Q218:Q219"/>
    <mergeCell ref="S218:U219"/>
    <mergeCell ref="V218:V219"/>
    <mergeCell ref="X218:Z219"/>
    <mergeCell ref="AA218:AA219"/>
    <mergeCell ref="N218:P219"/>
    <mergeCell ref="N221:P222"/>
    <mergeCell ref="S221:U222"/>
    <mergeCell ref="X221:Z222"/>
    <mergeCell ref="O225:Q225"/>
    <mergeCell ref="T225:V225"/>
    <mergeCell ref="T227:V227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25"/>
    <col customWidth="1" min="2" max="2" width="8.38"/>
    <col customWidth="1" min="3" max="3" width="43.75"/>
    <col customWidth="1" min="4" max="4" width="20.75"/>
    <col customWidth="1" min="5" max="7" width="29.75"/>
    <col customWidth="1" min="8" max="8" width="3.75"/>
    <col customWidth="1" min="9" max="9" width="17.75"/>
    <col customWidth="1" min="10" max="10" width="18.63"/>
    <col customWidth="1" min="11" max="11" width="16.88"/>
    <col customWidth="1" min="12" max="12" width="23.88"/>
    <col customWidth="1" min="13" max="13" width="19.38"/>
    <col customWidth="1" min="14" max="14" width="3.75"/>
    <col customWidth="1" min="15" max="15" width="19.88"/>
    <col customWidth="1" min="16" max="16" width="17.38"/>
    <col customWidth="1" min="17" max="17" width="16.0"/>
    <col customWidth="1" min="18" max="19" width="25.38"/>
    <col customWidth="1" min="20" max="20" width="3.75"/>
    <col customWidth="1" min="21" max="21" width="20.13"/>
    <col customWidth="1" min="22" max="22" width="14.38"/>
    <col customWidth="1" min="23" max="23" width="17.0"/>
    <col customWidth="1" min="24" max="25" width="22.38"/>
    <col customWidth="1" min="26" max="26" width="2.63"/>
    <col customWidth="1" hidden="1" min="27" max="27" width="24.75"/>
    <col customWidth="1" hidden="1" min="28" max="28" width="14.25"/>
    <col customWidth="1" hidden="1" min="29" max="29" width="18.38"/>
    <col customWidth="1" hidden="1" min="30" max="31" width="23.25"/>
    <col customWidth="1" min="32" max="32" width="11.38"/>
    <col customWidth="1" hidden="1" min="33" max="33" width="24.75"/>
    <col customWidth="1" hidden="1" min="34" max="34" width="17.25"/>
    <col customWidth="1" hidden="1" min="35" max="35" width="18.38"/>
    <col customWidth="1" hidden="1" min="36" max="36" width="23.25"/>
    <col customWidth="1" min="37" max="37" width="17.75"/>
  </cols>
  <sheetData>
    <row r="1" ht="33.0" customHeight="1">
      <c r="A1" s="1"/>
      <c r="B1" s="2" t="s">
        <v>300</v>
      </c>
      <c r="E1" s="304" t="s">
        <v>1</v>
      </c>
      <c r="F1" s="144"/>
      <c r="G1" s="305"/>
      <c r="H1" s="4"/>
      <c r="I1" s="5" t="s">
        <v>301</v>
      </c>
      <c r="J1" s="6"/>
      <c r="K1" s="6"/>
      <c r="L1" s="7"/>
      <c r="M1" s="8"/>
      <c r="N1" s="9"/>
      <c r="O1" s="10" t="s">
        <v>302</v>
      </c>
      <c r="P1" s="6"/>
      <c r="Q1" s="6"/>
      <c r="R1" s="7"/>
      <c r="S1" s="11"/>
      <c r="T1" s="9"/>
      <c r="U1" s="12" t="s">
        <v>303</v>
      </c>
      <c r="V1" s="6"/>
      <c r="W1" s="6"/>
      <c r="X1" s="7"/>
      <c r="Y1" s="13"/>
      <c r="Z1" s="14"/>
      <c r="AA1" s="15" t="s">
        <v>5</v>
      </c>
      <c r="AB1" s="6"/>
      <c r="AC1" s="6"/>
      <c r="AD1" s="7"/>
      <c r="AE1" s="16"/>
      <c r="AF1" s="14"/>
      <c r="AG1" s="17" t="s">
        <v>5</v>
      </c>
      <c r="AH1" s="6"/>
      <c r="AI1" s="6"/>
      <c r="AJ1" s="7"/>
      <c r="AK1" s="14"/>
    </row>
    <row r="2" ht="33.0" customHeight="1">
      <c r="A2" s="18"/>
      <c r="E2" s="219"/>
      <c r="F2" s="19"/>
      <c r="G2" s="306"/>
      <c r="H2" s="4"/>
      <c r="I2" s="20" t="s">
        <v>304</v>
      </c>
      <c r="J2" s="21"/>
      <c r="K2" s="21"/>
      <c r="L2" s="22"/>
      <c r="M2" s="8"/>
      <c r="N2" s="9"/>
      <c r="O2" s="23" t="s">
        <v>6</v>
      </c>
      <c r="P2" s="21"/>
      <c r="Q2" s="21"/>
      <c r="R2" s="22"/>
      <c r="S2" s="11"/>
      <c r="T2" s="9"/>
      <c r="U2" s="24" t="s">
        <v>6</v>
      </c>
      <c r="V2" s="21"/>
      <c r="W2" s="21"/>
      <c r="X2" s="22"/>
      <c r="Y2" s="13"/>
      <c r="Z2" s="14"/>
      <c r="AA2" s="25" t="s">
        <v>6</v>
      </c>
      <c r="AB2" s="21"/>
      <c r="AC2" s="21"/>
      <c r="AD2" s="22"/>
      <c r="AE2" s="16"/>
      <c r="AF2" s="14"/>
      <c r="AG2" s="26" t="s">
        <v>6</v>
      </c>
      <c r="AH2" s="21"/>
      <c r="AI2" s="21"/>
      <c r="AJ2" s="22"/>
      <c r="AK2" s="14"/>
    </row>
    <row r="3" ht="33.0" customHeight="1">
      <c r="A3" s="18"/>
      <c r="E3" s="154"/>
      <c r="F3" s="156"/>
      <c r="G3" s="306"/>
      <c r="H3" s="4"/>
      <c r="I3" s="27" t="s">
        <v>305</v>
      </c>
      <c r="J3" s="28"/>
      <c r="K3" s="28"/>
      <c r="L3" s="29"/>
      <c r="M3" s="8"/>
      <c r="N3" s="9"/>
      <c r="O3" s="30" t="s">
        <v>306</v>
      </c>
      <c r="P3" s="28"/>
      <c r="Q3" s="28"/>
      <c r="R3" s="29"/>
      <c r="S3" s="11"/>
      <c r="T3" s="9"/>
      <c r="U3" s="31" t="s">
        <v>307</v>
      </c>
      <c r="V3" s="28"/>
      <c r="W3" s="28"/>
      <c r="X3" s="29"/>
      <c r="Y3" s="13"/>
      <c r="Z3" s="14"/>
      <c r="AA3" s="32" t="s">
        <v>10</v>
      </c>
      <c r="AB3" s="28"/>
      <c r="AC3" s="28"/>
      <c r="AD3" s="29"/>
      <c r="AE3" s="16"/>
      <c r="AF3" s="14"/>
      <c r="AG3" s="33" t="s">
        <v>10</v>
      </c>
      <c r="AH3" s="28"/>
      <c r="AI3" s="28"/>
      <c r="AJ3" s="29"/>
      <c r="AK3" s="14"/>
    </row>
    <row r="4" ht="33.0" customHeight="1">
      <c r="A4" s="34"/>
      <c r="B4" s="35" t="s">
        <v>11</v>
      </c>
      <c r="C4" s="36" t="s">
        <v>12</v>
      </c>
      <c r="D4" s="37" t="s">
        <v>13</v>
      </c>
      <c r="E4" s="229"/>
      <c r="F4" s="229"/>
      <c r="G4" s="38"/>
      <c r="H4" s="4"/>
      <c r="I4" s="39" t="s">
        <v>14</v>
      </c>
      <c r="J4" s="40"/>
      <c r="K4" s="41" t="s">
        <v>15</v>
      </c>
      <c r="L4" s="38"/>
      <c r="M4" s="42"/>
      <c r="N4" s="43"/>
      <c r="O4" s="44" t="s">
        <v>14</v>
      </c>
      <c r="P4" s="45"/>
      <c r="Q4" s="46" t="s">
        <v>16</v>
      </c>
      <c r="R4" s="38"/>
      <c r="S4" s="47"/>
      <c r="T4" s="43"/>
      <c r="U4" s="48" t="s">
        <v>14</v>
      </c>
      <c r="V4" s="45"/>
      <c r="W4" s="49" t="s">
        <v>15</v>
      </c>
      <c r="X4" s="38"/>
      <c r="Y4" s="50"/>
      <c r="Z4" s="14"/>
      <c r="AA4" s="51" t="s">
        <v>14</v>
      </c>
      <c r="AB4" s="45"/>
      <c r="AC4" s="52" t="s">
        <v>16</v>
      </c>
      <c r="AD4" s="38"/>
      <c r="AE4" s="53"/>
      <c r="AF4" s="14"/>
      <c r="AG4" s="54" t="s">
        <v>14</v>
      </c>
      <c r="AH4" s="45"/>
      <c r="AI4" s="55" t="s">
        <v>16</v>
      </c>
      <c r="AJ4" s="38"/>
      <c r="AK4" s="14"/>
    </row>
    <row r="5" ht="45.0" customHeight="1">
      <c r="A5" s="56"/>
      <c r="B5" s="57"/>
      <c r="C5" s="57"/>
      <c r="D5" s="307">
        <f>+TODAY()</f>
        <v>46136</v>
      </c>
      <c r="E5" s="229"/>
      <c r="F5" s="229"/>
      <c r="G5" s="38"/>
      <c r="H5" s="4"/>
      <c r="I5" s="59" t="s">
        <v>17</v>
      </c>
      <c r="J5" s="60" t="s">
        <v>18</v>
      </c>
      <c r="K5" s="61" t="s">
        <v>19</v>
      </c>
      <c r="L5" s="62" t="s">
        <v>20</v>
      </c>
      <c r="M5" s="63"/>
      <c r="N5" s="4"/>
      <c r="O5" s="64" t="s">
        <v>17</v>
      </c>
      <c r="P5" s="65" t="s">
        <v>21</v>
      </c>
      <c r="Q5" s="66" t="s">
        <v>19</v>
      </c>
      <c r="R5" s="67" t="s">
        <v>20</v>
      </c>
      <c r="S5" s="68"/>
      <c r="T5" s="4"/>
      <c r="U5" s="69" t="s">
        <v>17</v>
      </c>
      <c r="V5" s="70" t="s">
        <v>22</v>
      </c>
      <c r="W5" s="71" t="s">
        <v>19</v>
      </c>
      <c r="X5" s="72" t="s">
        <v>20</v>
      </c>
      <c r="Y5" s="73"/>
      <c r="Z5" s="14"/>
      <c r="AA5" s="74" t="s">
        <v>17</v>
      </c>
      <c r="AB5" s="75" t="s">
        <v>22</v>
      </c>
      <c r="AC5" s="76" t="s">
        <v>19</v>
      </c>
      <c r="AD5" s="77" t="s">
        <v>20</v>
      </c>
      <c r="AE5" s="78"/>
      <c r="AF5" s="14"/>
      <c r="AG5" s="79" t="s">
        <v>17</v>
      </c>
      <c r="AH5" s="80" t="s">
        <v>22</v>
      </c>
      <c r="AI5" s="81" t="s">
        <v>19</v>
      </c>
      <c r="AJ5" s="82" t="s">
        <v>20</v>
      </c>
      <c r="AK5" s="14"/>
    </row>
    <row r="6" ht="30.0" customHeight="1">
      <c r="A6" s="83"/>
      <c r="B6" s="84"/>
      <c r="C6" s="84"/>
      <c r="D6" s="36" t="s">
        <v>23</v>
      </c>
      <c r="E6" s="36" t="s">
        <v>24</v>
      </c>
      <c r="F6" s="308" t="s">
        <v>308</v>
      </c>
      <c r="G6" s="308" t="s">
        <v>309</v>
      </c>
      <c r="H6" s="4"/>
      <c r="I6" s="85"/>
      <c r="J6" s="86">
        <v>0.19</v>
      </c>
      <c r="K6" s="87"/>
      <c r="L6" s="88"/>
      <c r="M6" s="63"/>
      <c r="N6" s="4"/>
      <c r="O6" s="85"/>
      <c r="P6" s="89">
        <v>0.19</v>
      </c>
      <c r="Q6" s="87"/>
      <c r="R6" s="88"/>
      <c r="S6" s="68"/>
      <c r="T6" s="4"/>
      <c r="U6" s="90"/>
      <c r="V6" s="91">
        <v>0.19</v>
      </c>
      <c r="W6" s="92"/>
      <c r="X6" s="93"/>
      <c r="Y6" s="73"/>
      <c r="Z6" s="14"/>
      <c r="AA6" s="85"/>
      <c r="AB6" s="94">
        <v>0.19</v>
      </c>
      <c r="AC6" s="87"/>
      <c r="AD6" s="88"/>
      <c r="AE6" s="78"/>
      <c r="AF6" s="14"/>
      <c r="AG6" s="85"/>
      <c r="AH6" s="95">
        <v>0.19</v>
      </c>
      <c r="AI6" s="87"/>
      <c r="AJ6" s="88"/>
      <c r="AK6" s="14"/>
    </row>
    <row r="7" ht="15.75" customHeight="1">
      <c r="A7" s="96"/>
      <c r="B7" s="97">
        <v>1.0</v>
      </c>
      <c r="C7" s="98" t="s">
        <v>310</v>
      </c>
      <c r="D7" s="99" t="s">
        <v>311</v>
      </c>
      <c r="E7" s="100">
        <v>117782.39</v>
      </c>
      <c r="F7" s="309">
        <v>4000.0</v>
      </c>
      <c r="G7" s="310">
        <f t="shared" ref="G7:G10" si="1">+E7*F7</f>
        <v>471129560</v>
      </c>
      <c r="H7" s="101"/>
      <c r="I7" s="102">
        <v>4750.0</v>
      </c>
      <c r="J7" s="103">
        <f t="shared" ref="J7:J9" si="2">I7*$J$6</f>
        <v>902.5</v>
      </c>
      <c r="K7" s="103">
        <f t="shared" ref="K7:K9" si="3">I7+J7</f>
        <v>5652.5</v>
      </c>
      <c r="L7" s="104">
        <f t="shared" ref="L7:L9" si="4">E7*K7</f>
        <v>665764959.5</v>
      </c>
      <c r="M7" s="105">
        <f>+IF(I7-MIN(IF($I7&gt;0,$I7,100000*100000),IF($O7&gt;0,$O7,100000*100000),IF($U7&gt;0,$U7,100000*100000),IF($AA7&gt;0,$AA7,100000*100000),IF($AG7&gt;0,$AG7,100000*100000))&gt;0,I7-MIN(IF($I7&gt;0,$I7,100000*100000),IF($O7&gt;0,$O7,100000*100000),IF($U7&gt;0,$U7,100000*100000),IF($AA7&gt;0,$AA7,100000*100000),IF($AG7&gt;0,$AG7,100000*100000)),0)</f>
        <v>0</v>
      </c>
      <c r="N7" s="106"/>
      <c r="O7" s="102">
        <v>4750.0</v>
      </c>
      <c r="P7" s="103">
        <f t="shared" ref="P7:P9" si="5">O7*$P$6</f>
        <v>902.5</v>
      </c>
      <c r="Q7" s="107">
        <f t="shared" ref="Q7:Q9" si="6">O7+P7</f>
        <v>5652.5</v>
      </c>
      <c r="R7" s="108">
        <f t="shared" ref="R7:R9" si="7">E7*Q7</f>
        <v>665764959.5</v>
      </c>
      <c r="S7" s="105">
        <f>+IF(O7-MIN(IF($I7&gt;0,$I7,100000*100000),IF($O7&gt;0,$O7,100000*100000),IF($U7&gt;0,$U7,100000*100000),IF($AA7&gt;0,$AA7,100000*100000),IF($AG7&gt;0,$AG7,100000*100000))&gt;0,O7-MIN(IF($I7&gt;0,$I7,100000*100000),IF($O7&gt;0,$O7,100000*100000),IF($U7&gt;0,$U7,100000*100000),IF($AA7&gt;0,$AA7,100000*100000),IF($AG7&gt;0,$AG7,100000*100000)),0)</f>
        <v>0</v>
      </c>
      <c r="T7" s="106"/>
      <c r="U7" s="109">
        <f t="shared" ref="U7:U9" si="8">+I7*1.03</f>
        <v>4892.5</v>
      </c>
      <c r="V7" s="103">
        <f t="shared" ref="V7:V9" si="9">U7*$P$6</f>
        <v>929.575</v>
      </c>
      <c r="W7" s="109">
        <f t="shared" ref="W7:W9" si="10">U7+V7</f>
        <v>5822.075</v>
      </c>
      <c r="X7" s="110">
        <f t="shared" ref="X7:X9" si="11">E7*W7</f>
        <v>685737908.3</v>
      </c>
      <c r="Y7" s="105">
        <f>+IF(U7-MIN(IF($I7&gt;0,$I7,100000*100000),IF($O7&gt;0,$O7,100000*100000),IF($U7&gt;0,$U7,100000*100000),IF($AA7&gt;0,$AA7,100000*100000),IF($AG7&gt;0,$AG7,100000*100000))&gt;0,U7-MIN(IF($I7&gt;0,$I7,100000*100000),IF($O7&gt;0,$O7,100000*100000),IF($U7&gt;0,$U7,100000*100000),IF($AA7&gt;0,$AA7,100000*100000),IF($AG7&gt;0,$AG7,100000*100000)),0)</f>
        <v>142.5</v>
      </c>
      <c r="Z7" s="111"/>
      <c r="AA7" s="112"/>
      <c r="AB7" s="109">
        <f>AA7*$V$6</f>
        <v>0</v>
      </c>
      <c r="AC7" s="109">
        <f>AA7+AB7</f>
        <v>0</v>
      </c>
      <c r="AD7" s="108">
        <f>E7*AC7</f>
        <v>0</v>
      </c>
      <c r="AE7" s="105">
        <f>+IF(AA7-MIN(IF($I7&gt;0,$I7,100000*100000),IF($O7&gt;0,$O7,100000*100000),IF($U7&gt;0,$U7,100000*100000),IF($AA7&gt;0,$AA7,100000*100000),IF($AG7&gt;0,$AG7,100000*100000))&gt;0,AA7-MIN(IF($I7&gt;0,$I7,100000*100000),IF($O7&gt;0,$O7,100000*100000),IF($U7&gt;0,$U7,100000*100000),IF($AA7&gt;0,$AA7,100000*100000),IF($AG7&gt;0,$AG7,100000*100000)),0)</f>
        <v>0</v>
      </c>
      <c r="AF7" s="111"/>
      <c r="AG7" s="112"/>
      <c r="AH7" s="109">
        <f>+AG7*$AH$6</f>
        <v>0</v>
      </c>
      <c r="AI7" s="109">
        <f>+AG7+AH7</f>
        <v>0</v>
      </c>
      <c r="AJ7" s="108">
        <f>+E7*AI7</f>
        <v>0</v>
      </c>
      <c r="AK7" s="105">
        <f>+IF(AG7-MIN(IF($I7&gt;0,$I7,100000*100000),IF($O7&gt;0,$O7,100000*100000),IF($U7&gt;0,$U7,100000*100000),IF($AA7&gt;0,$AA7,100000*100000),IF($AG7&gt;0,$AG7,100000*100000))&gt;0,AG7-MIN(IF($I7&gt;0,$I7,100000*100000),IF($O7&gt;0,$O7,100000*100000),IF($U7&gt;0,$U7,100000*100000),IF($AA7&gt;0,$AA7,100000*100000),IF($AG7&gt;0,$AG7,100000*100000)),0)</f>
        <v>0</v>
      </c>
    </row>
    <row r="8" ht="15.75" customHeight="1">
      <c r="A8" s="113"/>
      <c r="B8" s="114"/>
      <c r="C8" s="115" t="s">
        <v>312</v>
      </c>
      <c r="D8" s="116" t="s">
        <v>311</v>
      </c>
      <c r="E8" s="117">
        <v>11192.55</v>
      </c>
      <c r="F8" s="309">
        <v>5500.0</v>
      </c>
      <c r="G8" s="311">
        <f t="shared" si="1"/>
        <v>61559025</v>
      </c>
      <c r="H8" s="118"/>
      <c r="I8" s="102">
        <v>6500.0</v>
      </c>
      <c r="J8" s="103">
        <f t="shared" si="2"/>
        <v>1235</v>
      </c>
      <c r="K8" s="103">
        <f t="shared" si="3"/>
        <v>7735</v>
      </c>
      <c r="L8" s="104">
        <f t="shared" si="4"/>
        <v>86574374.25</v>
      </c>
      <c r="M8" s="105"/>
      <c r="N8" s="118"/>
      <c r="O8" s="102">
        <v>6500.0</v>
      </c>
      <c r="P8" s="103">
        <f t="shared" si="5"/>
        <v>1235</v>
      </c>
      <c r="Q8" s="107">
        <f t="shared" si="6"/>
        <v>7735</v>
      </c>
      <c r="R8" s="108">
        <f t="shared" si="7"/>
        <v>86574374.25</v>
      </c>
      <c r="S8" s="105"/>
      <c r="T8" s="118"/>
      <c r="U8" s="109">
        <f t="shared" si="8"/>
        <v>6695</v>
      </c>
      <c r="V8" s="103">
        <f t="shared" si="9"/>
        <v>1272.05</v>
      </c>
      <c r="W8" s="109">
        <f t="shared" si="10"/>
        <v>7967.05</v>
      </c>
      <c r="X8" s="110">
        <f t="shared" si="11"/>
        <v>89171605.48</v>
      </c>
      <c r="Y8" s="105"/>
      <c r="Z8" s="119"/>
      <c r="AA8" s="112"/>
      <c r="AB8" s="109"/>
      <c r="AC8" s="109"/>
      <c r="AD8" s="108"/>
      <c r="AE8" s="105"/>
      <c r="AF8" s="119"/>
      <c r="AG8" s="112"/>
      <c r="AH8" s="109"/>
      <c r="AI8" s="109"/>
      <c r="AJ8" s="108"/>
      <c r="AK8" s="105"/>
    </row>
    <row r="9" ht="15.75" customHeight="1">
      <c r="A9" s="96"/>
      <c r="B9" s="120"/>
      <c r="C9" s="115" t="s">
        <v>313</v>
      </c>
      <c r="D9" s="116" t="s">
        <v>311</v>
      </c>
      <c r="E9" s="117">
        <v>4225.35</v>
      </c>
      <c r="F9" s="312">
        <v>11702.0</v>
      </c>
      <c r="G9" s="311">
        <f t="shared" si="1"/>
        <v>49445045.7</v>
      </c>
      <c r="H9" s="118"/>
      <c r="I9" s="102">
        <v>6000.0</v>
      </c>
      <c r="J9" s="103">
        <f t="shared" si="2"/>
        <v>1140</v>
      </c>
      <c r="K9" s="103">
        <f t="shared" si="3"/>
        <v>7140</v>
      </c>
      <c r="L9" s="104">
        <f t="shared" si="4"/>
        <v>30168999</v>
      </c>
      <c r="M9" s="105"/>
      <c r="N9" s="118"/>
      <c r="O9" s="102">
        <v>6000.0</v>
      </c>
      <c r="P9" s="103">
        <f t="shared" si="5"/>
        <v>1140</v>
      </c>
      <c r="Q9" s="107">
        <f t="shared" si="6"/>
        <v>7140</v>
      </c>
      <c r="R9" s="108">
        <f t="shared" si="7"/>
        <v>30168999</v>
      </c>
      <c r="S9" s="105"/>
      <c r="T9" s="118"/>
      <c r="U9" s="109">
        <f t="shared" si="8"/>
        <v>6180</v>
      </c>
      <c r="V9" s="103">
        <f t="shared" si="9"/>
        <v>1174.2</v>
      </c>
      <c r="W9" s="109">
        <f t="shared" si="10"/>
        <v>7354.2</v>
      </c>
      <c r="X9" s="110">
        <f t="shared" si="11"/>
        <v>31074068.97</v>
      </c>
      <c r="Y9" s="105"/>
      <c r="Z9" s="119"/>
      <c r="AA9" s="112"/>
      <c r="AB9" s="109"/>
      <c r="AC9" s="109"/>
      <c r="AD9" s="108"/>
      <c r="AE9" s="105"/>
      <c r="AF9" s="119"/>
      <c r="AG9" s="112"/>
      <c r="AH9" s="109"/>
      <c r="AI9" s="109"/>
      <c r="AJ9" s="108"/>
      <c r="AK9" s="105"/>
    </row>
    <row r="10" ht="15.75" hidden="1" customHeight="1">
      <c r="A10" s="113"/>
      <c r="B10" s="114"/>
      <c r="C10" s="121"/>
      <c r="D10" s="116"/>
      <c r="E10" s="117"/>
      <c r="F10" s="312">
        <v>44000.0</v>
      </c>
      <c r="G10" s="311">
        <f t="shared" si="1"/>
        <v>0</v>
      </c>
      <c r="H10" s="118"/>
      <c r="I10" s="102"/>
      <c r="J10" s="103"/>
      <c r="K10" s="103"/>
      <c r="L10" s="104"/>
      <c r="M10" s="105"/>
      <c r="N10" s="118"/>
      <c r="O10" s="102"/>
      <c r="P10" s="103"/>
      <c r="Q10" s="107"/>
      <c r="R10" s="108"/>
      <c r="S10" s="105"/>
      <c r="T10" s="118"/>
      <c r="U10" s="112"/>
      <c r="V10" s="109"/>
      <c r="W10" s="109"/>
      <c r="X10" s="108"/>
      <c r="Y10" s="105"/>
      <c r="Z10" s="119"/>
      <c r="AA10" s="112"/>
      <c r="AB10" s="109"/>
      <c r="AC10" s="109"/>
      <c r="AD10" s="108"/>
      <c r="AE10" s="105"/>
      <c r="AF10" s="119"/>
      <c r="AG10" s="112"/>
      <c r="AH10" s="109"/>
      <c r="AI10" s="109"/>
      <c r="AJ10" s="108"/>
      <c r="AK10" s="105"/>
    </row>
    <row r="11" ht="15.75" hidden="1" customHeight="1">
      <c r="A11" s="96"/>
      <c r="B11" s="120"/>
      <c r="C11" s="121"/>
      <c r="D11" s="116"/>
      <c r="E11" s="117"/>
      <c r="F11" s="312"/>
      <c r="G11" s="311"/>
      <c r="H11" s="118"/>
      <c r="I11" s="122"/>
      <c r="J11" s="103"/>
      <c r="K11" s="103"/>
      <c r="L11" s="104"/>
      <c r="M11" s="105"/>
      <c r="N11" s="118"/>
      <c r="O11" s="102"/>
      <c r="P11" s="103"/>
      <c r="Q11" s="107"/>
      <c r="R11" s="108"/>
      <c r="S11" s="105"/>
      <c r="T11" s="118"/>
      <c r="U11" s="112"/>
      <c r="V11" s="109"/>
      <c r="W11" s="109"/>
      <c r="X11" s="108"/>
      <c r="Y11" s="105"/>
      <c r="Z11" s="119"/>
      <c r="AA11" s="112"/>
      <c r="AB11" s="109"/>
      <c r="AC11" s="109"/>
      <c r="AD11" s="108"/>
      <c r="AE11" s="105"/>
      <c r="AF11" s="119"/>
      <c r="AG11" s="112"/>
      <c r="AH11" s="109"/>
      <c r="AI11" s="109"/>
      <c r="AJ11" s="108"/>
      <c r="AK11" s="105"/>
    </row>
    <row r="12" ht="15.75" hidden="1" customHeight="1">
      <c r="A12" s="113"/>
      <c r="B12" s="114">
        <v>6.0</v>
      </c>
      <c r="C12" s="121"/>
      <c r="D12" s="116"/>
      <c r="E12" s="117"/>
      <c r="F12" s="312"/>
      <c r="G12" s="311"/>
      <c r="H12" s="118"/>
      <c r="I12" s="102"/>
      <c r="J12" s="103">
        <f t="shared" ref="J12:J13" si="12">I12*$J$6</f>
        <v>0</v>
      </c>
      <c r="K12" s="103">
        <f t="shared" ref="K12:K13" si="13">I12+J12</f>
        <v>0</v>
      </c>
      <c r="L12" s="104">
        <f t="shared" ref="L12:L13" si="14">E12*K12</f>
        <v>0</v>
      </c>
      <c r="M12" s="105">
        <f t="shared" ref="M12:M13" si="15">+IF(I12-MIN(IF($I12&gt;0,$I12,100000*100000),IF($O12&gt;0,$O12,100000*100000),IF($U12&gt;0,$U12,100000*100000),IF($AA12&gt;0,$AA12,100000*100000),IF($AG12&gt;0,$AG12,100000*100000))&gt;0,I12-MIN(IF($I12&gt;0,$I12,100000*100000),IF($O12&gt;0,$O12,100000*100000),IF($U12&gt;0,$U12,100000*100000),IF($AA12&gt;0,$AA12,100000*100000),IF($AG12&gt;0,$AG12,100000*100000)),0)</f>
        <v>0</v>
      </c>
      <c r="N12" s="118"/>
      <c r="O12" s="102"/>
      <c r="P12" s="103">
        <f t="shared" ref="P12:P13" si="16">O12*$P$6</f>
        <v>0</v>
      </c>
      <c r="Q12" s="107">
        <f t="shared" ref="Q12:Q13" si="17">O12+P12</f>
        <v>0</v>
      </c>
      <c r="R12" s="108">
        <f t="shared" ref="R12:R13" si="18">E12*Q12</f>
        <v>0</v>
      </c>
      <c r="S12" s="105">
        <f t="shared" ref="S12:S13" si="19">+IF(O12-MIN(IF($I12&gt;0,$I12,100000*100000),IF($O12&gt;0,$O12,100000*100000),IF($U12&gt;0,$U12,100000*100000),IF($AA12&gt;0,$AA12,100000*100000),IF($AG12&gt;0,$AG12,100000*100000))&gt;0,O12-MIN(IF($I12&gt;0,$I12,100000*100000),IF($O12&gt;0,$O12,100000*100000),IF($U12&gt;0,$U12,100000*100000),IF($AA12&gt;0,$AA12,100000*100000),IF($AG12&gt;0,$AG12,100000*100000)),0)</f>
        <v>0</v>
      </c>
      <c r="T12" s="118"/>
      <c r="U12" s="313"/>
      <c r="V12" s="109">
        <f t="shared" ref="V12:V13" si="20">U12*$V$6</f>
        <v>0</v>
      </c>
      <c r="W12" s="109">
        <f t="shared" ref="W12:W13" si="21">U12+V12</f>
        <v>0</v>
      </c>
      <c r="X12" s="108">
        <f t="shared" ref="X12:X13" si="22">E12*W12</f>
        <v>0</v>
      </c>
      <c r="Y12" s="105">
        <f t="shared" ref="Y12:Y13" si="23">+IF(U12-MIN(IF($I12&gt;0,$I12,100000*100000),IF($O12&gt;0,$O12,100000*100000),IF($U12&gt;0,$U12,100000*100000),IF($AA12&gt;0,$AA12,100000*100000),IF($AG12&gt;0,$AG12,100000*100000))&gt;0,U12-MIN(IF($I12&gt;0,$I12,100000*100000),IF($O12&gt;0,$O12,100000*100000),IF($U12&gt;0,$U12,100000*100000),IF($AA12&gt;0,$AA12,100000*100000),IF($AG12&gt;0,$AG12,100000*100000)),0)</f>
        <v>0</v>
      </c>
      <c r="Z12" s="119"/>
      <c r="AA12" s="112"/>
      <c r="AB12" s="109">
        <f t="shared" ref="AB12:AB13" si="24">+AA12*$AB$6</f>
        <v>0</v>
      </c>
      <c r="AC12" s="109">
        <f t="shared" ref="AC12:AC13" si="25">+AA12+AB12</f>
        <v>0</v>
      </c>
      <c r="AD12" s="108">
        <f t="shared" ref="AD12:AD13" si="26">E12*AC12</f>
        <v>0</v>
      </c>
      <c r="AE12" s="105">
        <f t="shared" ref="AE12:AE13" si="27">+IF(AA12-MIN(IF($I12&gt;0,$I12,100000*100000),IF($O12&gt;0,$O12,100000*100000),IF($U12&gt;0,$U12,100000*100000),IF($AA12&gt;0,$AA12,100000*100000),IF($AG12&gt;0,$AG12,100000*100000))&gt;0,AA12-MIN(IF($I12&gt;0,$I12,100000*100000),IF($O12&gt;0,$O12,100000*100000),IF($U12&gt;0,$U12,100000*100000),IF($AA12&gt;0,$AA12,100000*100000),IF($AG12&gt;0,$AG12,100000*100000)),0)</f>
        <v>0</v>
      </c>
      <c r="AF12" s="119"/>
      <c r="AG12" s="112"/>
      <c r="AH12" s="109"/>
      <c r="AI12" s="109"/>
      <c r="AJ12" s="108"/>
      <c r="AK12" s="105">
        <f t="shared" ref="AK12:AK13" si="28">+IF(AG12-MIN(IF($I12&gt;0,$I12,100000*100000),IF($O12&gt;0,$O12,100000*100000),IF($U12&gt;0,$U12,100000*100000),IF($AA12&gt;0,$AA12,100000*100000),IF($AG12&gt;0,$AG12,100000*100000))&gt;0,AG12-MIN(IF($I12&gt;0,$I12,100000*100000),IF($O12&gt;0,$O12,100000*100000),IF($U12&gt;0,$U12,100000*100000),IF($AA12&gt;0,$AA12,100000*100000),IF($AG12&gt;0,$AG12,100000*100000)),0)</f>
        <v>0</v>
      </c>
    </row>
    <row r="13" ht="15.75" hidden="1" customHeight="1">
      <c r="A13" s="96"/>
      <c r="B13" s="120">
        <v>7.0</v>
      </c>
      <c r="C13" s="121"/>
      <c r="D13" s="116"/>
      <c r="E13" s="117"/>
      <c r="F13" s="312"/>
      <c r="G13" s="311"/>
      <c r="H13" s="118"/>
      <c r="I13" s="102"/>
      <c r="J13" s="103">
        <f t="shared" si="12"/>
        <v>0</v>
      </c>
      <c r="K13" s="103">
        <f t="shared" si="13"/>
        <v>0</v>
      </c>
      <c r="L13" s="104">
        <f t="shared" si="14"/>
        <v>0</v>
      </c>
      <c r="M13" s="105">
        <f t="shared" si="15"/>
        <v>0</v>
      </c>
      <c r="N13" s="118"/>
      <c r="O13" s="102"/>
      <c r="P13" s="103">
        <f t="shared" si="16"/>
        <v>0</v>
      </c>
      <c r="Q13" s="107">
        <f t="shared" si="17"/>
        <v>0</v>
      </c>
      <c r="R13" s="108">
        <f t="shared" si="18"/>
        <v>0</v>
      </c>
      <c r="S13" s="105">
        <f t="shared" si="19"/>
        <v>0</v>
      </c>
      <c r="T13" s="118"/>
      <c r="U13" s="314"/>
      <c r="V13" s="109">
        <f t="shared" si="20"/>
        <v>0</v>
      </c>
      <c r="W13" s="109">
        <f t="shared" si="21"/>
        <v>0</v>
      </c>
      <c r="X13" s="108">
        <f t="shared" si="22"/>
        <v>0</v>
      </c>
      <c r="Y13" s="105">
        <f t="shared" si="23"/>
        <v>0</v>
      </c>
      <c r="Z13" s="119"/>
      <c r="AA13" s="112"/>
      <c r="AB13" s="109">
        <f t="shared" si="24"/>
        <v>0</v>
      </c>
      <c r="AC13" s="109">
        <f t="shared" si="25"/>
        <v>0</v>
      </c>
      <c r="AD13" s="108">
        <f t="shared" si="26"/>
        <v>0</v>
      </c>
      <c r="AE13" s="105">
        <f t="shared" si="27"/>
        <v>0</v>
      </c>
      <c r="AF13" s="119"/>
      <c r="AG13" s="112"/>
      <c r="AH13" s="109"/>
      <c r="AI13" s="109"/>
      <c r="AJ13" s="108"/>
      <c r="AK13" s="105">
        <f t="shared" si="28"/>
        <v>0</v>
      </c>
    </row>
    <row r="14" ht="15.75" hidden="1" customHeight="1">
      <c r="A14" s="123"/>
      <c r="B14" s="123"/>
      <c r="C14" s="124"/>
      <c r="D14" s="125"/>
      <c r="E14" s="126"/>
      <c r="F14" s="315"/>
      <c r="G14" s="316"/>
      <c r="H14" s="127"/>
      <c r="I14" s="128"/>
      <c r="J14" s="129"/>
      <c r="K14" s="129"/>
      <c r="L14" s="130"/>
      <c r="M14" s="131"/>
      <c r="N14" s="131"/>
      <c r="O14" s="132"/>
      <c r="P14" s="129"/>
      <c r="Q14" s="129"/>
      <c r="R14" s="133"/>
      <c r="S14" s="118"/>
      <c r="T14" s="131"/>
      <c r="U14" s="128"/>
      <c r="V14" s="134"/>
      <c r="W14" s="134"/>
      <c r="X14" s="130"/>
      <c r="Y14" s="131"/>
      <c r="Z14" s="111"/>
      <c r="AA14" s="128"/>
      <c r="AB14" s="135"/>
      <c r="AC14" s="135"/>
      <c r="AD14" s="130"/>
      <c r="AE14" s="131"/>
      <c r="AF14" s="111"/>
      <c r="AG14" s="128"/>
      <c r="AH14" s="135"/>
      <c r="AI14" s="135"/>
      <c r="AJ14" s="130"/>
      <c r="AK14" s="111"/>
    </row>
    <row r="15" ht="15.75" customHeight="1">
      <c r="A15" s="136"/>
      <c r="B15" s="136"/>
      <c r="C15" s="137"/>
      <c r="D15" s="138"/>
      <c r="E15" s="139"/>
      <c r="F15" s="317"/>
      <c r="G15" s="317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11"/>
      <c r="AA15" s="140"/>
      <c r="AB15" s="140"/>
      <c r="AC15" s="140"/>
      <c r="AD15" s="140"/>
      <c r="AE15" s="140"/>
      <c r="AF15" s="111"/>
      <c r="AG15" s="140"/>
      <c r="AH15" s="140"/>
      <c r="AI15" s="140"/>
      <c r="AJ15" s="140"/>
      <c r="AK15" s="111"/>
    </row>
    <row r="16" ht="15.75" customHeight="1">
      <c r="A16" s="141"/>
      <c r="B16" s="136"/>
      <c r="C16" s="142" t="s">
        <v>30</v>
      </c>
      <c r="D16" s="143"/>
      <c r="E16" s="143"/>
      <c r="F16" s="318">
        <f>SUM(G7:G10)</f>
        <v>582133630.7</v>
      </c>
      <c r="G16" s="144"/>
      <c r="H16" s="145"/>
      <c r="I16" s="146"/>
      <c r="J16" s="143"/>
      <c r="K16" s="143"/>
      <c r="L16" s="147">
        <f>SUM(L7:L14)</f>
        <v>782508332.7</v>
      </c>
      <c r="M16" s="148"/>
      <c r="N16" s="149"/>
      <c r="O16" s="146"/>
      <c r="P16" s="143"/>
      <c r="Q16" s="143"/>
      <c r="R16" s="147">
        <f>SUM(R7:R14)</f>
        <v>782508332.7</v>
      </c>
      <c r="S16" s="148"/>
      <c r="T16" s="149"/>
      <c r="U16" s="146"/>
      <c r="V16" s="143"/>
      <c r="W16" s="143"/>
      <c r="X16" s="147">
        <f>SUM(X7:X14)</f>
        <v>805983582.7</v>
      </c>
      <c r="Y16" s="148"/>
      <c r="Z16" s="14"/>
      <c r="AA16" s="146"/>
      <c r="AB16" s="143"/>
      <c r="AC16" s="143"/>
      <c r="AD16" s="150">
        <f>SUM(AD7:AD15)</f>
        <v>0</v>
      </c>
      <c r="AE16" s="151"/>
      <c r="AF16" s="14"/>
      <c r="AG16" s="146"/>
      <c r="AH16" s="143"/>
      <c r="AI16" s="143"/>
      <c r="AJ16" s="152">
        <f>SUM(AJ7:AJ15)</f>
        <v>0</v>
      </c>
      <c r="AK16" s="14"/>
    </row>
    <row r="17" ht="15.75" customHeight="1">
      <c r="A17" s="153"/>
      <c r="B17" s="136"/>
      <c r="C17" s="154"/>
      <c r="D17" s="155"/>
      <c r="E17" s="155"/>
      <c r="F17" s="154"/>
      <c r="G17" s="156"/>
      <c r="H17" s="145"/>
      <c r="I17" s="154"/>
      <c r="J17" s="155"/>
      <c r="K17" s="155"/>
      <c r="L17" s="84"/>
      <c r="M17" s="148"/>
      <c r="N17" s="149"/>
      <c r="O17" s="154"/>
      <c r="P17" s="155"/>
      <c r="Q17" s="155"/>
      <c r="R17" s="84"/>
      <c r="S17" s="148"/>
      <c r="T17" s="149"/>
      <c r="U17" s="154"/>
      <c r="V17" s="155"/>
      <c r="W17" s="155"/>
      <c r="X17" s="84"/>
      <c r="Y17" s="148"/>
      <c r="Z17" s="14"/>
      <c r="AA17" s="154"/>
      <c r="AB17" s="155"/>
      <c r="AC17" s="155"/>
      <c r="AD17" s="84"/>
      <c r="AE17" s="151"/>
      <c r="AF17" s="14"/>
      <c r="AG17" s="154"/>
      <c r="AH17" s="155"/>
      <c r="AI17" s="155"/>
      <c r="AJ17" s="84"/>
      <c r="AK17" s="14"/>
    </row>
    <row r="18" ht="8.25" customHeight="1">
      <c r="A18" s="137"/>
      <c r="B18" s="137"/>
      <c r="C18" s="137"/>
      <c r="D18" s="137"/>
      <c r="E18" s="157"/>
      <c r="F18" s="157"/>
      <c r="G18" s="157"/>
      <c r="H18" s="9"/>
      <c r="I18" s="158"/>
      <c r="J18" s="158"/>
      <c r="K18" s="158"/>
      <c r="L18" s="149"/>
      <c r="M18" s="149"/>
      <c r="N18" s="149"/>
      <c r="O18" s="158"/>
      <c r="P18" s="158"/>
      <c r="Q18" s="158"/>
      <c r="R18" s="149"/>
      <c r="S18" s="149"/>
      <c r="T18" s="149"/>
      <c r="U18" s="158"/>
      <c r="V18" s="158"/>
      <c r="W18" s="158"/>
      <c r="X18" s="149"/>
      <c r="Y18" s="149"/>
      <c r="Z18" s="14"/>
      <c r="AA18" s="158"/>
      <c r="AB18" s="158"/>
      <c r="AC18" s="158"/>
      <c r="AD18" s="149"/>
      <c r="AE18" s="149"/>
      <c r="AF18" s="14"/>
      <c r="AG18" s="158"/>
      <c r="AH18" s="158"/>
      <c r="AI18" s="158"/>
      <c r="AJ18" s="149"/>
      <c r="AK18" s="14"/>
    </row>
    <row r="19" ht="15.75" customHeight="1">
      <c r="A19" s="159"/>
      <c r="B19" s="160" t="s">
        <v>31</v>
      </c>
      <c r="C19" s="160"/>
      <c r="D19" s="160"/>
      <c r="E19" s="161"/>
      <c r="F19" s="137"/>
      <c r="G19" s="137"/>
      <c r="H19" s="162"/>
      <c r="I19" s="163"/>
      <c r="J19" s="143"/>
      <c r="K19" s="143"/>
      <c r="L19" s="164">
        <f>+L16-MIN($L$16,$R$16,$X$16)</f>
        <v>0</v>
      </c>
      <c r="M19" s="165"/>
      <c r="N19" s="166"/>
      <c r="O19" s="163"/>
      <c r="P19" s="143"/>
      <c r="Q19" s="143"/>
      <c r="R19" s="167">
        <f>+R16-MIN($L$16,$R$16,$X$16)</f>
        <v>0</v>
      </c>
      <c r="S19" s="168"/>
      <c r="T19" s="166"/>
      <c r="U19" s="163"/>
      <c r="V19" s="143"/>
      <c r="W19" s="143"/>
      <c r="X19" s="169">
        <f>+X16-MIN($L$16,$R$16,$X$16)</f>
        <v>23475249.98</v>
      </c>
      <c r="Y19" s="170"/>
      <c r="Z19" s="14"/>
      <c r="AA19" s="163"/>
      <c r="AB19" s="143"/>
      <c r="AC19" s="143"/>
      <c r="AD19" s="171">
        <f>+AD16-MIN($L$16,$R$16,$X$16)</f>
        <v>-782508332.7</v>
      </c>
      <c r="AE19" s="172"/>
      <c r="AF19" s="14"/>
      <c r="AG19" s="163"/>
      <c r="AH19" s="143"/>
      <c r="AI19" s="143"/>
      <c r="AJ19" s="173">
        <f>+AJ16-MIN($L$16,$R$16,$X$16)</f>
        <v>-782508332.7</v>
      </c>
      <c r="AK19" s="14"/>
    </row>
    <row r="20" ht="15.75" customHeight="1">
      <c r="A20" s="174"/>
      <c r="B20" s="175" t="s">
        <v>32</v>
      </c>
      <c r="C20" s="175"/>
      <c r="D20" s="175"/>
      <c r="E20" s="176"/>
      <c r="F20" s="187"/>
      <c r="G20" s="187"/>
      <c r="H20" s="162"/>
      <c r="I20" s="154"/>
      <c r="J20" s="155"/>
      <c r="K20" s="155"/>
      <c r="L20" s="177">
        <f>+L19/MIN($L$16,$X$16)</f>
        <v>0</v>
      </c>
      <c r="M20" s="178"/>
      <c r="N20" s="179"/>
      <c r="O20" s="154"/>
      <c r="P20" s="155"/>
      <c r="Q20" s="155"/>
      <c r="R20" s="180">
        <f>+R19/MIN($L$16,$R$16,$X$16)</f>
        <v>0</v>
      </c>
      <c r="S20" s="181"/>
      <c r="T20" s="179"/>
      <c r="U20" s="154"/>
      <c r="V20" s="155"/>
      <c r="W20" s="155"/>
      <c r="X20" s="182">
        <f>+X19/MIN($L$16,$X$16)</f>
        <v>0.03</v>
      </c>
      <c r="Y20" s="183"/>
      <c r="Z20" s="14"/>
      <c r="AA20" s="154"/>
      <c r="AB20" s="155"/>
      <c r="AC20" s="155"/>
      <c r="AD20" s="184">
        <f>+AD19/MIN($L$16,$R$16,$X$16)</f>
        <v>-1</v>
      </c>
      <c r="AE20" s="185"/>
      <c r="AF20" s="14"/>
      <c r="AG20" s="154"/>
      <c r="AH20" s="155"/>
      <c r="AI20" s="155"/>
      <c r="AJ20" s="186">
        <f>+AJ19/MIN($L$16,$R$16,$X$16)</f>
        <v>-1</v>
      </c>
      <c r="AK20" s="14"/>
    </row>
    <row r="21" ht="7.5" customHeight="1">
      <c r="A21" s="187"/>
      <c r="B21" s="187"/>
      <c r="C21" s="187"/>
      <c r="D21" s="187"/>
      <c r="E21" s="157"/>
      <c r="F21" s="157"/>
      <c r="G21" s="157"/>
      <c r="H21" s="188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4"/>
      <c r="AA21" s="189"/>
      <c r="AB21" s="189"/>
      <c r="AC21" s="189"/>
      <c r="AD21" s="189"/>
      <c r="AE21" s="189"/>
      <c r="AF21" s="14"/>
      <c r="AG21" s="189"/>
      <c r="AH21" s="189"/>
      <c r="AI21" s="189"/>
      <c r="AJ21" s="189"/>
      <c r="AK21" s="14"/>
    </row>
    <row r="22" ht="9.0" customHeight="1">
      <c r="A22" s="190"/>
      <c r="B22" s="191"/>
      <c r="C22" s="191"/>
      <c r="D22" s="191"/>
      <c r="E22" s="191"/>
      <c r="F22" s="191"/>
      <c r="G22" s="191"/>
      <c r="H22" s="192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11"/>
      <c r="AA22" s="193"/>
      <c r="AB22" s="193"/>
      <c r="AC22" s="193"/>
      <c r="AD22" s="193"/>
      <c r="AE22" s="193"/>
      <c r="AF22" s="111"/>
      <c r="AG22" s="193"/>
      <c r="AH22" s="193"/>
      <c r="AI22" s="193"/>
      <c r="AJ22" s="193"/>
      <c r="AK22" s="111"/>
    </row>
    <row r="23" ht="15.0" customHeight="1">
      <c r="A23" s="194"/>
      <c r="B23" s="191"/>
      <c r="C23" s="191"/>
      <c r="D23" s="191"/>
      <c r="E23" s="191"/>
      <c r="F23" s="191"/>
      <c r="G23" s="191"/>
      <c r="H23" s="195"/>
      <c r="I23" s="196" t="s">
        <v>33</v>
      </c>
      <c r="J23" s="197" t="s">
        <v>314</v>
      </c>
      <c r="K23" s="143"/>
      <c r="L23" s="144"/>
      <c r="M23" s="198"/>
      <c r="N23" s="198"/>
      <c r="O23" s="196" t="s">
        <v>33</v>
      </c>
      <c r="P23" s="197" t="s">
        <v>35</v>
      </c>
      <c r="Q23" s="143"/>
      <c r="R23" s="144"/>
      <c r="S23" s="198"/>
      <c r="T23" s="198"/>
      <c r="U23" s="196" t="s">
        <v>33</v>
      </c>
      <c r="V23" s="197" t="s">
        <v>35</v>
      </c>
      <c r="W23" s="143"/>
      <c r="X23" s="144"/>
      <c r="Y23" s="198"/>
      <c r="Z23" s="111"/>
      <c r="AA23" s="196" t="s">
        <v>33</v>
      </c>
      <c r="AB23" s="197" t="s">
        <v>35</v>
      </c>
      <c r="AC23" s="143"/>
      <c r="AD23" s="144"/>
      <c r="AE23" s="198"/>
      <c r="AF23" s="111"/>
      <c r="AG23" s="196" t="s">
        <v>33</v>
      </c>
      <c r="AH23" s="197" t="s">
        <v>35</v>
      </c>
      <c r="AI23" s="143"/>
      <c r="AJ23" s="144"/>
      <c r="AK23" s="111"/>
    </row>
    <row r="24" ht="15.0" customHeight="1">
      <c r="A24" s="199"/>
      <c r="B24" s="191"/>
      <c r="C24" s="191"/>
      <c r="D24" s="191"/>
      <c r="E24" s="191"/>
      <c r="F24" s="191"/>
      <c r="G24" s="191"/>
      <c r="H24" s="195"/>
      <c r="I24" s="200"/>
      <c r="J24" s="201"/>
      <c r="K24" s="201"/>
      <c r="L24" s="202"/>
      <c r="M24" s="201"/>
      <c r="N24" s="201"/>
      <c r="O24" s="200"/>
      <c r="P24" s="201"/>
      <c r="Q24" s="201"/>
      <c r="R24" s="202"/>
      <c r="S24" s="201"/>
      <c r="T24" s="201"/>
      <c r="U24" s="200"/>
      <c r="V24" s="201"/>
      <c r="W24" s="201"/>
      <c r="X24" s="202"/>
      <c r="Y24" s="201"/>
      <c r="Z24" s="111"/>
      <c r="AA24" s="200"/>
      <c r="AB24" s="201"/>
      <c r="AC24" s="201"/>
      <c r="AD24" s="202"/>
      <c r="AE24" s="201"/>
      <c r="AF24" s="111"/>
      <c r="AG24" s="200"/>
      <c r="AH24" s="201"/>
      <c r="AI24" s="201"/>
      <c r="AJ24" s="202"/>
      <c r="AK24" s="111"/>
    </row>
    <row r="25" ht="15.0" customHeight="1">
      <c r="A25" s="199"/>
      <c r="B25" s="191"/>
      <c r="C25" s="191"/>
      <c r="D25" s="191"/>
      <c r="E25" s="191"/>
      <c r="F25" s="191"/>
      <c r="G25" s="191"/>
      <c r="H25" s="195"/>
      <c r="I25" s="200" t="s">
        <v>36</v>
      </c>
      <c r="J25" s="203"/>
      <c r="K25" s="203"/>
      <c r="L25" s="204"/>
      <c r="M25" s="203"/>
      <c r="N25" s="205"/>
      <c r="O25" s="206" t="s">
        <v>36</v>
      </c>
      <c r="P25" s="207"/>
      <c r="Q25" s="207"/>
      <c r="R25" s="208"/>
      <c r="S25" s="207"/>
      <c r="T25" s="205"/>
      <c r="U25" s="206" t="s">
        <v>36</v>
      </c>
      <c r="V25" s="205"/>
      <c r="X25" s="19"/>
      <c r="Y25" s="205"/>
      <c r="Z25" s="111"/>
      <c r="AA25" s="206" t="s">
        <v>36</v>
      </c>
      <c r="AB25" s="205"/>
      <c r="AD25" s="19"/>
      <c r="AE25" s="205"/>
      <c r="AF25" s="111"/>
      <c r="AG25" s="206" t="s">
        <v>36</v>
      </c>
      <c r="AH25" s="205"/>
      <c r="AJ25" s="19"/>
      <c r="AK25" s="111"/>
    </row>
    <row r="26" ht="15.0" customHeight="1">
      <c r="A26" s="199"/>
      <c r="B26" s="191"/>
      <c r="C26" s="191"/>
      <c r="D26" s="191"/>
      <c r="E26" s="191"/>
      <c r="F26" s="191"/>
      <c r="G26" s="191"/>
      <c r="H26" s="195"/>
      <c r="I26" s="200"/>
      <c r="J26" s="201"/>
      <c r="K26" s="201"/>
      <c r="L26" s="202"/>
      <c r="M26" s="201"/>
      <c r="N26" s="201"/>
      <c r="O26" s="200"/>
      <c r="P26" s="201"/>
      <c r="Q26" s="201"/>
      <c r="R26" s="202"/>
      <c r="S26" s="201"/>
      <c r="T26" s="201"/>
      <c r="U26" s="200"/>
      <c r="V26" s="201"/>
      <c r="W26" s="201"/>
      <c r="X26" s="202"/>
      <c r="Y26" s="201"/>
      <c r="Z26" s="111"/>
      <c r="AA26" s="200"/>
      <c r="AB26" s="201"/>
      <c r="AC26" s="201"/>
      <c r="AD26" s="202"/>
      <c r="AE26" s="201"/>
      <c r="AF26" s="111"/>
      <c r="AG26" s="200"/>
      <c r="AH26" s="201"/>
      <c r="AI26" s="201"/>
      <c r="AJ26" s="202"/>
      <c r="AK26" s="111"/>
    </row>
    <row r="27" ht="15.0" customHeight="1">
      <c r="A27" s="199"/>
      <c r="B27" s="191"/>
      <c r="C27" s="209" t="s">
        <v>37</v>
      </c>
      <c r="D27" s="191"/>
      <c r="E27" s="191"/>
      <c r="F27" s="191"/>
      <c r="G27" s="191"/>
      <c r="H27" s="195"/>
      <c r="I27" s="206" t="s">
        <v>38</v>
      </c>
      <c r="J27" s="198"/>
      <c r="L27" s="19"/>
      <c r="M27" s="198"/>
      <c r="N27" s="198"/>
      <c r="O27" s="206" t="s">
        <v>38</v>
      </c>
      <c r="P27" s="198"/>
      <c r="R27" s="19"/>
      <c r="S27" s="198"/>
      <c r="T27" s="198"/>
      <c r="U27" s="206" t="s">
        <v>38</v>
      </c>
      <c r="V27" s="198"/>
      <c r="X27" s="19"/>
      <c r="Y27" s="198"/>
      <c r="Z27" s="111"/>
      <c r="AA27" s="206" t="s">
        <v>38</v>
      </c>
      <c r="AB27" s="198"/>
      <c r="AD27" s="19"/>
      <c r="AE27" s="198"/>
      <c r="AF27" s="111"/>
      <c r="AG27" s="206" t="s">
        <v>38</v>
      </c>
      <c r="AH27" s="198"/>
      <c r="AJ27" s="19"/>
      <c r="AK27" s="111"/>
    </row>
    <row r="28" ht="15.0" customHeight="1">
      <c r="A28" s="199"/>
      <c r="B28" s="191"/>
      <c r="C28" s="191" t="s">
        <v>39</v>
      </c>
      <c r="D28" s="191"/>
      <c r="E28" s="191"/>
      <c r="F28" s="191"/>
      <c r="G28" s="191"/>
      <c r="H28" s="195"/>
      <c r="I28" s="200"/>
      <c r="J28" s="203"/>
      <c r="K28" s="203"/>
      <c r="L28" s="204"/>
      <c r="M28" s="203"/>
      <c r="N28" s="203"/>
      <c r="O28" s="200"/>
      <c r="P28" s="203"/>
      <c r="Q28" s="203"/>
      <c r="R28" s="204"/>
      <c r="S28" s="203"/>
      <c r="T28" s="203"/>
      <c r="U28" s="200"/>
      <c r="V28" s="203"/>
      <c r="W28" s="203"/>
      <c r="X28" s="204"/>
      <c r="Y28" s="203"/>
      <c r="Z28" s="111"/>
      <c r="AA28" s="200"/>
      <c r="AB28" s="203"/>
      <c r="AC28" s="203"/>
      <c r="AD28" s="204"/>
      <c r="AE28" s="203"/>
      <c r="AF28" s="111"/>
      <c r="AG28" s="200"/>
      <c r="AH28" s="203"/>
      <c r="AI28" s="203"/>
      <c r="AJ28" s="204"/>
      <c r="AK28" s="111"/>
    </row>
    <row r="29" ht="15.0" customHeight="1">
      <c r="A29" s="199"/>
      <c r="B29" s="191"/>
      <c r="C29" s="191" t="s">
        <v>40</v>
      </c>
      <c r="D29" s="191"/>
      <c r="E29" s="191"/>
      <c r="F29" s="191"/>
      <c r="G29" s="191"/>
      <c r="H29" s="195"/>
      <c r="I29" s="206" t="s">
        <v>41</v>
      </c>
      <c r="K29" s="198"/>
      <c r="L29" s="19"/>
      <c r="M29" s="198"/>
      <c r="N29" s="198"/>
      <c r="O29" s="200" t="s">
        <v>41</v>
      </c>
      <c r="P29" s="203"/>
      <c r="Q29" s="203"/>
      <c r="R29" s="204"/>
      <c r="S29" s="203"/>
      <c r="T29" s="198"/>
      <c r="U29" s="206" t="s">
        <v>41</v>
      </c>
      <c r="W29" s="198"/>
      <c r="X29" s="19"/>
      <c r="Y29" s="198"/>
      <c r="Z29" s="111"/>
      <c r="AA29" s="206" t="s">
        <v>41</v>
      </c>
      <c r="AC29" s="198"/>
      <c r="AD29" s="19"/>
      <c r="AE29" s="198"/>
      <c r="AF29" s="111"/>
      <c r="AG29" s="206" t="s">
        <v>41</v>
      </c>
      <c r="AI29" s="198"/>
      <c r="AJ29" s="19"/>
      <c r="AK29" s="111"/>
    </row>
    <row r="30" ht="15.0" customHeight="1">
      <c r="A30" s="199"/>
      <c r="B30" s="191"/>
      <c r="C30" s="191" t="s">
        <v>42</v>
      </c>
      <c r="D30" s="191"/>
      <c r="E30" s="191"/>
      <c r="F30" s="191"/>
      <c r="G30" s="191"/>
      <c r="H30" s="195"/>
      <c r="I30" s="206"/>
      <c r="J30" s="210"/>
      <c r="K30" s="198"/>
      <c r="L30" s="211"/>
      <c r="M30" s="198"/>
      <c r="N30" s="198"/>
      <c r="O30" s="206"/>
      <c r="P30" s="210"/>
      <c r="Q30" s="198"/>
      <c r="R30" s="211"/>
      <c r="S30" s="198"/>
      <c r="T30" s="198"/>
      <c r="U30" s="206"/>
      <c r="V30" s="210"/>
      <c r="W30" s="198"/>
      <c r="X30" s="211"/>
      <c r="Y30" s="198"/>
      <c r="Z30" s="111"/>
      <c r="AA30" s="206"/>
      <c r="AB30" s="210"/>
      <c r="AC30" s="198"/>
      <c r="AD30" s="211"/>
      <c r="AE30" s="198"/>
      <c r="AF30" s="111"/>
      <c r="AG30" s="206"/>
      <c r="AH30" s="210"/>
      <c r="AI30" s="198"/>
      <c r="AJ30" s="211"/>
      <c r="AK30" s="111"/>
    </row>
    <row r="31" ht="15.0" customHeight="1">
      <c r="A31" s="199"/>
      <c r="B31" s="191"/>
      <c r="C31" s="191" t="s">
        <v>43</v>
      </c>
      <c r="D31" s="191"/>
      <c r="E31" s="191"/>
      <c r="F31" s="191"/>
      <c r="G31" s="191"/>
      <c r="H31" s="195"/>
      <c r="I31" s="206" t="s">
        <v>44</v>
      </c>
      <c r="J31" s="203"/>
      <c r="K31" s="203"/>
      <c r="L31" s="204"/>
      <c r="M31" s="203"/>
      <c r="N31" s="212"/>
      <c r="O31" s="200" t="s">
        <v>44</v>
      </c>
      <c r="P31" s="203"/>
      <c r="Q31" s="203"/>
      <c r="R31" s="204"/>
      <c r="S31" s="203"/>
      <c r="T31" s="212"/>
      <c r="U31" s="206" t="s">
        <v>44</v>
      </c>
      <c r="V31" s="212"/>
      <c r="X31" s="19"/>
      <c r="Y31" s="212"/>
      <c r="Z31" s="111"/>
      <c r="AA31" s="206" t="s">
        <v>44</v>
      </c>
      <c r="AB31" s="212"/>
      <c r="AD31" s="19"/>
      <c r="AE31" s="212"/>
      <c r="AF31" s="111"/>
      <c r="AG31" s="206" t="s">
        <v>44</v>
      </c>
      <c r="AH31" s="212"/>
      <c r="AJ31" s="19"/>
      <c r="AK31" s="111"/>
    </row>
    <row r="32" ht="15.0" customHeight="1">
      <c r="A32" s="199"/>
      <c r="B32" s="191"/>
      <c r="C32" s="191" t="s">
        <v>45</v>
      </c>
      <c r="D32" s="191"/>
      <c r="E32" s="191"/>
      <c r="F32" s="191"/>
      <c r="G32" s="191"/>
      <c r="H32" s="195"/>
      <c r="I32" s="213" t="s">
        <v>315</v>
      </c>
      <c r="L32" s="19"/>
      <c r="M32" s="212"/>
      <c r="N32" s="212"/>
      <c r="O32" s="319" t="s">
        <v>316</v>
      </c>
      <c r="R32" s="19"/>
      <c r="S32" s="215"/>
      <c r="T32" s="212"/>
      <c r="U32" s="319" t="s">
        <v>316</v>
      </c>
      <c r="X32" s="19"/>
      <c r="Y32" s="215"/>
      <c r="Z32" s="111"/>
      <c r="AA32" s="217" t="s">
        <v>49</v>
      </c>
      <c r="AD32" s="19"/>
      <c r="AE32" s="215"/>
      <c r="AF32" s="111"/>
      <c r="AG32" s="218" t="s">
        <v>50</v>
      </c>
      <c r="AJ32" s="19"/>
      <c r="AK32" s="111"/>
    </row>
    <row r="33" ht="15.0" customHeight="1">
      <c r="A33" s="199"/>
      <c r="B33" s="191"/>
      <c r="C33" s="191" t="s">
        <v>51</v>
      </c>
      <c r="D33" s="191"/>
      <c r="E33" s="191"/>
      <c r="F33" s="191"/>
      <c r="G33" s="191"/>
      <c r="H33" s="195"/>
      <c r="I33" s="219"/>
      <c r="L33" s="19"/>
      <c r="M33" s="212"/>
      <c r="N33" s="212"/>
      <c r="O33" s="219"/>
      <c r="R33" s="19"/>
      <c r="S33" s="215"/>
      <c r="T33" s="212"/>
      <c r="U33" s="219"/>
      <c r="X33" s="19"/>
      <c r="Y33" s="212"/>
      <c r="Z33" s="111"/>
      <c r="AA33" s="220"/>
      <c r="AD33" s="19"/>
      <c r="AE33" s="212"/>
      <c r="AF33" s="111"/>
      <c r="AG33" s="220"/>
      <c r="AJ33" s="19"/>
      <c r="AK33" s="111"/>
    </row>
    <row r="34" ht="15.0" customHeight="1">
      <c r="A34" s="199"/>
      <c r="B34" s="191"/>
      <c r="C34" s="191"/>
      <c r="D34" s="191"/>
      <c r="E34" s="191"/>
      <c r="F34" s="191"/>
      <c r="G34" s="191"/>
      <c r="H34" s="195"/>
      <c r="I34" s="219"/>
      <c r="L34" s="19"/>
      <c r="M34" s="212"/>
      <c r="N34" s="212"/>
      <c r="O34" s="219"/>
      <c r="R34" s="19"/>
      <c r="S34" s="215"/>
      <c r="T34" s="212"/>
      <c r="U34" s="219"/>
      <c r="X34" s="19"/>
      <c r="Y34" s="212"/>
      <c r="Z34" s="111"/>
      <c r="AA34" s="220"/>
      <c r="AD34" s="19"/>
      <c r="AE34" s="212"/>
      <c r="AF34" s="111"/>
      <c r="AG34" s="220"/>
      <c r="AJ34" s="19"/>
      <c r="AK34" s="111"/>
    </row>
    <row r="35" ht="15.0" customHeight="1">
      <c r="A35" s="199"/>
      <c r="B35" s="191"/>
      <c r="C35" s="191"/>
      <c r="D35" s="191"/>
      <c r="E35" s="191"/>
      <c r="F35" s="191"/>
      <c r="G35" s="191"/>
      <c r="H35" s="195"/>
      <c r="I35" s="206" t="s">
        <v>52</v>
      </c>
      <c r="J35" s="201"/>
      <c r="K35" s="201"/>
      <c r="L35" s="202"/>
      <c r="M35" s="201"/>
      <c r="N35" s="198"/>
      <c r="O35" s="200" t="s">
        <v>52</v>
      </c>
      <c r="P35" s="203"/>
      <c r="Q35" s="203"/>
      <c r="R35" s="204"/>
      <c r="S35" s="203"/>
      <c r="T35" s="198"/>
      <c r="U35" s="206" t="s">
        <v>52</v>
      </c>
      <c r="V35" s="201"/>
      <c r="W35" s="201"/>
      <c r="X35" s="202"/>
      <c r="Y35" s="201"/>
      <c r="Z35" s="111"/>
      <c r="AA35" s="206" t="s">
        <v>52</v>
      </c>
      <c r="AB35" s="198" t="s">
        <v>53</v>
      </c>
      <c r="AD35" s="19"/>
      <c r="AE35" s="198"/>
      <c r="AF35" s="111"/>
      <c r="AG35" s="206" t="s">
        <v>52</v>
      </c>
      <c r="AH35" s="198" t="s">
        <v>53</v>
      </c>
      <c r="AJ35" s="19"/>
      <c r="AK35" s="111"/>
    </row>
    <row r="36" ht="15.0" customHeight="1">
      <c r="A36" s="221"/>
      <c r="B36" s="191"/>
      <c r="C36" s="302"/>
      <c r="D36" s="303"/>
      <c r="F36" s="303"/>
      <c r="G36" s="303"/>
      <c r="H36" s="195"/>
      <c r="I36" s="222"/>
      <c r="J36" s="155"/>
      <c r="K36" s="155"/>
      <c r="L36" s="156"/>
      <c r="M36" s="223"/>
      <c r="N36" s="223"/>
      <c r="O36" s="222"/>
      <c r="P36" s="155"/>
      <c r="Q36" s="155"/>
      <c r="R36" s="156"/>
      <c r="S36" s="223"/>
      <c r="T36" s="223"/>
      <c r="U36" s="222"/>
      <c r="V36" s="155"/>
      <c r="W36" s="155"/>
      <c r="X36" s="156"/>
      <c r="Y36" s="223"/>
      <c r="Z36" s="111"/>
      <c r="AA36" s="222"/>
      <c r="AB36" s="155"/>
      <c r="AC36" s="155"/>
      <c r="AD36" s="156"/>
      <c r="AE36" s="223"/>
      <c r="AF36" s="111"/>
      <c r="AG36" s="222"/>
      <c r="AH36" s="155"/>
      <c r="AI36" s="155"/>
      <c r="AJ36" s="156"/>
      <c r="AK36" s="111"/>
    </row>
    <row r="37" ht="15.75" customHeight="1">
      <c r="A37" s="194"/>
      <c r="B37" s="191"/>
      <c r="F37" s="303"/>
      <c r="G37" s="303"/>
      <c r="H37" s="195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</row>
    <row r="38" ht="15.75" customHeight="1">
      <c r="A38" s="199"/>
      <c r="B38" s="191"/>
      <c r="C38" s="191"/>
      <c r="D38" s="191"/>
      <c r="E38" s="191"/>
      <c r="F38" s="191"/>
      <c r="G38" s="191"/>
      <c r="H38" s="195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</row>
    <row r="39" ht="15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</row>
    <row r="40" ht="15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  <c r="AJ925" s="111"/>
      <c r="AK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  <c r="AJ990" s="111"/>
      <c r="AK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  <c r="AJ991" s="111"/>
      <c r="AK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  <c r="AJ992" s="111"/>
      <c r="AK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  <c r="AJ993" s="111"/>
      <c r="AK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  <c r="AJ994" s="111"/>
      <c r="AK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  <c r="AJ995" s="111"/>
      <c r="AK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  <c r="AJ996" s="111"/>
      <c r="AK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  <c r="AJ997" s="111"/>
      <c r="AK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  <c r="AJ998" s="111"/>
      <c r="AK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  <c r="AJ999" s="111"/>
      <c r="AK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  <c r="AJ1000" s="111"/>
      <c r="AK1000" s="111"/>
    </row>
  </sheetData>
  <mergeCells count="105">
    <mergeCell ref="O1:R1"/>
    <mergeCell ref="O2:R2"/>
    <mergeCell ref="O4:P4"/>
    <mergeCell ref="Q4:R4"/>
    <mergeCell ref="AA1:AD1"/>
    <mergeCell ref="AA2:AD2"/>
    <mergeCell ref="AA4:AB4"/>
    <mergeCell ref="AC4:AD4"/>
    <mergeCell ref="AC5:AC6"/>
    <mergeCell ref="AD5:AD6"/>
    <mergeCell ref="U2:X2"/>
    <mergeCell ref="U3:X3"/>
    <mergeCell ref="U4:V4"/>
    <mergeCell ref="W4:X4"/>
    <mergeCell ref="AG2:AJ2"/>
    <mergeCell ref="AG3:AJ3"/>
    <mergeCell ref="AG4:AH4"/>
    <mergeCell ref="AI4:AJ4"/>
    <mergeCell ref="AG5:AG6"/>
    <mergeCell ref="AI5:AI6"/>
    <mergeCell ref="AJ5:AJ6"/>
    <mergeCell ref="B1:D3"/>
    <mergeCell ref="E1:F3"/>
    <mergeCell ref="I1:L1"/>
    <mergeCell ref="U1:X1"/>
    <mergeCell ref="AG1:AJ1"/>
    <mergeCell ref="O3:R3"/>
    <mergeCell ref="AA3:AD3"/>
    <mergeCell ref="I4:J4"/>
    <mergeCell ref="I5:I6"/>
    <mergeCell ref="I2:L2"/>
    <mergeCell ref="I3:L3"/>
    <mergeCell ref="B4:B6"/>
    <mergeCell ref="C4:C6"/>
    <mergeCell ref="D4:G4"/>
    <mergeCell ref="K4:L4"/>
    <mergeCell ref="D5:G5"/>
    <mergeCell ref="AG29:AH29"/>
    <mergeCell ref="AI29:AJ29"/>
    <mergeCell ref="AH35:AJ35"/>
    <mergeCell ref="AG36:AJ36"/>
    <mergeCell ref="V27:X27"/>
    <mergeCell ref="AB27:AD27"/>
    <mergeCell ref="AH27:AJ27"/>
    <mergeCell ref="U29:V29"/>
    <mergeCell ref="W29:X29"/>
    <mergeCell ref="AA29:AB29"/>
    <mergeCell ref="AC29:AD29"/>
    <mergeCell ref="AA32:AD32"/>
    <mergeCell ref="AA33:AD33"/>
    <mergeCell ref="AB31:AD31"/>
    <mergeCell ref="AA34:AD34"/>
    <mergeCell ref="AB35:AD35"/>
    <mergeCell ref="AA36:AD36"/>
    <mergeCell ref="I32:L34"/>
    <mergeCell ref="C36:C37"/>
    <mergeCell ref="D36:E37"/>
    <mergeCell ref="I36:L36"/>
    <mergeCell ref="O36:R36"/>
    <mergeCell ref="U36:X36"/>
    <mergeCell ref="V31:X31"/>
    <mergeCell ref="AH31:AJ31"/>
    <mergeCell ref="O32:R34"/>
    <mergeCell ref="U32:X34"/>
    <mergeCell ref="AG32:AJ32"/>
    <mergeCell ref="AG33:AJ33"/>
    <mergeCell ref="AG34:AJ34"/>
    <mergeCell ref="X5:X6"/>
    <mergeCell ref="AA5:AA6"/>
    <mergeCell ref="K5:K6"/>
    <mergeCell ref="L5:L6"/>
    <mergeCell ref="O5:O6"/>
    <mergeCell ref="Q5:Q6"/>
    <mergeCell ref="R5:R6"/>
    <mergeCell ref="U5:U6"/>
    <mergeCell ref="W5:W6"/>
    <mergeCell ref="X16:X17"/>
    <mergeCell ref="AA16:AC17"/>
    <mergeCell ref="AD16:AD17"/>
    <mergeCell ref="AG16:AI17"/>
    <mergeCell ref="AJ16:AJ17"/>
    <mergeCell ref="O16:Q17"/>
    <mergeCell ref="O19:Q20"/>
    <mergeCell ref="J23:L23"/>
    <mergeCell ref="P23:R23"/>
    <mergeCell ref="J27:L27"/>
    <mergeCell ref="P27:R27"/>
    <mergeCell ref="I29:J29"/>
    <mergeCell ref="K29:L29"/>
    <mergeCell ref="C16:E17"/>
    <mergeCell ref="F16:G17"/>
    <mergeCell ref="I16:K17"/>
    <mergeCell ref="L16:L17"/>
    <mergeCell ref="R16:R17"/>
    <mergeCell ref="U16:W17"/>
    <mergeCell ref="I19:K20"/>
    <mergeCell ref="AB25:AD25"/>
    <mergeCell ref="AH25:AJ25"/>
    <mergeCell ref="U19:W20"/>
    <mergeCell ref="AA19:AC20"/>
    <mergeCell ref="AG19:AI20"/>
    <mergeCell ref="V23:X23"/>
    <mergeCell ref="AB23:AD23"/>
    <mergeCell ref="AH23:AJ23"/>
    <mergeCell ref="V25:X25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25"/>
    <col customWidth="1" min="2" max="2" width="8.38"/>
    <col customWidth="1" min="3" max="3" width="43.75"/>
    <col customWidth="1" min="4" max="4" width="20.75"/>
    <col customWidth="1" min="5" max="5" width="29.75"/>
    <col customWidth="1" min="6" max="6" width="3.75"/>
    <col customWidth="1" min="7" max="7" width="17.75"/>
    <col customWidth="1" min="8" max="8" width="18.63"/>
    <col customWidth="1" min="9" max="9" width="16.88"/>
    <col customWidth="1" min="10" max="10" width="23.88"/>
    <col customWidth="1" min="11" max="11" width="19.38"/>
    <col customWidth="1" min="12" max="12" width="3.75"/>
    <col customWidth="1" min="13" max="13" width="19.88"/>
    <col customWidth="1" min="14" max="14" width="17.38"/>
    <col customWidth="1" min="15" max="15" width="16.0"/>
    <col customWidth="1" min="16" max="17" width="25.38"/>
    <col customWidth="1" hidden="1" min="18" max="18" width="3.75"/>
    <col customWidth="1" hidden="1" min="19" max="19" width="20.13"/>
    <col customWidth="1" hidden="1" min="20" max="20" width="14.38"/>
    <col customWidth="1" hidden="1" min="21" max="21" width="17.0"/>
    <col customWidth="1" hidden="1" min="22" max="23" width="22.38"/>
    <col customWidth="1" hidden="1" min="24" max="24" width="2.63"/>
    <col customWidth="1" hidden="1" min="25" max="25" width="24.75"/>
    <col customWidth="1" hidden="1" min="26" max="26" width="14.25"/>
    <col customWidth="1" hidden="1" min="27" max="27" width="18.38"/>
    <col customWidth="1" hidden="1" min="28" max="29" width="23.25"/>
    <col customWidth="1" hidden="1" min="30" max="30" width="11.38"/>
    <col customWidth="1" hidden="1" min="31" max="31" width="24.75"/>
    <col customWidth="1" hidden="1" min="32" max="32" width="17.25"/>
    <col customWidth="1" hidden="1" min="33" max="33" width="18.38"/>
    <col customWidth="1" hidden="1" min="34" max="34" width="23.25"/>
    <col customWidth="1" min="35" max="35" width="17.75"/>
  </cols>
  <sheetData>
    <row r="1" ht="33.0" customHeight="1">
      <c r="A1" s="1"/>
      <c r="B1" s="2" t="s">
        <v>317</v>
      </c>
      <c r="E1" s="3" t="s">
        <v>1</v>
      </c>
      <c r="F1" s="4"/>
      <c r="G1" s="5" t="s">
        <v>318</v>
      </c>
      <c r="H1" s="6"/>
      <c r="I1" s="6"/>
      <c r="J1" s="7"/>
      <c r="K1" s="8"/>
      <c r="L1" s="9"/>
      <c r="M1" s="10" t="s">
        <v>319</v>
      </c>
      <c r="N1" s="6"/>
      <c r="O1" s="6"/>
      <c r="P1" s="7"/>
      <c r="Q1" s="11"/>
      <c r="R1" s="9"/>
      <c r="S1" s="12" t="s">
        <v>5</v>
      </c>
      <c r="T1" s="6"/>
      <c r="U1" s="6"/>
      <c r="V1" s="7"/>
      <c r="W1" s="13"/>
      <c r="X1" s="14"/>
      <c r="Y1" s="15" t="s">
        <v>5</v>
      </c>
      <c r="Z1" s="6"/>
      <c r="AA1" s="6"/>
      <c r="AB1" s="7"/>
      <c r="AC1" s="16"/>
      <c r="AD1" s="14"/>
      <c r="AE1" s="17" t="s">
        <v>5</v>
      </c>
      <c r="AF1" s="6"/>
      <c r="AG1" s="6"/>
      <c r="AH1" s="7"/>
      <c r="AI1" s="14"/>
    </row>
    <row r="2" ht="33.0" customHeight="1">
      <c r="A2" s="18"/>
      <c r="E2" s="19"/>
      <c r="F2" s="4"/>
      <c r="G2" s="20" t="s">
        <v>304</v>
      </c>
      <c r="H2" s="21"/>
      <c r="I2" s="21"/>
      <c r="J2" s="22"/>
      <c r="K2" s="8"/>
      <c r="L2" s="9"/>
      <c r="M2" s="23" t="s">
        <v>6</v>
      </c>
      <c r="N2" s="21"/>
      <c r="O2" s="21"/>
      <c r="P2" s="22"/>
      <c r="Q2" s="11"/>
      <c r="R2" s="9"/>
      <c r="S2" s="24" t="s">
        <v>6</v>
      </c>
      <c r="T2" s="21"/>
      <c r="U2" s="21"/>
      <c r="V2" s="22"/>
      <c r="W2" s="13"/>
      <c r="X2" s="14"/>
      <c r="Y2" s="25" t="s">
        <v>6</v>
      </c>
      <c r="Z2" s="21"/>
      <c r="AA2" s="21"/>
      <c r="AB2" s="22"/>
      <c r="AC2" s="16"/>
      <c r="AD2" s="14"/>
      <c r="AE2" s="26" t="s">
        <v>6</v>
      </c>
      <c r="AF2" s="21"/>
      <c r="AG2" s="21"/>
      <c r="AH2" s="22"/>
      <c r="AI2" s="14"/>
    </row>
    <row r="3" ht="33.0" customHeight="1">
      <c r="A3" s="18"/>
      <c r="E3" s="19"/>
      <c r="F3" s="4"/>
      <c r="G3" s="27" t="s">
        <v>320</v>
      </c>
      <c r="H3" s="28"/>
      <c r="I3" s="28"/>
      <c r="J3" s="29"/>
      <c r="K3" s="8"/>
      <c r="L3" s="9"/>
      <c r="M3" s="30" t="s">
        <v>321</v>
      </c>
      <c r="N3" s="28"/>
      <c r="O3" s="28"/>
      <c r="P3" s="29"/>
      <c r="Q3" s="11"/>
      <c r="R3" s="9"/>
      <c r="S3" s="31" t="s">
        <v>320</v>
      </c>
      <c r="T3" s="28"/>
      <c r="U3" s="28"/>
      <c r="V3" s="29"/>
      <c r="W3" s="13"/>
      <c r="X3" s="14"/>
      <c r="Y3" s="32" t="s">
        <v>10</v>
      </c>
      <c r="Z3" s="28"/>
      <c r="AA3" s="28"/>
      <c r="AB3" s="29"/>
      <c r="AC3" s="16"/>
      <c r="AD3" s="14"/>
      <c r="AE3" s="33" t="s">
        <v>10</v>
      </c>
      <c r="AF3" s="28"/>
      <c r="AG3" s="28"/>
      <c r="AH3" s="29"/>
      <c r="AI3" s="14"/>
    </row>
    <row r="4" ht="33.0" customHeight="1">
      <c r="A4" s="34"/>
      <c r="B4" s="35" t="s">
        <v>11</v>
      </c>
      <c r="C4" s="36" t="s">
        <v>12</v>
      </c>
      <c r="D4" s="37" t="s">
        <v>13</v>
      </c>
      <c r="E4" s="38"/>
      <c r="F4" s="4"/>
      <c r="G4" s="39" t="s">
        <v>14</v>
      </c>
      <c r="H4" s="40"/>
      <c r="I4" s="41" t="s">
        <v>15</v>
      </c>
      <c r="J4" s="38"/>
      <c r="K4" s="42"/>
      <c r="L4" s="43"/>
      <c r="M4" s="44" t="s">
        <v>14</v>
      </c>
      <c r="N4" s="45"/>
      <c r="O4" s="46" t="s">
        <v>16</v>
      </c>
      <c r="P4" s="38"/>
      <c r="Q4" s="47"/>
      <c r="R4" s="43"/>
      <c r="S4" s="48" t="s">
        <v>14</v>
      </c>
      <c r="T4" s="45"/>
      <c r="U4" s="49" t="s">
        <v>15</v>
      </c>
      <c r="V4" s="38"/>
      <c r="W4" s="50"/>
      <c r="X4" s="14"/>
      <c r="Y4" s="51" t="s">
        <v>14</v>
      </c>
      <c r="Z4" s="45"/>
      <c r="AA4" s="52" t="s">
        <v>16</v>
      </c>
      <c r="AB4" s="38"/>
      <c r="AC4" s="53"/>
      <c r="AD4" s="14"/>
      <c r="AE4" s="54" t="s">
        <v>14</v>
      </c>
      <c r="AF4" s="45"/>
      <c r="AG4" s="55" t="s">
        <v>16</v>
      </c>
      <c r="AH4" s="38"/>
      <c r="AI4" s="14"/>
    </row>
    <row r="5" ht="45.0" customHeight="1">
      <c r="A5" s="56"/>
      <c r="B5" s="57"/>
      <c r="C5" s="57"/>
      <c r="D5" s="58">
        <f>+TODAY()</f>
        <v>46136</v>
      </c>
      <c r="E5" s="38"/>
      <c r="F5" s="4"/>
      <c r="G5" s="59" t="s">
        <v>17</v>
      </c>
      <c r="H5" s="60" t="s">
        <v>18</v>
      </c>
      <c r="I5" s="61" t="s">
        <v>19</v>
      </c>
      <c r="J5" s="62" t="s">
        <v>20</v>
      </c>
      <c r="K5" s="63"/>
      <c r="L5" s="4"/>
      <c r="M5" s="64" t="s">
        <v>17</v>
      </c>
      <c r="N5" s="65" t="s">
        <v>21</v>
      </c>
      <c r="O5" s="66" t="s">
        <v>19</v>
      </c>
      <c r="P5" s="67" t="s">
        <v>20</v>
      </c>
      <c r="Q5" s="68"/>
      <c r="R5" s="4"/>
      <c r="S5" s="69" t="s">
        <v>17</v>
      </c>
      <c r="T5" s="70" t="s">
        <v>22</v>
      </c>
      <c r="U5" s="71" t="s">
        <v>19</v>
      </c>
      <c r="V5" s="72" t="s">
        <v>20</v>
      </c>
      <c r="W5" s="73"/>
      <c r="X5" s="14"/>
      <c r="Y5" s="74" t="s">
        <v>17</v>
      </c>
      <c r="Z5" s="75" t="s">
        <v>22</v>
      </c>
      <c r="AA5" s="76" t="s">
        <v>19</v>
      </c>
      <c r="AB5" s="77" t="s">
        <v>20</v>
      </c>
      <c r="AC5" s="78"/>
      <c r="AD5" s="14"/>
      <c r="AE5" s="79" t="s">
        <v>17</v>
      </c>
      <c r="AF5" s="80" t="s">
        <v>22</v>
      </c>
      <c r="AG5" s="81" t="s">
        <v>19</v>
      </c>
      <c r="AH5" s="82" t="s">
        <v>20</v>
      </c>
      <c r="AI5" s="14"/>
    </row>
    <row r="6" ht="30.0" customHeight="1">
      <c r="A6" s="83"/>
      <c r="B6" s="84"/>
      <c r="C6" s="84"/>
      <c r="D6" s="36" t="s">
        <v>23</v>
      </c>
      <c r="E6" s="36" t="s">
        <v>24</v>
      </c>
      <c r="F6" s="4"/>
      <c r="G6" s="85"/>
      <c r="H6" s="86">
        <v>0.05</v>
      </c>
      <c r="I6" s="87"/>
      <c r="J6" s="88"/>
      <c r="K6" s="63"/>
      <c r="L6" s="4"/>
      <c r="M6" s="85"/>
      <c r="N6" s="89">
        <v>0.05</v>
      </c>
      <c r="O6" s="87"/>
      <c r="P6" s="88"/>
      <c r="Q6" s="68"/>
      <c r="R6" s="4"/>
      <c r="S6" s="90"/>
      <c r="T6" s="91">
        <v>0.19</v>
      </c>
      <c r="U6" s="92"/>
      <c r="V6" s="93"/>
      <c r="W6" s="73"/>
      <c r="X6" s="14"/>
      <c r="Y6" s="85"/>
      <c r="Z6" s="94">
        <v>0.19</v>
      </c>
      <c r="AA6" s="87"/>
      <c r="AB6" s="88"/>
      <c r="AC6" s="78"/>
      <c r="AD6" s="14"/>
      <c r="AE6" s="85"/>
      <c r="AF6" s="95">
        <v>0.19</v>
      </c>
      <c r="AG6" s="87"/>
      <c r="AH6" s="88"/>
      <c r="AI6" s="14"/>
    </row>
    <row r="7" ht="15.75" customHeight="1">
      <c r="A7" s="96"/>
      <c r="B7" s="97">
        <v>1.0</v>
      </c>
      <c r="C7" s="98" t="s">
        <v>322</v>
      </c>
      <c r="D7" s="99" t="s">
        <v>167</v>
      </c>
      <c r="E7" s="100">
        <v>50.0</v>
      </c>
      <c r="F7" s="101"/>
      <c r="G7" s="102">
        <v>9000.0</v>
      </c>
      <c r="H7" s="103">
        <f>G7*$H$6</f>
        <v>450</v>
      </c>
      <c r="I7" s="103">
        <f>G7+H7</f>
        <v>9450</v>
      </c>
      <c r="J7" s="104">
        <f>E7*I7</f>
        <v>472500</v>
      </c>
      <c r="K7" s="105">
        <f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0</v>
      </c>
      <c r="L7" s="106"/>
      <c r="M7" s="102">
        <v>9259.0</v>
      </c>
      <c r="N7" s="103">
        <f>M7*$H$6</f>
        <v>462.95</v>
      </c>
      <c r="O7" s="107">
        <f>M7+N7</f>
        <v>9721.95</v>
      </c>
      <c r="P7" s="108">
        <f>E7*O7</f>
        <v>486097.5</v>
      </c>
      <c r="Q7" s="105">
        <f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259</v>
      </c>
      <c r="R7" s="106"/>
      <c r="S7" s="109"/>
      <c r="T7" s="109"/>
      <c r="U7" s="109">
        <f>S7+T7</f>
        <v>0</v>
      </c>
      <c r="V7" s="110">
        <f>E7*U7</f>
        <v>0</v>
      </c>
      <c r="W7" s="105">
        <f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0</v>
      </c>
      <c r="X7" s="111"/>
      <c r="Y7" s="112"/>
      <c r="Z7" s="109">
        <f>Y7*$T$6</f>
        <v>0</v>
      </c>
      <c r="AA7" s="109">
        <f>Y7+Z7</f>
        <v>0</v>
      </c>
      <c r="AB7" s="108">
        <f>E7*AA7</f>
        <v>0</v>
      </c>
      <c r="AC7" s="105">
        <f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D7" s="111"/>
      <c r="AE7" s="112"/>
      <c r="AF7" s="109">
        <f>+AE7*$AF$6</f>
        <v>0</v>
      </c>
      <c r="AG7" s="109">
        <f>+AE7+AF7</f>
        <v>0</v>
      </c>
      <c r="AH7" s="108">
        <f>+E7*AG7</f>
        <v>0</v>
      </c>
      <c r="AI7" s="105">
        <f>+IF(AE7-MIN(IF($G7&gt;0,$G7,100000*100000),IF($M7&gt;0,$M7,100000*100000),IF($S7&gt;0,$S7,100000*100000),IF($Y7&gt;0,$Y7,100000*100000),IF($AE7&gt;0,$AE7,100000*100000))&gt;0,AE7-MIN(IF($G7&gt;0,$G7,100000*100000),IF($M7&gt;0,$M7,100000*100000),IF($S7&gt;0,$S7,100000*100000),IF($Y7&gt;0,$Y7,100000*100000),IF($AE7&gt;0,$AE7,100000*100000)),0)</f>
        <v>0</v>
      </c>
    </row>
    <row r="8" ht="15.75" customHeight="1">
      <c r="A8" s="113"/>
      <c r="B8" s="114"/>
      <c r="C8" s="115"/>
      <c r="D8" s="116"/>
      <c r="E8" s="117"/>
      <c r="F8" s="118"/>
      <c r="G8" s="102"/>
      <c r="H8" s="103"/>
      <c r="I8" s="103"/>
      <c r="J8" s="104"/>
      <c r="K8" s="105"/>
      <c r="L8" s="118"/>
      <c r="M8" s="102"/>
      <c r="N8" s="103"/>
      <c r="O8" s="107"/>
      <c r="P8" s="108"/>
      <c r="Q8" s="105"/>
      <c r="R8" s="118"/>
      <c r="S8" s="109"/>
      <c r="T8" s="109"/>
      <c r="U8" s="109"/>
      <c r="V8" s="110"/>
      <c r="W8" s="105"/>
      <c r="X8" s="119"/>
      <c r="Y8" s="112"/>
      <c r="Z8" s="109"/>
      <c r="AA8" s="109"/>
      <c r="AB8" s="108"/>
      <c r="AC8" s="105"/>
      <c r="AD8" s="119"/>
      <c r="AE8" s="112"/>
      <c r="AF8" s="109"/>
      <c r="AG8" s="109"/>
      <c r="AH8" s="108"/>
      <c r="AI8" s="105"/>
    </row>
    <row r="9" ht="15.75" hidden="1" customHeight="1">
      <c r="A9" s="96"/>
      <c r="B9" s="120"/>
      <c r="C9" s="115"/>
      <c r="D9" s="116"/>
      <c r="E9" s="117"/>
      <c r="F9" s="118"/>
      <c r="G9" s="102"/>
      <c r="H9" s="103"/>
      <c r="I9" s="103"/>
      <c r="J9" s="104"/>
      <c r="K9" s="105"/>
      <c r="L9" s="118"/>
      <c r="M9" s="102"/>
      <c r="N9" s="103"/>
      <c r="O9" s="107"/>
      <c r="P9" s="108"/>
      <c r="Q9" s="105"/>
      <c r="R9" s="118"/>
      <c r="S9" s="112"/>
      <c r="T9" s="109"/>
      <c r="U9" s="109"/>
      <c r="V9" s="108"/>
      <c r="W9" s="105"/>
      <c r="X9" s="119"/>
      <c r="Y9" s="112"/>
      <c r="Z9" s="109"/>
      <c r="AA9" s="109"/>
      <c r="AB9" s="108"/>
      <c r="AC9" s="105"/>
      <c r="AD9" s="119"/>
      <c r="AE9" s="112"/>
      <c r="AF9" s="109"/>
      <c r="AG9" s="109"/>
      <c r="AH9" s="108"/>
      <c r="AI9" s="105"/>
    </row>
    <row r="10" ht="15.75" hidden="1" customHeight="1">
      <c r="A10" s="113"/>
      <c r="B10" s="114"/>
      <c r="C10" s="121"/>
      <c r="D10" s="116"/>
      <c r="E10" s="117"/>
      <c r="F10" s="118"/>
      <c r="G10" s="102"/>
      <c r="H10" s="103"/>
      <c r="I10" s="103"/>
      <c r="J10" s="104"/>
      <c r="K10" s="105"/>
      <c r="L10" s="118"/>
      <c r="M10" s="102"/>
      <c r="N10" s="103"/>
      <c r="O10" s="107"/>
      <c r="P10" s="108"/>
      <c r="Q10" s="105"/>
      <c r="R10" s="118"/>
      <c r="S10" s="112"/>
      <c r="T10" s="109"/>
      <c r="U10" s="109"/>
      <c r="V10" s="108"/>
      <c r="W10" s="105"/>
      <c r="X10" s="119"/>
      <c r="Y10" s="112"/>
      <c r="Z10" s="109"/>
      <c r="AA10" s="109"/>
      <c r="AB10" s="108"/>
      <c r="AC10" s="105"/>
      <c r="AD10" s="119"/>
      <c r="AE10" s="112"/>
      <c r="AF10" s="109"/>
      <c r="AG10" s="109"/>
      <c r="AH10" s="108"/>
      <c r="AI10" s="105"/>
    </row>
    <row r="11" ht="15.75" hidden="1" customHeight="1">
      <c r="A11" s="96"/>
      <c r="B11" s="120"/>
      <c r="C11" s="121"/>
      <c r="D11" s="116"/>
      <c r="E11" s="117"/>
      <c r="F11" s="118"/>
      <c r="G11" s="122"/>
      <c r="H11" s="103"/>
      <c r="I11" s="103"/>
      <c r="J11" s="104"/>
      <c r="K11" s="105"/>
      <c r="L11" s="118"/>
      <c r="M11" s="102"/>
      <c r="N11" s="103"/>
      <c r="O11" s="107"/>
      <c r="P11" s="108"/>
      <c r="Q11" s="105"/>
      <c r="R11" s="118"/>
      <c r="S11" s="112"/>
      <c r="T11" s="109"/>
      <c r="U11" s="109"/>
      <c r="V11" s="108"/>
      <c r="W11" s="105"/>
      <c r="X11" s="119"/>
      <c r="Y11" s="112"/>
      <c r="Z11" s="109"/>
      <c r="AA11" s="109"/>
      <c r="AB11" s="108"/>
      <c r="AC11" s="105"/>
      <c r="AD11" s="119"/>
      <c r="AE11" s="112"/>
      <c r="AF11" s="109"/>
      <c r="AG11" s="109"/>
      <c r="AH11" s="108"/>
      <c r="AI11" s="105"/>
    </row>
    <row r="12" ht="15.75" customHeight="1">
      <c r="A12" s="123"/>
      <c r="B12" s="123"/>
      <c r="C12" s="124"/>
      <c r="D12" s="125"/>
      <c r="E12" s="126"/>
      <c r="F12" s="127"/>
      <c r="G12" s="128"/>
      <c r="H12" s="129"/>
      <c r="I12" s="129"/>
      <c r="J12" s="130"/>
      <c r="K12" s="131"/>
      <c r="L12" s="131"/>
      <c r="M12" s="132"/>
      <c r="N12" s="129"/>
      <c r="O12" s="129"/>
      <c r="P12" s="133"/>
      <c r="Q12" s="118"/>
      <c r="R12" s="131"/>
      <c r="S12" s="128"/>
      <c r="T12" s="134"/>
      <c r="U12" s="134"/>
      <c r="V12" s="130"/>
      <c r="W12" s="131"/>
      <c r="X12" s="111"/>
      <c r="Y12" s="128"/>
      <c r="Z12" s="135"/>
      <c r="AA12" s="135"/>
      <c r="AB12" s="130"/>
      <c r="AC12" s="131"/>
      <c r="AD12" s="111"/>
      <c r="AE12" s="128"/>
      <c r="AF12" s="135"/>
      <c r="AG12" s="135"/>
      <c r="AH12" s="130"/>
      <c r="AI12" s="111"/>
    </row>
    <row r="13" ht="15.75" customHeight="1">
      <c r="A13" s="136"/>
      <c r="B13" s="136"/>
      <c r="C13" s="137"/>
      <c r="D13" s="138"/>
      <c r="E13" s="139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11"/>
      <c r="Y13" s="140"/>
      <c r="Z13" s="140"/>
      <c r="AA13" s="140"/>
      <c r="AB13" s="140"/>
      <c r="AC13" s="140"/>
      <c r="AD13" s="111"/>
      <c r="AE13" s="140"/>
      <c r="AF13" s="140"/>
      <c r="AG13" s="140"/>
      <c r="AH13" s="140"/>
      <c r="AI13" s="111"/>
    </row>
    <row r="14" ht="15.75" customHeight="1">
      <c r="A14" s="141"/>
      <c r="B14" s="136"/>
      <c r="C14" s="142" t="s">
        <v>30</v>
      </c>
      <c r="D14" s="143"/>
      <c r="E14" s="144"/>
      <c r="F14" s="145"/>
      <c r="G14" s="146"/>
      <c r="H14" s="143"/>
      <c r="I14" s="143"/>
      <c r="J14" s="147">
        <f>SUM(J7:J12)</f>
        <v>472500</v>
      </c>
      <c r="K14" s="148"/>
      <c r="L14" s="149"/>
      <c r="M14" s="146"/>
      <c r="N14" s="143"/>
      <c r="O14" s="143"/>
      <c r="P14" s="147">
        <f>SUM(P7:P12)</f>
        <v>486097.5</v>
      </c>
      <c r="Q14" s="148"/>
      <c r="R14" s="149"/>
      <c r="S14" s="146"/>
      <c r="T14" s="143"/>
      <c r="U14" s="143"/>
      <c r="V14" s="147">
        <f>SUM(V7:V12)</f>
        <v>0</v>
      </c>
      <c r="W14" s="148"/>
      <c r="X14" s="14"/>
      <c r="Y14" s="146"/>
      <c r="Z14" s="143"/>
      <c r="AA14" s="143"/>
      <c r="AB14" s="150">
        <f>SUM(AB7:AB13)</f>
        <v>0</v>
      </c>
      <c r="AC14" s="151"/>
      <c r="AD14" s="14"/>
      <c r="AE14" s="146"/>
      <c r="AF14" s="143"/>
      <c r="AG14" s="143"/>
      <c r="AH14" s="152">
        <f>SUM(AH7:AH13)</f>
        <v>0</v>
      </c>
      <c r="AI14" s="14"/>
    </row>
    <row r="15" ht="15.75" customHeight="1">
      <c r="A15" s="153"/>
      <c r="B15" s="136"/>
      <c r="C15" s="154"/>
      <c r="D15" s="155"/>
      <c r="E15" s="156"/>
      <c r="F15" s="145"/>
      <c r="G15" s="154"/>
      <c r="H15" s="155"/>
      <c r="I15" s="155"/>
      <c r="J15" s="84"/>
      <c r="K15" s="148"/>
      <c r="L15" s="149"/>
      <c r="M15" s="154"/>
      <c r="N15" s="155"/>
      <c r="O15" s="155"/>
      <c r="P15" s="84"/>
      <c r="Q15" s="148"/>
      <c r="R15" s="149"/>
      <c r="S15" s="154"/>
      <c r="T15" s="155"/>
      <c r="U15" s="155"/>
      <c r="V15" s="84"/>
      <c r="W15" s="148"/>
      <c r="X15" s="14"/>
      <c r="Y15" s="154"/>
      <c r="Z15" s="155"/>
      <c r="AA15" s="155"/>
      <c r="AB15" s="84"/>
      <c r="AC15" s="151"/>
      <c r="AD15" s="14"/>
      <c r="AE15" s="154"/>
      <c r="AF15" s="155"/>
      <c r="AG15" s="155"/>
      <c r="AH15" s="84"/>
      <c r="AI15" s="14"/>
    </row>
    <row r="16" ht="8.25" customHeight="1">
      <c r="A16" s="137"/>
      <c r="B16" s="137"/>
      <c r="C16" s="137"/>
      <c r="D16" s="137"/>
      <c r="E16" s="157"/>
      <c r="F16" s="9"/>
      <c r="G16" s="158"/>
      <c r="H16" s="158"/>
      <c r="I16" s="158"/>
      <c r="J16" s="149"/>
      <c r="K16" s="149"/>
      <c r="L16" s="149"/>
      <c r="M16" s="158"/>
      <c r="N16" s="158"/>
      <c r="O16" s="158"/>
      <c r="P16" s="149"/>
      <c r="Q16" s="149"/>
      <c r="R16" s="149"/>
      <c r="S16" s="158"/>
      <c r="T16" s="158"/>
      <c r="U16" s="158"/>
      <c r="V16" s="149"/>
      <c r="W16" s="149"/>
      <c r="X16" s="14"/>
      <c r="Y16" s="158"/>
      <c r="Z16" s="158"/>
      <c r="AA16" s="158"/>
      <c r="AB16" s="149"/>
      <c r="AC16" s="149"/>
      <c r="AD16" s="14"/>
      <c r="AE16" s="158"/>
      <c r="AF16" s="158"/>
      <c r="AG16" s="158"/>
      <c r="AH16" s="149"/>
      <c r="AI16" s="14"/>
    </row>
    <row r="17" ht="15.75" customHeight="1">
      <c r="A17" s="159"/>
      <c r="B17" s="160" t="s">
        <v>31</v>
      </c>
      <c r="C17" s="160"/>
      <c r="D17" s="160"/>
      <c r="E17" s="161"/>
      <c r="F17" s="162"/>
      <c r="G17" s="163"/>
      <c r="H17" s="143"/>
      <c r="I17" s="143"/>
      <c r="J17" s="164">
        <f>+J14-MIN($J$14,$P$14)</f>
        <v>0</v>
      </c>
      <c r="K17" s="165"/>
      <c r="L17" s="166"/>
      <c r="M17" s="163"/>
      <c r="N17" s="143"/>
      <c r="O17" s="143"/>
      <c r="P17" s="167">
        <f>+P14-MIN($J$14,$P$14)</f>
        <v>13597.5</v>
      </c>
      <c r="Q17" s="168"/>
      <c r="R17" s="166"/>
      <c r="S17" s="163"/>
      <c r="T17" s="143"/>
      <c r="U17" s="143"/>
      <c r="V17" s="169">
        <f>+V14-MIN($J$14,$P$14,$V$14)</f>
        <v>0</v>
      </c>
      <c r="W17" s="170"/>
      <c r="X17" s="14"/>
      <c r="Y17" s="163"/>
      <c r="Z17" s="143"/>
      <c r="AA17" s="143"/>
      <c r="AB17" s="171">
        <f>+AB14-MIN($J$14,$P$14,$V$14)</f>
        <v>0</v>
      </c>
      <c r="AC17" s="172"/>
      <c r="AD17" s="14"/>
      <c r="AE17" s="163"/>
      <c r="AF17" s="143"/>
      <c r="AG17" s="143"/>
      <c r="AH17" s="173">
        <f>+AH14-MIN($J$14,$P$14,$V$14)</f>
        <v>0</v>
      </c>
      <c r="AI17" s="14"/>
    </row>
    <row r="18" ht="15.75" customHeight="1">
      <c r="A18" s="174"/>
      <c r="B18" s="175" t="s">
        <v>32</v>
      </c>
      <c r="C18" s="175"/>
      <c r="D18" s="175"/>
      <c r="E18" s="176"/>
      <c r="F18" s="162"/>
      <c r="G18" s="154"/>
      <c r="H18" s="155"/>
      <c r="I18" s="155"/>
      <c r="J18" s="177">
        <f>+J17/MIN($J$14,$P$14)</f>
        <v>0</v>
      </c>
      <c r="K18" s="178"/>
      <c r="L18" s="179"/>
      <c r="M18" s="154"/>
      <c r="N18" s="155"/>
      <c r="O18" s="155"/>
      <c r="P18" s="180">
        <f>+P17/MIN($J$14,$P$14)</f>
        <v>0.02877777778</v>
      </c>
      <c r="Q18" s="181"/>
      <c r="R18" s="179"/>
      <c r="S18" s="154"/>
      <c r="T18" s="155"/>
      <c r="U18" s="155"/>
      <c r="V18" s="182" t="str">
        <f>+V17/MIN($J$14,$V$14)</f>
        <v>#DIV/0!</v>
      </c>
      <c r="W18" s="183"/>
      <c r="X18" s="14"/>
      <c r="Y18" s="154"/>
      <c r="Z18" s="155"/>
      <c r="AA18" s="155"/>
      <c r="AB18" s="184" t="str">
        <f>+AB17/MIN($J$14,$P$14,$V$14)</f>
        <v>#DIV/0!</v>
      </c>
      <c r="AC18" s="185"/>
      <c r="AD18" s="14"/>
      <c r="AE18" s="154"/>
      <c r="AF18" s="155"/>
      <c r="AG18" s="155"/>
      <c r="AH18" s="186" t="str">
        <f>+AH17/MIN($J$14,$P$14,$V$14)</f>
        <v>#DIV/0!</v>
      </c>
      <c r="AI18" s="14"/>
    </row>
    <row r="19" ht="7.5" customHeight="1">
      <c r="A19" s="187"/>
      <c r="B19" s="187"/>
      <c r="C19" s="187"/>
      <c r="D19" s="187"/>
      <c r="E19" s="157"/>
      <c r="F19" s="188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4"/>
      <c r="Y19" s="189"/>
      <c r="Z19" s="189"/>
      <c r="AA19" s="189"/>
      <c r="AB19" s="189"/>
      <c r="AC19" s="189"/>
      <c r="AD19" s="14"/>
      <c r="AE19" s="189"/>
      <c r="AF19" s="189"/>
      <c r="AG19" s="189"/>
      <c r="AH19" s="189"/>
      <c r="AI19" s="14"/>
    </row>
    <row r="20" ht="9.0" customHeight="1">
      <c r="A20" s="190"/>
      <c r="B20" s="191"/>
      <c r="C20" s="191"/>
      <c r="D20" s="191"/>
      <c r="E20" s="191"/>
      <c r="F20" s="192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11"/>
      <c r="Y20" s="193"/>
      <c r="Z20" s="193"/>
      <c r="AA20" s="193"/>
      <c r="AB20" s="193"/>
      <c r="AC20" s="193"/>
      <c r="AD20" s="111"/>
      <c r="AE20" s="193"/>
      <c r="AF20" s="193"/>
      <c r="AG20" s="193"/>
      <c r="AH20" s="193"/>
      <c r="AI20" s="111"/>
    </row>
    <row r="21" ht="15.0" customHeight="1">
      <c r="A21" s="194"/>
      <c r="B21" s="191"/>
      <c r="C21" s="191"/>
      <c r="D21" s="191"/>
      <c r="E21" s="191"/>
      <c r="F21" s="195"/>
      <c r="G21" s="196" t="s">
        <v>33</v>
      </c>
      <c r="H21" s="197" t="s">
        <v>35</v>
      </c>
      <c r="I21" s="143"/>
      <c r="J21" s="144"/>
      <c r="K21" s="198"/>
      <c r="L21" s="198"/>
      <c r="M21" s="196" t="s">
        <v>33</v>
      </c>
      <c r="N21" s="197" t="s">
        <v>35</v>
      </c>
      <c r="O21" s="143"/>
      <c r="P21" s="144"/>
      <c r="Q21" s="198"/>
      <c r="R21" s="198"/>
      <c r="S21" s="196" t="s">
        <v>33</v>
      </c>
      <c r="T21" s="197" t="s">
        <v>35</v>
      </c>
      <c r="U21" s="143"/>
      <c r="V21" s="144"/>
      <c r="W21" s="198"/>
      <c r="X21" s="111"/>
      <c r="Y21" s="196" t="s">
        <v>33</v>
      </c>
      <c r="Z21" s="197" t="s">
        <v>35</v>
      </c>
      <c r="AA21" s="143"/>
      <c r="AB21" s="144"/>
      <c r="AC21" s="198"/>
      <c r="AD21" s="111"/>
      <c r="AE21" s="196" t="s">
        <v>33</v>
      </c>
      <c r="AF21" s="197" t="s">
        <v>35</v>
      </c>
      <c r="AG21" s="143"/>
      <c r="AH21" s="144"/>
      <c r="AI21" s="111"/>
    </row>
    <row r="22" ht="15.0" customHeight="1">
      <c r="A22" s="199"/>
      <c r="B22" s="191"/>
      <c r="C22" s="191"/>
      <c r="D22" s="191"/>
      <c r="E22" s="191"/>
      <c r="F22" s="195"/>
      <c r="G22" s="200"/>
      <c r="H22" s="201"/>
      <c r="I22" s="201"/>
      <c r="J22" s="202"/>
      <c r="K22" s="201"/>
      <c r="L22" s="201"/>
      <c r="M22" s="200"/>
      <c r="N22" s="201"/>
      <c r="O22" s="201"/>
      <c r="P22" s="202"/>
      <c r="Q22" s="201"/>
      <c r="R22" s="201"/>
      <c r="S22" s="200"/>
      <c r="T22" s="201"/>
      <c r="U22" s="201"/>
      <c r="V22" s="202"/>
      <c r="W22" s="201"/>
      <c r="X22" s="111"/>
      <c r="Y22" s="200"/>
      <c r="Z22" s="201"/>
      <c r="AA22" s="201"/>
      <c r="AB22" s="202"/>
      <c r="AC22" s="201"/>
      <c r="AD22" s="111"/>
      <c r="AE22" s="200"/>
      <c r="AF22" s="201"/>
      <c r="AG22" s="201"/>
      <c r="AH22" s="202"/>
      <c r="AI22" s="111"/>
    </row>
    <row r="23" ht="15.0" customHeight="1">
      <c r="A23" s="199"/>
      <c r="B23" s="191"/>
      <c r="C23" s="191"/>
      <c r="D23" s="191"/>
      <c r="E23" s="191"/>
      <c r="F23" s="195"/>
      <c r="G23" s="200" t="s">
        <v>36</v>
      </c>
      <c r="H23" s="203"/>
      <c r="I23" s="203"/>
      <c r="J23" s="204"/>
      <c r="K23" s="203"/>
      <c r="L23" s="205"/>
      <c r="M23" s="206" t="s">
        <v>36</v>
      </c>
      <c r="N23" s="207"/>
      <c r="O23" s="207"/>
      <c r="P23" s="208"/>
      <c r="Q23" s="207"/>
      <c r="R23" s="205"/>
      <c r="S23" s="206" t="s">
        <v>36</v>
      </c>
      <c r="T23" s="205"/>
      <c r="V23" s="19"/>
      <c r="W23" s="205"/>
      <c r="X23" s="111"/>
      <c r="Y23" s="206" t="s">
        <v>36</v>
      </c>
      <c r="Z23" s="205"/>
      <c r="AB23" s="19"/>
      <c r="AC23" s="205"/>
      <c r="AD23" s="111"/>
      <c r="AE23" s="206" t="s">
        <v>36</v>
      </c>
      <c r="AF23" s="205"/>
      <c r="AH23" s="19"/>
      <c r="AI23" s="111"/>
    </row>
    <row r="24" ht="15.0" customHeight="1">
      <c r="A24" s="199"/>
      <c r="B24" s="191"/>
      <c r="C24" s="191"/>
      <c r="D24" s="191"/>
      <c r="E24" s="191"/>
      <c r="F24" s="195"/>
      <c r="G24" s="200"/>
      <c r="H24" s="201"/>
      <c r="I24" s="201"/>
      <c r="J24" s="202"/>
      <c r="K24" s="201"/>
      <c r="L24" s="201"/>
      <c r="M24" s="200"/>
      <c r="N24" s="201"/>
      <c r="O24" s="201"/>
      <c r="P24" s="202"/>
      <c r="Q24" s="201"/>
      <c r="R24" s="201"/>
      <c r="S24" s="200"/>
      <c r="T24" s="201"/>
      <c r="U24" s="201"/>
      <c r="V24" s="202"/>
      <c r="W24" s="201"/>
      <c r="X24" s="111"/>
      <c r="Y24" s="200"/>
      <c r="Z24" s="201"/>
      <c r="AA24" s="201"/>
      <c r="AB24" s="202"/>
      <c r="AC24" s="201"/>
      <c r="AD24" s="111"/>
      <c r="AE24" s="200"/>
      <c r="AF24" s="201"/>
      <c r="AG24" s="201"/>
      <c r="AH24" s="202"/>
      <c r="AI24" s="111"/>
    </row>
    <row r="25" ht="15.0" customHeight="1">
      <c r="A25" s="199"/>
      <c r="B25" s="191"/>
      <c r="C25" s="209" t="s">
        <v>37</v>
      </c>
      <c r="D25" s="191"/>
      <c r="E25" s="191"/>
      <c r="F25" s="195"/>
      <c r="G25" s="206" t="s">
        <v>38</v>
      </c>
      <c r="H25" s="198"/>
      <c r="J25" s="19"/>
      <c r="K25" s="198"/>
      <c r="L25" s="198"/>
      <c r="M25" s="206" t="s">
        <v>38</v>
      </c>
      <c r="N25" s="198"/>
      <c r="P25" s="19"/>
      <c r="Q25" s="198"/>
      <c r="R25" s="198"/>
      <c r="S25" s="206" t="s">
        <v>38</v>
      </c>
      <c r="T25" s="198"/>
      <c r="V25" s="19"/>
      <c r="W25" s="198"/>
      <c r="X25" s="111"/>
      <c r="Y25" s="206" t="s">
        <v>38</v>
      </c>
      <c r="Z25" s="198"/>
      <c r="AB25" s="19"/>
      <c r="AC25" s="198"/>
      <c r="AD25" s="111"/>
      <c r="AE25" s="206" t="s">
        <v>38</v>
      </c>
      <c r="AF25" s="198"/>
      <c r="AH25" s="19"/>
      <c r="AI25" s="111"/>
    </row>
    <row r="26" ht="15.0" customHeight="1">
      <c r="A26" s="199"/>
      <c r="B26" s="191"/>
      <c r="C26" s="191" t="s">
        <v>39</v>
      </c>
      <c r="D26" s="191"/>
      <c r="E26" s="191"/>
      <c r="F26" s="195"/>
      <c r="G26" s="200"/>
      <c r="H26" s="203"/>
      <c r="I26" s="203"/>
      <c r="J26" s="204"/>
      <c r="K26" s="203"/>
      <c r="L26" s="203"/>
      <c r="M26" s="200"/>
      <c r="N26" s="203"/>
      <c r="O26" s="203"/>
      <c r="P26" s="204"/>
      <c r="Q26" s="203"/>
      <c r="R26" s="203"/>
      <c r="S26" s="200"/>
      <c r="T26" s="203"/>
      <c r="U26" s="203"/>
      <c r="V26" s="204"/>
      <c r="W26" s="203"/>
      <c r="X26" s="111"/>
      <c r="Y26" s="200"/>
      <c r="Z26" s="203"/>
      <c r="AA26" s="203"/>
      <c r="AB26" s="204"/>
      <c r="AC26" s="203"/>
      <c r="AD26" s="111"/>
      <c r="AE26" s="200"/>
      <c r="AF26" s="203"/>
      <c r="AG26" s="203"/>
      <c r="AH26" s="204"/>
      <c r="AI26" s="111"/>
    </row>
    <row r="27" ht="15.0" customHeight="1">
      <c r="A27" s="199"/>
      <c r="B27" s="191"/>
      <c r="C27" s="191" t="s">
        <v>40</v>
      </c>
      <c r="D27" s="191"/>
      <c r="E27" s="191"/>
      <c r="F27" s="195"/>
      <c r="G27" s="206" t="s">
        <v>41</v>
      </c>
      <c r="I27" s="198"/>
      <c r="J27" s="19"/>
      <c r="K27" s="198"/>
      <c r="L27" s="198"/>
      <c r="M27" s="200" t="s">
        <v>41</v>
      </c>
      <c r="N27" s="203"/>
      <c r="O27" s="203"/>
      <c r="P27" s="204"/>
      <c r="Q27" s="203"/>
      <c r="R27" s="198"/>
      <c r="S27" s="206" t="s">
        <v>41</v>
      </c>
      <c r="U27" s="198"/>
      <c r="V27" s="19"/>
      <c r="W27" s="198"/>
      <c r="X27" s="111"/>
      <c r="Y27" s="206" t="s">
        <v>41</v>
      </c>
      <c r="AA27" s="198"/>
      <c r="AB27" s="19"/>
      <c r="AC27" s="198"/>
      <c r="AD27" s="111"/>
      <c r="AE27" s="206" t="s">
        <v>41</v>
      </c>
      <c r="AG27" s="198"/>
      <c r="AH27" s="19"/>
      <c r="AI27" s="111"/>
    </row>
    <row r="28" ht="15.0" customHeight="1">
      <c r="A28" s="199"/>
      <c r="B28" s="191"/>
      <c r="C28" s="191" t="s">
        <v>42</v>
      </c>
      <c r="D28" s="191"/>
      <c r="E28" s="191"/>
      <c r="F28" s="195"/>
      <c r="G28" s="206"/>
      <c r="H28" s="210"/>
      <c r="I28" s="198"/>
      <c r="J28" s="211"/>
      <c r="K28" s="198"/>
      <c r="L28" s="198"/>
      <c r="M28" s="206"/>
      <c r="N28" s="210"/>
      <c r="O28" s="198"/>
      <c r="P28" s="211"/>
      <c r="Q28" s="198"/>
      <c r="R28" s="198"/>
      <c r="S28" s="206"/>
      <c r="T28" s="210"/>
      <c r="U28" s="198"/>
      <c r="V28" s="211"/>
      <c r="W28" s="198"/>
      <c r="X28" s="111"/>
      <c r="Y28" s="206"/>
      <c r="Z28" s="210"/>
      <c r="AA28" s="198"/>
      <c r="AB28" s="211"/>
      <c r="AC28" s="198"/>
      <c r="AD28" s="111"/>
      <c r="AE28" s="206"/>
      <c r="AF28" s="210"/>
      <c r="AG28" s="198"/>
      <c r="AH28" s="211"/>
      <c r="AI28" s="111"/>
    </row>
    <row r="29" ht="15.0" customHeight="1">
      <c r="A29" s="199"/>
      <c r="B29" s="191"/>
      <c r="C29" s="191" t="s">
        <v>43</v>
      </c>
      <c r="D29" s="191"/>
      <c r="E29" s="191"/>
      <c r="F29" s="195"/>
      <c r="G29" s="206" t="s">
        <v>44</v>
      </c>
      <c r="H29" s="203"/>
      <c r="I29" s="203"/>
      <c r="J29" s="204"/>
      <c r="K29" s="203"/>
      <c r="L29" s="212"/>
      <c r="M29" s="200" t="s">
        <v>44</v>
      </c>
      <c r="N29" s="203"/>
      <c r="O29" s="203"/>
      <c r="P29" s="204"/>
      <c r="Q29" s="203"/>
      <c r="R29" s="212"/>
      <c r="S29" s="206" t="s">
        <v>44</v>
      </c>
      <c r="T29" s="212"/>
      <c r="V29" s="19"/>
      <c r="W29" s="212"/>
      <c r="X29" s="111"/>
      <c r="Y29" s="206" t="s">
        <v>44</v>
      </c>
      <c r="Z29" s="212"/>
      <c r="AB29" s="19"/>
      <c r="AC29" s="212"/>
      <c r="AD29" s="111"/>
      <c r="AE29" s="206" t="s">
        <v>44</v>
      </c>
      <c r="AF29" s="212"/>
      <c r="AH29" s="19"/>
      <c r="AI29" s="111"/>
    </row>
    <row r="30" ht="15.0" customHeight="1">
      <c r="A30" s="199"/>
      <c r="B30" s="191"/>
      <c r="C30" s="191" t="s">
        <v>45</v>
      </c>
      <c r="D30" s="191"/>
      <c r="E30" s="191"/>
      <c r="F30" s="195"/>
      <c r="G30" s="213"/>
      <c r="J30" s="19"/>
      <c r="K30" s="212"/>
      <c r="L30" s="212"/>
      <c r="M30" s="217"/>
      <c r="P30" s="19"/>
      <c r="Q30" s="215"/>
      <c r="R30" s="212"/>
      <c r="S30" s="217"/>
      <c r="V30" s="19"/>
      <c r="W30" s="215"/>
      <c r="X30" s="111"/>
      <c r="Y30" s="217" t="s">
        <v>49</v>
      </c>
      <c r="AB30" s="19"/>
      <c r="AC30" s="215"/>
      <c r="AD30" s="111"/>
      <c r="AE30" s="218" t="s">
        <v>50</v>
      </c>
      <c r="AH30" s="19"/>
      <c r="AI30" s="111"/>
    </row>
    <row r="31" ht="15.0" customHeight="1">
      <c r="A31" s="199"/>
      <c r="B31" s="191"/>
      <c r="C31" s="191" t="s">
        <v>51</v>
      </c>
      <c r="D31" s="191"/>
      <c r="E31" s="191"/>
      <c r="F31" s="195"/>
      <c r="G31" s="219"/>
      <c r="J31" s="19"/>
      <c r="K31" s="212"/>
      <c r="L31" s="212"/>
      <c r="M31" s="217"/>
      <c r="P31" s="19"/>
      <c r="Q31" s="215"/>
      <c r="R31" s="212"/>
      <c r="S31" s="220"/>
      <c r="V31" s="19"/>
      <c r="W31" s="212"/>
      <c r="X31" s="111"/>
      <c r="Y31" s="220"/>
      <c r="AB31" s="19"/>
      <c r="AC31" s="212"/>
      <c r="AD31" s="111"/>
      <c r="AE31" s="220"/>
      <c r="AH31" s="19"/>
      <c r="AI31" s="111"/>
    </row>
    <row r="32" ht="15.0" customHeight="1">
      <c r="A32" s="199"/>
      <c r="B32" s="191"/>
      <c r="C32" s="191"/>
      <c r="D32" s="191"/>
      <c r="E32" s="191"/>
      <c r="F32" s="195"/>
      <c r="G32" s="219"/>
      <c r="J32" s="19"/>
      <c r="K32" s="212"/>
      <c r="L32" s="212"/>
      <c r="M32" s="217"/>
      <c r="P32" s="19"/>
      <c r="Q32" s="215"/>
      <c r="R32" s="212"/>
      <c r="S32" s="220"/>
      <c r="V32" s="19"/>
      <c r="W32" s="212"/>
      <c r="X32" s="111"/>
      <c r="Y32" s="220"/>
      <c r="AB32" s="19"/>
      <c r="AC32" s="212"/>
      <c r="AD32" s="111"/>
      <c r="AE32" s="220"/>
      <c r="AH32" s="19"/>
      <c r="AI32" s="111"/>
    </row>
    <row r="33" ht="15.0" customHeight="1">
      <c r="A33" s="199"/>
      <c r="B33" s="191"/>
      <c r="C33" s="191"/>
      <c r="D33" s="191"/>
      <c r="E33" s="191"/>
      <c r="F33" s="195"/>
      <c r="G33" s="206" t="s">
        <v>52</v>
      </c>
      <c r="H33" s="201"/>
      <c r="I33" s="201"/>
      <c r="J33" s="202"/>
      <c r="K33" s="201"/>
      <c r="L33" s="198"/>
      <c r="M33" s="200" t="s">
        <v>52</v>
      </c>
      <c r="N33" s="203"/>
      <c r="O33" s="203"/>
      <c r="P33" s="204"/>
      <c r="Q33" s="203"/>
      <c r="R33" s="198"/>
      <c r="S33" s="206" t="s">
        <v>52</v>
      </c>
      <c r="T33" s="201"/>
      <c r="U33" s="201"/>
      <c r="V33" s="202"/>
      <c r="W33" s="201"/>
      <c r="X33" s="111"/>
      <c r="Y33" s="206" t="s">
        <v>52</v>
      </c>
      <c r="Z33" s="198" t="s">
        <v>53</v>
      </c>
      <c r="AB33" s="19"/>
      <c r="AC33" s="198"/>
      <c r="AD33" s="111"/>
      <c r="AE33" s="206" t="s">
        <v>52</v>
      </c>
      <c r="AF33" s="198" t="s">
        <v>53</v>
      </c>
      <c r="AH33" s="19"/>
      <c r="AI33" s="111"/>
    </row>
    <row r="34" ht="15.0" customHeight="1">
      <c r="A34" s="221"/>
      <c r="B34" s="191"/>
      <c r="C34" s="191"/>
      <c r="D34" s="191"/>
      <c r="E34" s="191"/>
      <c r="F34" s="195"/>
      <c r="G34" s="222"/>
      <c r="H34" s="155"/>
      <c r="I34" s="155"/>
      <c r="J34" s="156"/>
      <c r="K34" s="223"/>
      <c r="L34" s="223"/>
      <c r="M34" s="222"/>
      <c r="N34" s="155"/>
      <c r="O34" s="155"/>
      <c r="P34" s="156"/>
      <c r="Q34" s="223"/>
      <c r="R34" s="223"/>
      <c r="S34" s="222"/>
      <c r="T34" s="155"/>
      <c r="U34" s="155"/>
      <c r="V34" s="156"/>
      <c r="W34" s="223"/>
      <c r="X34" s="111"/>
      <c r="Y34" s="222"/>
      <c r="Z34" s="155"/>
      <c r="AA34" s="155"/>
      <c r="AB34" s="156"/>
      <c r="AC34" s="223"/>
      <c r="AD34" s="111"/>
      <c r="AE34" s="222"/>
      <c r="AF34" s="155"/>
      <c r="AG34" s="155"/>
      <c r="AH34" s="156"/>
      <c r="AI34" s="111"/>
    </row>
    <row r="35" ht="15.75" customHeight="1">
      <c r="A35" s="194"/>
      <c r="B35" s="191"/>
      <c r="C35" s="111"/>
      <c r="D35" s="111"/>
      <c r="E35" s="111"/>
      <c r="F35" s="195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</row>
    <row r="36" ht="15.75" customHeight="1">
      <c r="A36" s="199"/>
      <c r="B36" s="191"/>
      <c r="C36" s="111"/>
      <c r="D36" s="111"/>
      <c r="E36" s="111"/>
      <c r="F36" s="195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</row>
    <row r="37" ht="15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</row>
    <row r="38" ht="15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</row>
    <row r="39" ht="15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</row>
    <row r="40" ht="15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</row>
  </sheetData>
  <mergeCells count="106">
    <mergeCell ref="M1:P1"/>
    <mergeCell ref="M2:P2"/>
    <mergeCell ref="M4:N4"/>
    <mergeCell ref="O4:P4"/>
    <mergeCell ref="Y1:AB1"/>
    <mergeCell ref="Y2:AB2"/>
    <mergeCell ref="Y4:Z4"/>
    <mergeCell ref="AA4:AB4"/>
    <mergeCell ref="AA5:AA6"/>
    <mergeCell ref="AB5:AB6"/>
    <mergeCell ref="S2:V2"/>
    <mergeCell ref="S3:V3"/>
    <mergeCell ref="S4:T4"/>
    <mergeCell ref="U4:V4"/>
    <mergeCell ref="AE2:AH2"/>
    <mergeCell ref="AE3:AH3"/>
    <mergeCell ref="AE4:AF4"/>
    <mergeCell ref="AG4:AH4"/>
    <mergeCell ref="AE5:AE6"/>
    <mergeCell ref="AG5:AG6"/>
    <mergeCell ref="AH5:AH6"/>
    <mergeCell ref="B1:D3"/>
    <mergeCell ref="E1:E3"/>
    <mergeCell ref="G1:J1"/>
    <mergeCell ref="S1:V1"/>
    <mergeCell ref="AE1:AH1"/>
    <mergeCell ref="M3:P3"/>
    <mergeCell ref="Y3:AB3"/>
    <mergeCell ref="G4:H4"/>
    <mergeCell ref="G5:G6"/>
    <mergeCell ref="G2:J2"/>
    <mergeCell ref="G3:J3"/>
    <mergeCell ref="B4:B6"/>
    <mergeCell ref="C4:C6"/>
    <mergeCell ref="D4:E4"/>
    <mergeCell ref="I4:J4"/>
    <mergeCell ref="D5:E5"/>
    <mergeCell ref="AE27:AF27"/>
    <mergeCell ref="AG27:AH27"/>
    <mergeCell ref="T25:V25"/>
    <mergeCell ref="Z25:AB25"/>
    <mergeCell ref="AF25:AH25"/>
    <mergeCell ref="S27:T27"/>
    <mergeCell ref="U27:V27"/>
    <mergeCell ref="Y27:Z27"/>
    <mergeCell ref="AA27:AB27"/>
    <mergeCell ref="M30:P30"/>
    <mergeCell ref="M31:P31"/>
    <mergeCell ref="G34:J34"/>
    <mergeCell ref="M34:P34"/>
    <mergeCell ref="Y30:AB30"/>
    <mergeCell ref="Y31:AB31"/>
    <mergeCell ref="Z33:AB33"/>
    <mergeCell ref="Y34:AB34"/>
    <mergeCell ref="S31:V31"/>
    <mergeCell ref="M32:P32"/>
    <mergeCell ref="S32:V32"/>
    <mergeCell ref="S34:V34"/>
    <mergeCell ref="AE31:AH31"/>
    <mergeCell ref="AE32:AH32"/>
    <mergeCell ref="AF33:AH33"/>
    <mergeCell ref="AE34:AH34"/>
    <mergeCell ref="T29:V29"/>
    <mergeCell ref="Z29:AB29"/>
    <mergeCell ref="AF29:AH29"/>
    <mergeCell ref="G30:J32"/>
    <mergeCell ref="S30:V30"/>
    <mergeCell ref="AE30:AH30"/>
    <mergeCell ref="Y32:AB32"/>
    <mergeCell ref="V5:V6"/>
    <mergeCell ref="Y5:Y6"/>
    <mergeCell ref="I5:I6"/>
    <mergeCell ref="J5:J6"/>
    <mergeCell ref="M5:M6"/>
    <mergeCell ref="O5:O6"/>
    <mergeCell ref="P5:P6"/>
    <mergeCell ref="S5:S6"/>
    <mergeCell ref="U5:U6"/>
    <mergeCell ref="Y14:AA15"/>
    <mergeCell ref="AB14:AB15"/>
    <mergeCell ref="AE14:AG15"/>
    <mergeCell ref="AH14:AH15"/>
    <mergeCell ref="M14:O15"/>
    <mergeCell ref="M17:O18"/>
    <mergeCell ref="H21:J21"/>
    <mergeCell ref="N21:P21"/>
    <mergeCell ref="H25:J25"/>
    <mergeCell ref="N25:P25"/>
    <mergeCell ref="G27:H27"/>
    <mergeCell ref="I27:J27"/>
    <mergeCell ref="C14:E15"/>
    <mergeCell ref="G14:I15"/>
    <mergeCell ref="J14:J15"/>
    <mergeCell ref="P14:P15"/>
    <mergeCell ref="S14:U15"/>
    <mergeCell ref="V14:V15"/>
    <mergeCell ref="G17:I18"/>
    <mergeCell ref="Z23:AB23"/>
    <mergeCell ref="AF23:AH23"/>
    <mergeCell ref="S17:U18"/>
    <mergeCell ref="Y17:AA18"/>
    <mergeCell ref="AE17:AG18"/>
    <mergeCell ref="T21:V21"/>
    <mergeCell ref="Z21:AB21"/>
    <mergeCell ref="AF21:AH21"/>
    <mergeCell ref="T23:V2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25"/>
    <col customWidth="1" min="2" max="2" width="8.38"/>
    <col customWidth="1" min="3" max="3" width="43.75"/>
    <col customWidth="1" min="4" max="4" width="20.75"/>
    <col customWidth="1" min="5" max="5" width="29.75"/>
    <col customWidth="1" min="6" max="6" width="3.75"/>
    <col customWidth="1" min="7" max="7" width="17.75"/>
    <col customWidth="1" min="8" max="8" width="18.63"/>
    <col customWidth="1" min="9" max="9" width="16.88"/>
    <col customWidth="1" min="10" max="10" width="23.88"/>
    <col customWidth="1" min="11" max="11" width="19.38"/>
    <col customWidth="1" min="12" max="12" width="3.75"/>
    <col customWidth="1" min="13" max="13" width="19.88"/>
    <col customWidth="1" min="14" max="14" width="17.38"/>
    <col customWidth="1" min="15" max="15" width="16.0"/>
    <col customWidth="1" min="16" max="17" width="25.38"/>
    <col customWidth="1" min="18" max="18" width="3.75"/>
    <col customWidth="1" min="19" max="19" width="20.13"/>
    <col customWidth="1" min="20" max="20" width="14.38"/>
    <col customWidth="1" min="21" max="21" width="17.0"/>
    <col customWidth="1" min="22" max="23" width="22.38"/>
    <col customWidth="1" hidden="1" min="24" max="24" width="2.63"/>
    <col customWidth="1" hidden="1" min="25" max="25" width="24.75"/>
    <col customWidth="1" hidden="1" min="26" max="26" width="14.25"/>
    <col customWidth="1" hidden="1" min="27" max="27" width="18.38"/>
    <col customWidth="1" hidden="1" min="28" max="29" width="23.25"/>
    <col customWidth="1" hidden="1" min="30" max="30" width="11.38"/>
    <col customWidth="1" hidden="1" min="31" max="31" width="24.75"/>
    <col customWidth="1" hidden="1" min="32" max="32" width="17.25"/>
    <col customWidth="1" hidden="1" min="33" max="33" width="18.38"/>
    <col customWidth="1" hidden="1" min="34" max="34" width="23.25"/>
    <col customWidth="1" min="35" max="35" width="17.75"/>
  </cols>
  <sheetData>
    <row r="1" ht="33.0" customHeight="1">
      <c r="A1" s="1"/>
      <c r="B1" s="2" t="s">
        <v>323</v>
      </c>
      <c r="E1" s="3" t="s">
        <v>1</v>
      </c>
      <c r="F1" s="4"/>
      <c r="G1" s="5" t="s">
        <v>324</v>
      </c>
      <c r="H1" s="6"/>
      <c r="I1" s="6"/>
      <c r="J1" s="7"/>
      <c r="K1" s="8"/>
      <c r="L1" s="9"/>
      <c r="M1" s="10" t="s">
        <v>325</v>
      </c>
      <c r="N1" s="6"/>
      <c r="O1" s="6"/>
      <c r="P1" s="7"/>
      <c r="Q1" s="11"/>
      <c r="R1" s="9"/>
      <c r="S1" s="12" t="s">
        <v>326</v>
      </c>
      <c r="T1" s="6"/>
      <c r="U1" s="6"/>
      <c r="V1" s="7"/>
      <c r="W1" s="13"/>
      <c r="X1" s="14"/>
      <c r="Y1" s="15" t="s">
        <v>5</v>
      </c>
      <c r="Z1" s="6"/>
      <c r="AA1" s="6"/>
      <c r="AB1" s="7"/>
      <c r="AC1" s="16"/>
      <c r="AD1" s="14"/>
      <c r="AE1" s="17" t="s">
        <v>5</v>
      </c>
      <c r="AF1" s="6"/>
      <c r="AG1" s="6"/>
      <c r="AH1" s="7"/>
      <c r="AI1" s="14"/>
    </row>
    <row r="2" ht="33.0" customHeight="1">
      <c r="A2" s="18"/>
      <c r="E2" s="19"/>
      <c r="F2" s="4"/>
      <c r="G2" s="20" t="s">
        <v>6</v>
      </c>
      <c r="H2" s="21"/>
      <c r="I2" s="21"/>
      <c r="J2" s="22"/>
      <c r="K2" s="8"/>
      <c r="L2" s="9"/>
      <c r="M2" s="23" t="s">
        <v>6</v>
      </c>
      <c r="N2" s="21"/>
      <c r="O2" s="21"/>
      <c r="P2" s="22"/>
      <c r="Q2" s="11"/>
      <c r="R2" s="9"/>
      <c r="S2" s="24" t="s">
        <v>6</v>
      </c>
      <c r="T2" s="21"/>
      <c r="U2" s="21"/>
      <c r="V2" s="22"/>
      <c r="W2" s="13"/>
      <c r="X2" s="14"/>
      <c r="Y2" s="25" t="s">
        <v>6</v>
      </c>
      <c r="Z2" s="21"/>
      <c r="AA2" s="21"/>
      <c r="AB2" s="22"/>
      <c r="AC2" s="16"/>
      <c r="AD2" s="14"/>
      <c r="AE2" s="26" t="s">
        <v>6</v>
      </c>
      <c r="AF2" s="21"/>
      <c r="AG2" s="21"/>
      <c r="AH2" s="22"/>
      <c r="AI2" s="14"/>
    </row>
    <row r="3" ht="33.0" customHeight="1">
      <c r="A3" s="18"/>
      <c r="E3" s="19"/>
      <c r="F3" s="4"/>
      <c r="G3" s="27" t="s">
        <v>320</v>
      </c>
      <c r="H3" s="28"/>
      <c r="I3" s="28"/>
      <c r="J3" s="29"/>
      <c r="K3" s="8"/>
      <c r="L3" s="9"/>
      <c r="M3" s="30" t="s">
        <v>321</v>
      </c>
      <c r="N3" s="28"/>
      <c r="O3" s="28"/>
      <c r="P3" s="29"/>
      <c r="Q3" s="11"/>
      <c r="R3" s="9"/>
      <c r="S3" s="31" t="s">
        <v>320</v>
      </c>
      <c r="T3" s="28"/>
      <c r="U3" s="28"/>
      <c r="V3" s="29"/>
      <c r="W3" s="13"/>
      <c r="X3" s="14"/>
      <c r="Y3" s="32" t="s">
        <v>10</v>
      </c>
      <c r="Z3" s="28"/>
      <c r="AA3" s="28"/>
      <c r="AB3" s="29"/>
      <c r="AC3" s="16"/>
      <c r="AD3" s="14"/>
      <c r="AE3" s="33" t="s">
        <v>10</v>
      </c>
      <c r="AF3" s="28"/>
      <c r="AG3" s="28"/>
      <c r="AH3" s="29"/>
      <c r="AI3" s="14"/>
    </row>
    <row r="4" ht="33.0" customHeight="1">
      <c r="A4" s="34"/>
      <c r="B4" s="35" t="s">
        <v>11</v>
      </c>
      <c r="C4" s="36" t="s">
        <v>12</v>
      </c>
      <c r="D4" s="37" t="s">
        <v>13</v>
      </c>
      <c r="E4" s="38"/>
      <c r="F4" s="4"/>
      <c r="G4" s="39" t="s">
        <v>14</v>
      </c>
      <c r="H4" s="40"/>
      <c r="I4" s="41" t="s">
        <v>15</v>
      </c>
      <c r="J4" s="38"/>
      <c r="K4" s="42"/>
      <c r="L4" s="43"/>
      <c r="M4" s="44" t="s">
        <v>14</v>
      </c>
      <c r="N4" s="45"/>
      <c r="O4" s="46" t="s">
        <v>16</v>
      </c>
      <c r="P4" s="38"/>
      <c r="Q4" s="47"/>
      <c r="R4" s="43"/>
      <c r="S4" s="48" t="s">
        <v>14</v>
      </c>
      <c r="T4" s="45"/>
      <c r="U4" s="49" t="s">
        <v>15</v>
      </c>
      <c r="V4" s="38"/>
      <c r="W4" s="50"/>
      <c r="X4" s="14"/>
      <c r="Y4" s="51" t="s">
        <v>14</v>
      </c>
      <c r="Z4" s="45"/>
      <c r="AA4" s="52" t="s">
        <v>16</v>
      </c>
      <c r="AB4" s="38"/>
      <c r="AC4" s="53"/>
      <c r="AD4" s="14"/>
      <c r="AE4" s="54" t="s">
        <v>14</v>
      </c>
      <c r="AF4" s="45"/>
      <c r="AG4" s="55" t="s">
        <v>16</v>
      </c>
      <c r="AH4" s="38"/>
      <c r="AI4" s="14"/>
    </row>
    <row r="5" ht="45.0" customHeight="1">
      <c r="A5" s="56"/>
      <c r="B5" s="57"/>
      <c r="C5" s="57"/>
      <c r="D5" s="58">
        <f>+TODAY()</f>
        <v>46136</v>
      </c>
      <c r="E5" s="38"/>
      <c r="F5" s="4"/>
      <c r="G5" s="59" t="s">
        <v>17</v>
      </c>
      <c r="H5" s="60" t="s">
        <v>18</v>
      </c>
      <c r="I5" s="61" t="s">
        <v>19</v>
      </c>
      <c r="J5" s="62" t="s">
        <v>20</v>
      </c>
      <c r="K5" s="63"/>
      <c r="L5" s="4"/>
      <c r="M5" s="64" t="s">
        <v>17</v>
      </c>
      <c r="N5" s="65" t="s">
        <v>21</v>
      </c>
      <c r="O5" s="66" t="s">
        <v>19</v>
      </c>
      <c r="P5" s="67" t="s">
        <v>20</v>
      </c>
      <c r="Q5" s="68"/>
      <c r="R5" s="4"/>
      <c r="S5" s="69" t="s">
        <v>17</v>
      </c>
      <c r="T5" s="70" t="s">
        <v>22</v>
      </c>
      <c r="U5" s="71" t="s">
        <v>19</v>
      </c>
      <c r="V5" s="72" t="s">
        <v>20</v>
      </c>
      <c r="W5" s="73"/>
      <c r="X5" s="14"/>
      <c r="Y5" s="74" t="s">
        <v>17</v>
      </c>
      <c r="Z5" s="75" t="s">
        <v>22</v>
      </c>
      <c r="AA5" s="76" t="s">
        <v>19</v>
      </c>
      <c r="AB5" s="77" t="s">
        <v>20</v>
      </c>
      <c r="AC5" s="78"/>
      <c r="AD5" s="14"/>
      <c r="AE5" s="79" t="s">
        <v>17</v>
      </c>
      <c r="AF5" s="80" t="s">
        <v>22</v>
      </c>
      <c r="AG5" s="81" t="s">
        <v>19</v>
      </c>
      <c r="AH5" s="82" t="s">
        <v>20</v>
      </c>
      <c r="AI5" s="14"/>
    </row>
    <row r="6" ht="30.0" customHeight="1">
      <c r="A6" s="83"/>
      <c r="B6" s="84"/>
      <c r="C6" s="84"/>
      <c r="D6" s="36" t="s">
        <v>23</v>
      </c>
      <c r="E6" s="36" t="s">
        <v>24</v>
      </c>
      <c r="F6" s="4"/>
      <c r="G6" s="85"/>
      <c r="H6" s="86">
        <v>0.19</v>
      </c>
      <c r="I6" s="87"/>
      <c r="J6" s="88"/>
      <c r="K6" s="63"/>
      <c r="L6" s="4"/>
      <c r="M6" s="85"/>
      <c r="N6" s="89">
        <v>0.19</v>
      </c>
      <c r="O6" s="87"/>
      <c r="P6" s="88"/>
      <c r="Q6" s="68"/>
      <c r="R6" s="4"/>
      <c r="S6" s="90"/>
      <c r="T6" s="91">
        <v>0.19</v>
      </c>
      <c r="U6" s="92"/>
      <c r="V6" s="93"/>
      <c r="W6" s="73"/>
      <c r="X6" s="14"/>
      <c r="Y6" s="85"/>
      <c r="Z6" s="94">
        <v>0.19</v>
      </c>
      <c r="AA6" s="87"/>
      <c r="AB6" s="88"/>
      <c r="AC6" s="78"/>
      <c r="AD6" s="14"/>
      <c r="AE6" s="85"/>
      <c r="AF6" s="95">
        <v>0.19</v>
      </c>
      <c r="AG6" s="87"/>
      <c r="AH6" s="88"/>
      <c r="AI6" s="14"/>
    </row>
    <row r="7" ht="15.75" customHeight="1">
      <c r="A7" s="96"/>
      <c r="B7" s="97">
        <v>1.0</v>
      </c>
      <c r="C7" s="98" t="s">
        <v>327</v>
      </c>
      <c r="D7" s="99" t="s">
        <v>102</v>
      </c>
      <c r="E7" s="100">
        <v>100.0</v>
      </c>
      <c r="F7" s="101"/>
      <c r="G7" s="102">
        <v>2475.0</v>
      </c>
      <c r="H7" s="103">
        <f t="shared" ref="H7:H8" si="1">G7*$H$6</f>
        <v>470.25</v>
      </c>
      <c r="I7" s="103">
        <f t="shared" ref="I7:I8" si="2">G7+H7</f>
        <v>2945.25</v>
      </c>
      <c r="J7" s="104">
        <f t="shared" ref="J7:J11" si="3">E7*I7</f>
        <v>294525</v>
      </c>
      <c r="K7" s="105">
        <f t="shared" ref="K7:K11" si="4"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160</v>
      </c>
      <c r="L7" s="106"/>
      <c r="M7" s="102">
        <v>2315.0</v>
      </c>
      <c r="N7" s="103">
        <f>M7*$H$6</f>
        <v>439.85</v>
      </c>
      <c r="O7" s="107">
        <f t="shared" ref="O7:O11" si="5">M7+N7</f>
        <v>2754.85</v>
      </c>
      <c r="P7" s="108">
        <f t="shared" ref="P7:P11" si="6">E7*O7</f>
        <v>275485</v>
      </c>
      <c r="Q7" s="105">
        <f t="shared" ref="Q7:Q11" si="7"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0</v>
      </c>
      <c r="R7" s="106"/>
      <c r="S7" s="109">
        <v>2900.0</v>
      </c>
      <c r="T7" s="103">
        <f>S7*$H$6</f>
        <v>551</v>
      </c>
      <c r="U7" s="109">
        <f t="shared" ref="U7:U11" si="8">S7+T7</f>
        <v>3451</v>
      </c>
      <c r="V7" s="110">
        <f t="shared" ref="V7:V11" si="9">E7*U7</f>
        <v>345100</v>
      </c>
      <c r="W7" s="105">
        <f t="shared" ref="W7:W11" si="10"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585</v>
      </c>
      <c r="X7" s="111"/>
      <c r="Y7" s="112"/>
      <c r="Z7" s="109">
        <f t="shared" ref="Z7:Z8" si="11">Y7*$T$6</f>
        <v>0</v>
      </c>
      <c r="AA7" s="109">
        <f t="shared" ref="AA7:AA8" si="12">Y7+Z7</f>
        <v>0</v>
      </c>
      <c r="AB7" s="108">
        <f t="shared" ref="AB7:AB11" si="13">E7*AA7</f>
        <v>0</v>
      </c>
      <c r="AC7" s="105">
        <f t="shared" ref="AC7:AC11" si="14"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D7" s="111"/>
      <c r="AE7" s="112"/>
      <c r="AF7" s="109">
        <f t="shared" ref="AF7:AF8" si="15">+AE7*$AF$6</f>
        <v>0</v>
      </c>
      <c r="AG7" s="109">
        <f t="shared" ref="AG7:AG8" si="16">+AE7+AF7</f>
        <v>0</v>
      </c>
      <c r="AH7" s="108">
        <f t="shared" ref="AH7:AH8" si="17">+E7*AG7</f>
        <v>0</v>
      </c>
      <c r="AI7" s="105">
        <f t="shared" ref="AI7:AI11" si="18">+IF(AE7-MIN(IF($G7&gt;0,$G7,100000*100000),IF($M7&gt;0,$M7,100000*100000),IF($S7&gt;0,$S7,100000*100000),IF($Y7&gt;0,$Y7,100000*100000),IF($AE7&gt;0,$AE7,100000*100000))&gt;0,AE7-MIN(IF($G7&gt;0,$G7,100000*100000),IF($M7&gt;0,$M7,100000*100000),IF($S7&gt;0,$S7,100000*100000),IF($Y7&gt;0,$Y7,100000*100000),IF($AE7&gt;0,$AE7,100000*100000)),0)</f>
        <v>0</v>
      </c>
    </row>
    <row r="8" ht="15.75" hidden="1" customHeight="1">
      <c r="A8" s="113"/>
      <c r="B8" s="114">
        <v>2.0</v>
      </c>
      <c r="C8" s="115"/>
      <c r="D8" s="116"/>
      <c r="E8" s="117"/>
      <c r="F8" s="118"/>
      <c r="G8" s="102"/>
      <c r="H8" s="103">
        <f t="shared" si="1"/>
        <v>0</v>
      </c>
      <c r="I8" s="103">
        <f t="shared" si="2"/>
        <v>0</v>
      </c>
      <c r="J8" s="104">
        <f t="shared" si="3"/>
        <v>0</v>
      </c>
      <c r="K8" s="105">
        <f t="shared" si="4"/>
        <v>0</v>
      </c>
      <c r="L8" s="118"/>
      <c r="M8" s="102"/>
      <c r="N8" s="103">
        <f t="shared" ref="N8:N11" si="19">M8*$N$6</f>
        <v>0</v>
      </c>
      <c r="O8" s="107">
        <f t="shared" si="5"/>
        <v>0</v>
      </c>
      <c r="P8" s="108">
        <f t="shared" si="6"/>
        <v>0</v>
      </c>
      <c r="Q8" s="105">
        <f t="shared" si="7"/>
        <v>0</v>
      </c>
      <c r="R8" s="118"/>
      <c r="S8" s="109"/>
      <c r="T8" s="109">
        <f t="shared" ref="T8:T11" si="20">S8*$T$6</f>
        <v>0</v>
      </c>
      <c r="U8" s="109">
        <f t="shared" si="8"/>
        <v>0</v>
      </c>
      <c r="V8" s="110">
        <f t="shared" si="9"/>
        <v>0</v>
      </c>
      <c r="W8" s="105">
        <f t="shared" si="10"/>
        <v>0</v>
      </c>
      <c r="X8" s="119"/>
      <c r="Y8" s="112"/>
      <c r="Z8" s="109">
        <f t="shared" si="11"/>
        <v>0</v>
      </c>
      <c r="AA8" s="109">
        <f t="shared" si="12"/>
        <v>0</v>
      </c>
      <c r="AB8" s="108">
        <f t="shared" si="13"/>
        <v>0</v>
      </c>
      <c r="AC8" s="105">
        <f t="shared" si="14"/>
        <v>0</v>
      </c>
      <c r="AD8" s="119"/>
      <c r="AE8" s="112"/>
      <c r="AF8" s="109">
        <f t="shared" si="15"/>
        <v>0</v>
      </c>
      <c r="AG8" s="109">
        <f t="shared" si="16"/>
        <v>0</v>
      </c>
      <c r="AH8" s="108">
        <f t="shared" si="17"/>
        <v>0</v>
      </c>
      <c r="AI8" s="105">
        <f t="shared" si="18"/>
        <v>0</v>
      </c>
    </row>
    <row r="9" ht="15.75" hidden="1" customHeight="1">
      <c r="A9" s="96"/>
      <c r="B9" s="120">
        <v>3.0</v>
      </c>
      <c r="C9" s="115"/>
      <c r="D9" s="116"/>
      <c r="E9" s="117"/>
      <c r="F9" s="118"/>
      <c r="G9" s="102"/>
      <c r="H9" s="103"/>
      <c r="I9" s="103"/>
      <c r="J9" s="104">
        <f t="shared" si="3"/>
        <v>0</v>
      </c>
      <c r="K9" s="105">
        <f t="shared" si="4"/>
        <v>0</v>
      </c>
      <c r="L9" s="118"/>
      <c r="M9" s="102"/>
      <c r="N9" s="103">
        <f t="shared" si="19"/>
        <v>0</v>
      </c>
      <c r="O9" s="107">
        <f t="shared" si="5"/>
        <v>0</v>
      </c>
      <c r="P9" s="108">
        <f t="shared" si="6"/>
        <v>0</v>
      </c>
      <c r="Q9" s="105">
        <f t="shared" si="7"/>
        <v>0</v>
      </c>
      <c r="R9" s="118"/>
      <c r="S9" s="112"/>
      <c r="T9" s="109">
        <f t="shared" si="20"/>
        <v>0</v>
      </c>
      <c r="U9" s="109">
        <f t="shared" si="8"/>
        <v>0</v>
      </c>
      <c r="V9" s="108">
        <f t="shared" si="9"/>
        <v>0</v>
      </c>
      <c r="W9" s="105">
        <f t="shared" si="10"/>
        <v>0</v>
      </c>
      <c r="X9" s="119"/>
      <c r="Y9" s="112"/>
      <c r="Z9" s="109">
        <f t="shared" ref="Z9:Z11" si="21">+Y9*$Z$6</f>
        <v>0</v>
      </c>
      <c r="AA9" s="109">
        <f t="shared" ref="AA9:AA11" si="22">+Y9+Z9</f>
        <v>0</v>
      </c>
      <c r="AB9" s="108">
        <f t="shared" si="13"/>
        <v>0</v>
      </c>
      <c r="AC9" s="105">
        <f t="shared" si="14"/>
        <v>0</v>
      </c>
      <c r="AD9" s="119"/>
      <c r="AE9" s="112"/>
      <c r="AF9" s="109"/>
      <c r="AG9" s="109"/>
      <c r="AH9" s="108"/>
      <c r="AI9" s="105">
        <f t="shared" si="18"/>
        <v>0</v>
      </c>
    </row>
    <row r="10" ht="15.75" hidden="1" customHeight="1">
      <c r="A10" s="113"/>
      <c r="B10" s="114">
        <v>4.0</v>
      </c>
      <c r="C10" s="121"/>
      <c r="D10" s="116"/>
      <c r="E10" s="117"/>
      <c r="F10" s="118"/>
      <c r="G10" s="102"/>
      <c r="H10" s="103">
        <f t="shared" ref="H10:H11" si="23">G10*$H$6</f>
        <v>0</v>
      </c>
      <c r="I10" s="103">
        <f t="shared" ref="I10:I11" si="24">G10+H10</f>
        <v>0</v>
      </c>
      <c r="J10" s="104">
        <f t="shared" si="3"/>
        <v>0</v>
      </c>
      <c r="K10" s="105">
        <f t="shared" si="4"/>
        <v>0</v>
      </c>
      <c r="L10" s="118"/>
      <c r="M10" s="102"/>
      <c r="N10" s="103">
        <f t="shared" si="19"/>
        <v>0</v>
      </c>
      <c r="O10" s="107">
        <f t="shared" si="5"/>
        <v>0</v>
      </c>
      <c r="P10" s="108">
        <f t="shared" si="6"/>
        <v>0</v>
      </c>
      <c r="Q10" s="105">
        <f t="shared" si="7"/>
        <v>0</v>
      </c>
      <c r="R10" s="118"/>
      <c r="S10" s="112"/>
      <c r="T10" s="109">
        <f t="shared" si="20"/>
        <v>0</v>
      </c>
      <c r="U10" s="109">
        <f t="shared" si="8"/>
        <v>0</v>
      </c>
      <c r="V10" s="108">
        <f t="shared" si="9"/>
        <v>0</v>
      </c>
      <c r="W10" s="105">
        <f t="shared" si="10"/>
        <v>0</v>
      </c>
      <c r="X10" s="119"/>
      <c r="Y10" s="112"/>
      <c r="Z10" s="109">
        <f t="shared" si="21"/>
        <v>0</v>
      </c>
      <c r="AA10" s="109">
        <f t="shared" si="22"/>
        <v>0</v>
      </c>
      <c r="AB10" s="108">
        <f t="shared" si="13"/>
        <v>0</v>
      </c>
      <c r="AC10" s="105">
        <f t="shared" si="14"/>
        <v>0</v>
      </c>
      <c r="AD10" s="119"/>
      <c r="AE10" s="112"/>
      <c r="AF10" s="109"/>
      <c r="AG10" s="109"/>
      <c r="AH10" s="108"/>
      <c r="AI10" s="105">
        <f t="shared" si="18"/>
        <v>0</v>
      </c>
    </row>
    <row r="11" ht="15.75" hidden="1" customHeight="1">
      <c r="A11" s="96"/>
      <c r="B11" s="120">
        <v>5.0</v>
      </c>
      <c r="C11" s="121"/>
      <c r="D11" s="116"/>
      <c r="E11" s="117"/>
      <c r="F11" s="118"/>
      <c r="G11" s="122"/>
      <c r="H11" s="103">
        <f t="shared" si="23"/>
        <v>0</v>
      </c>
      <c r="I11" s="103">
        <f t="shared" si="24"/>
        <v>0</v>
      </c>
      <c r="J11" s="104">
        <f t="shared" si="3"/>
        <v>0</v>
      </c>
      <c r="K11" s="105">
        <f t="shared" si="4"/>
        <v>0</v>
      </c>
      <c r="L11" s="118"/>
      <c r="M11" s="102"/>
      <c r="N11" s="103">
        <f t="shared" si="19"/>
        <v>0</v>
      </c>
      <c r="O11" s="107">
        <f t="shared" si="5"/>
        <v>0</v>
      </c>
      <c r="P11" s="108">
        <f t="shared" si="6"/>
        <v>0</v>
      </c>
      <c r="Q11" s="105">
        <f t="shared" si="7"/>
        <v>0</v>
      </c>
      <c r="R11" s="118"/>
      <c r="S11" s="112"/>
      <c r="T11" s="109">
        <f t="shared" si="20"/>
        <v>0</v>
      </c>
      <c r="U11" s="109">
        <f t="shared" si="8"/>
        <v>0</v>
      </c>
      <c r="V11" s="108">
        <f t="shared" si="9"/>
        <v>0</v>
      </c>
      <c r="W11" s="105">
        <f t="shared" si="10"/>
        <v>0</v>
      </c>
      <c r="X11" s="119"/>
      <c r="Y11" s="112"/>
      <c r="Z11" s="109">
        <f t="shared" si="21"/>
        <v>0</v>
      </c>
      <c r="AA11" s="109">
        <f t="shared" si="22"/>
        <v>0</v>
      </c>
      <c r="AB11" s="108">
        <f t="shared" si="13"/>
        <v>0</v>
      </c>
      <c r="AC11" s="105">
        <f t="shared" si="14"/>
        <v>0</v>
      </c>
      <c r="AD11" s="119"/>
      <c r="AE11" s="112"/>
      <c r="AF11" s="109"/>
      <c r="AG11" s="109"/>
      <c r="AH11" s="108"/>
      <c r="AI11" s="105">
        <f t="shared" si="18"/>
        <v>0</v>
      </c>
    </row>
    <row r="12" ht="15.75" customHeight="1">
      <c r="A12" s="123"/>
      <c r="B12" s="123"/>
      <c r="C12" s="124"/>
      <c r="D12" s="125"/>
      <c r="E12" s="126"/>
      <c r="F12" s="127"/>
      <c r="G12" s="128"/>
      <c r="H12" s="129"/>
      <c r="I12" s="129"/>
      <c r="J12" s="130"/>
      <c r="K12" s="131"/>
      <c r="L12" s="131"/>
      <c r="M12" s="132"/>
      <c r="N12" s="129"/>
      <c r="O12" s="129"/>
      <c r="P12" s="133"/>
      <c r="Q12" s="118"/>
      <c r="R12" s="131"/>
      <c r="S12" s="128"/>
      <c r="T12" s="134"/>
      <c r="U12" s="134"/>
      <c r="V12" s="130"/>
      <c r="W12" s="131"/>
      <c r="X12" s="111"/>
      <c r="Y12" s="128"/>
      <c r="Z12" s="135"/>
      <c r="AA12" s="135"/>
      <c r="AB12" s="130"/>
      <c r="AC12" s="131"/>
      <c r="AD12" s="111"/>
      <c r="AE12" s="128"/>
      <c r="AF12" s="135"/>
      <c r="AG12" s="135"/>
      <c r="AH12" s="130"/>
      <c r="AI12" s="111"/>
    </row>
    <row r="13" ht="15.75" customHeight="1">
      <c r="A13" s="136"/>
      <c r="B13" s="136"/>
      <c r="C13" s="137"/>
      <c r="D13" s="138"/>
      <c r="E13" s="139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11"/>
      <c r="Y13" s="140"/>
      <c r="Z13" s="140"/>
      <c r="AA13" s="140"/>
      <c r="AB13" s="140"/>
      <c r="AC13" s="140"/>
      <c r="AD13" s="111"/>
      <c r="AE13" s="140"/>
      <c r="AF13" s="140"/>
      <c r="AG13" s="140"/>
      <c r="AH13" s="140"/>
      <c r="AI13" s="111"/>
    </row>
    <row r="14" ht="15.75" customHeight="1">
      <c r="A14" s="141"/>
      <c r="B14" s="136"/>
      <c r="C14" s="142" t="s">
        <v>30</v>
      </c>
      <c r="D14" s="143"/>
      <c r="E14" s="144"/>
      <c r="F14" s="145"/>
      <c r="G14" s="146"/>
      <c r="H14" s="143"/>
      <c r="I14" s="143"/>
      <c r="J14" s="147">
        <f>SUM(J7:J12)</f>
        <v>294525</v>
      </c>
      <c r="K14" s="148"/>
      <c r="L14" s="149"/>
      <c r="M14" s="146"/>
      <c r="N14" s="143"/>
      <c r="O14" s="143"/>
      <c r="P14" s="147">
        <f>SUM(P7:P12)</f>
        <v>275485</v>
      </c>
      <c r="Q14" s="148"/>
      <c r="R14" s="149"/>
      <c r="S14" s="146"/>
      <c r="T14" s="143"/>
      <c r="U14" s="143"/>
      <c r="V14" s="147">
        <f>SUM(V7:V12)</f>
        <v>345100</v>
      </c>
      <c r="W14" s="148"/>
      <c r="X14" s="14"/>
      <c r="Y14" s="146"/>
      <c r="Z14" s="143"/>
      <c r="AA14" s="143"/>
      <c r="AB14" s="150">
        <f>SUM(AB7:AB13)</f>
        <v>0</v>
      </c>
      <c r="AC14" s="151"/>
      <c r="AD14" s="14"/>
      <c r="AE14" s="146"/>
      <c r="AF14" s="143"/>
      <c r="AG14" s="143"/>
      <c r="AH14" s="152">
        <f>SUM(AH7:AH13)</f>
        <v>0</v>
      </c>
      <c r="AI14" s="14"/>
    </row>
    <row r="15" ht="15.75" customHeight="1">
      <c r="A15" s="153"/>
      <c r="B15" s="136"/>
      <c r="C15" s="154"/>
      <c r="D15" s="155"/>
      <c r="E15" s="156"/>
      <c r="F15" s="145"/>
      <c r="G15" s="154"/>
      <c r="H15" s="155"/>
      <c r="I15" s="155"/>
      <c r="J15" s="84"/>
      <c r="K15" s="148"/>
      <c r="L15" s="149"/>
      <c r="M15" s="154"/>
      <c r="N15" s="155"/>
      <c r="O15" s="155"/>
      <c r="P15" s="84"/>
      <c r="Q15" s="148"/>
      <c r="R15" s="149"/>
      <c r="S15" s="154"/>
      <c r="T15" s="155"/>
      <c r="U15" s="155"/>
      <c r="V15" s="84"/>
      <c r="W15" s="148"/>
      <c r="X15" s="14"/>
      <c r="Y15" s="154"/>
      <c r="Z15" s="155"/>
      <c r="AA15" s="155"/>
      <c r="AB15" s="84"/>
      <c r="AC15" s="151"/>
      <c r="AD15" s="14"/>
      <c r="AE15" s="154"/>
      <c r="AF15" s="155"/>
      <c r="AG15" s="155"/>
      <c r="AH15" s="84"/>
      <c r="AI15" s="14"/>
    </row>
    <row r="16" ht="8.25" customHeight="1">
      <c r="A16" s="137"/>
      <c r="B16" s="137"/>
      <c r="C16" s="137"/>
      <c r="D16" s="137"/>
      <c r="E16" s="157"/>
      <c r="F16" s="9"/>
      <c r="G16" s="158"/>
      <c r="H16" s="158"/>
      <c r="I16" s="158"/>
      <c r="J16" s="149"/>
      <c r="K16" s="149"/>
      <c r="L16" s="149"/>
      <c r="M16" s="158"/>
      <c r="N16" s="158"/>
      <c r="O16" s="158"/>
      <c r="P16" s="149"/>
      <c r="Q16" s="149"/>
      <c r="R16" s="149"/>
      <c r="S16" s="158"/>
      <c r="T16" s="158"/>
      <c r="U16" s="158"/>
      <c r="V16" s="149"/>
      <c r="W16" s="149"/>
      <c r="X16" s="14"/>
      <c r="Y16" s="158"/>
      <c r="Z16" s="158"/>
      <c r="AA16" s="158"/>
      <c r="AB16" s="149"/>
      <c r="AC16" s="149"/>
      <c r="AD16" s="14"/>
      <c r="AE16" s="158"/>
      <c r="AF16" s="158"/>
      <c r="AG16" s="158"/>
      <c r="AH16" s="149"/>
      <c r="AI16" s="14"/>
    </row>
    <row r="17" ht="15.75" customHeight="1">
      <c r="A17" s="159"/>
      <c r="B17" s="160" t="s">
        <v>31</v>
      </c>
      <c r="C17" s="160"/>
      <c r="D17" s="160"/>
      <c r="E17" s="161"/>
      <c r="F17" s="162"/>
      <c r="G17" s="163"/>
      <c r="H17" s="143"/>
      <c r="I17" s="143"/>
      <c r="J17" s="164">
        <f>+J14-MIN($J$14,$P$14,$V$14)</f>
        <v>19040</v>
      </c>
      <c r="K17" s="165"/>
      <c r="L17" s="166"/>
      <c r="M17" s="163"/>
      <c r="N17" s="143"/>
      <c r="O17" s="143"/>
      <c r="P17" s="167">
        <f>+P14-MIN($J$14,$P$14,$V$14)</f>
        <v>0</v>
      </c>
      <c r="Q17" s="168"/>
      <c r="R17" s="166"/>
      <c r="S17" s="163"/>
      <c r="T17" s="143"/>
      <c r="U17" s="143"/>
      <c r="V17" s="169">
        <f>+V14-MIN($J$14,$P$14,$V$14)</f>
        <v>69615</v>
      </c>
      <c r="W17" s="170"/>
      <c r="X17" s="14"/>
      <c r="Y17" s="163"/>
      <c r="Z17" s="143"/>
      <c r="AA17" s="143"/>
      <c r="AB17" s="171">
        <f>+AB14-MIN($J$14,$P$14,$V$14)</f>
        <v>-275485</v>
      </c>
      <c r="AC17" s="172"/>
      <c r="AD17" s="14"/>
      <c r="AE17" s="163"/>
      <c r="AF17" s="143"/>
      <c r="AG17" s="143"/>
      <c r="AH17" s="173">
        <f>+AH14-MIN($J$14,$P$14,$V$14)</f>
        <v>-275485</v>
      </c>
      <c r="AI17" s="14"/>
    </row>
    <row r="18" ht="15.75" customHeight="1">
      <c r="A18" s="174"/>
      <c r="B18" s="175" t="s">
        <v>32</v>
      </c>
      <c r="C18" s="175"/>
      <c r="D18" s="175"/>
      <c r="E18" s="176"/>
      <c r="F18" s="162"/>
      <c r="G18" s="154"/>
      <c r="H18" s="155"/>
      <c r="I18" s="155"/>
      <c r="J18" s="177">
        <f>+J17/MIN($J$14,$V$14)</f>
        <v>0.06464646465</v>
      </c>
      <c r="K18" s="178"/>
      <c r="L18" s="179"/>
      <c r="M18" s="154"/>
      <c r="N18" s="155"/>
      <c r="O18" s="155"/>
      <c r="P18" s="180">
        <f>+P17/MIN($J$14,$P$14,$V$14)</f>
        <v>0</v>
      </c>
      <c r="Q18" s="181"/>
      <c r="R18" s="179"/>
      <c r="S18" s="154"/>
      <c r="T18" s="155"/>
      <c r="U18" s="155"/>
      <c r="V18" s="182">
        <f>+V17/MIN($J$14,$V$14)</f>
        <v>0.2363636364</v>
      </c>
      <c r="W18" s="183"/>
      <c r="X18" s="14"/>
      <c r="Y18" s="154"/>
      <c r="Z18" s="155"/>
      <c r="AA18" s="155"/>
      <c r="AB18" s="184">
        <f>+AB17/MIN($J$14,$P$14,$V$14)</f>
        <v>-1</v>
      </c>
      <c r="AC18" s="185"/>
      <c r="AD18" s="14"/>
      <c r="AE18" s="154"/>
      <c r="AF18" s="155"/>
      <c r="AG18" s="155"/>
      <c r="AH18" s="186">
        <f>+AH17/MIN($J$14,$P$14,$V$14)</f>
        <v>-1</v>
      </c>
      <c r="AI18" s="14"/>
    </row>
    <row r="19" ht="7.5" customHeight="1">
      <c r="A19" s="187"/>
      <c r="B19" s="187"/>
      <c r="C19" s="187"/>
      <c r="D19" s="187"/>
      <c r="E19" s="157"/>
      <c r="F19" s="188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4"/>
      <c r="Y19" s="189"/>
      <c r="Z19" s="189"/>
      <c r="AA19" s="189"/>
      <c r="AB19" s="189"/>
      <c r="AC19" s="189"/>
      <c r="AD19" s="14"/>
      <c r="AE19" s="189"/>
      <c r="AF19" s="189"/>
      <c r="AG19" s="189"/>
      <c r="AH19" s="189"/>
      <c r="AI19" s="14"/>
    </row>
    <row r="20" ht="9.0" customHeight="1">
      <c r="A20" s="190"/>
      <c r="B20" s="191"/>
      <c r="C20" s="191"/>
      <c r="D20" s="191"/>
      <c r="E20" s="191"/>
      <c r="F20" s="192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11"/>
      <c r="Y20" s="193"/>
      <c r="Z20" s="193"/>
      <c r="AA20" s="193"/>
      <c r="AB20" s="193"/>
      <c r="AC20" s="193"/>
      <c r="AD20" s="111"/>
      <c r="AE20" s="193"/>
      <c r="AF20" s="193"/>
      <c r="AG20" s="193"/>
      <c r="AH20" s="193"/>
      <c r="AI20" s="111"/>
    </row>
    <row r="21" ht="15.0" customHeight="1">
      <c r="A21" s="194"/>
      <c r="B21" s="191"/>
      <c r="C21" s="191"/>
      <c r="D21" s="191"/>
      <c r="E21" s="191"/>
      <c r="F21" s="195"/>
      <c r="G21" s="196" t="s">
        <v>33</v>
      </c>
      <c r="H21" s="197" t="s">
        <v>35</v>
      </c>
      <c r="I21" s="143"/>
      <c r="J21" s="144"/>
      <c r="K21" s="198"/>
      <c r="L21" s="198"/>
      <c r="M21" s="196" t="s">
        <v>33</v>
      </c>
      <c r="N21" s="197" t="s">
        <v>35</v>
      </c>
      <c r="O21" s="143"/>
      <c r="P21" s="144"/>
      <c r="Q21" s="198"/>
      <c r="R21" s="198"/>
      <c r="S21" s="196" t="s">
        <v>33</v>
      </c>
      <c r="T21" s="197" t="s">
        <v>35</v>
      </c>
      <c r="U21" s="143"/>
      <c r="V21" s="144"/>
      <c r="W21" s="198"/>
      <c r="X21" s="111"/>
      <c r="Y21" s="196" t="s">
        <v>33</v>
      </c>
      <c r="Z21" s="197" t="s">
        <v>35</v>
      </c>
      <c r="AA21" s="143"/>
      <c r="AB21" s="144"/>
      <c r="AC21" s="198"/>
      <c r="AD21" s="111"/>
      <c r="AE21" s="196" t="s">
        <v>33</v>
      </c>
      <c r="AF21" s="197" t="s">
        <v>35</v>
      </c>
      <c r="AG21" s="143"/>
      <c r="AH21" s="144"/>
      <c r="AI21" s="111"/>
    </row>
    <row r="22" ht="15.0" customHeight="1">
      <c r="A22" s="199"/>
      <c r="B22" s="191"/>
      <c r="C22" s="191"/>
      <c r="D22" s="191"/>
      <c r="E22" s="191"/>
      <c r="F22" s="195"/>
      <c r="G22" s="200"/>
      <c r="H22" s="201"/>
      <c r="I22" s="201"/>
      <c r="J22" s="202"/>
      <c r="K22" s="201"/>
      <c r="L22" s="201"/>
      <c r="M22" s="200"/>
      <c r="N22" s="201"/>
      <c r="O22" s="201"/>
      <c r="P22" s="202"/>
      <c r="Q22" s="201"/>
      <c r="R22" s="201"/>
      <c r="S22" s="200"/>
      <c r="T22" s="201"/>
      <c r="U22" s="201"/>
      <c r="V22" s="202"/>
      <c r="W22" s="201"/>
      <c r="X22" s="111"/>
      <c r="Y22" s="200"/>
      <c r="Z22" s="201"/>
      <c r="AA22" s="201"/>
      <c r="AB22" s="202"/>
      <c r="AC22" s="201"/>
      <c r="AD22" s="111"/>
      <c r="AE22" s="200"/>
      <c r="AF22" s="201"/>
      <c r="AG22" s="201"/>
      <c r="AH22" s="202"/>
      <c r="AI22" s="111"/>
    </row>
    <row r="23" ht="15.0" customHeight="1">
      <c r="A23" s="199"/>
      <c r="B23" s="191"/>
      <c r="C23" s="191"/>
      <c r="D23" s="191"/>
      <c r="E23" s="191"/>
      <c r="F23" s="195"/>
      <c r="G23" s="200" t="s">
        <v>36</v>
      </c>
      <c r="H23" s="203"/>
      <c r="I23" s="203"/>
      <c r="J23" s="204"/>
      <c r="K23" s="203"/>
      <c r="L23" s="205"/>
      <c r="M23" s="206" t="s">
        <v>36</v>
      </c>
      <c r="N23" s="207"/>
      <c r="O23" s="207"/>
      <c r="P23" s="208"/>
      <c r="Q23" s="207"/>
      <c r="R23" s="205"/>
      <c r="S23" s="206" t="s">
        <v>36</v>
      </c>
      <c r="T23" s="205"/>
      <c r="V23" s="19"/>
      <c r="W23" s="205"/>
      <c r="X23" s="111"/>
      <c r="Y23" s="206" t="s">
        <v>36</v>
      </c>
      <c r="Z23" s="205"/>
      <c r="AB23" s="19"/>
      <c r="AC23" s="205"/>
      <c r="AD23" s="111"/>
      <c r="AE23" s="206" t="s">
        <v>36</v>
      </c>
      <c r="AF23" s="205"/>
      <c r="AH23" s="19"/>
      <c r="AI23" s="111"/>
    </row>
    <row r="24" ht="15.0" customHeight="1">
      <c r="A24" s="199"/>
      <c r="B24" s="191"/>
      <c r="C24" s="191"/>
      <c r="D24" s="191"/>
      <c r="E24" s="191"/>
      <c r="F24" s="195"/>
      <c r="G24" s="200"/>
      <c r="H24" s="201"/>
      <c r="I24" s="201"/>
      <c r="J24" s="202"/>
      <c r="K24" s="201"/>
      <c r="L24" s="201"/>
      <c r="M24" s="200"/>
      <c r="N24" s="201"/>
      <c r="O24" s="201"/>
      <c r="P24" s="202"/>
      <c r="Q24" s="201"/>
      <c r="R24" s="201"/>
      <c r="S24" s="200"/>
      <c r="T24" s="201"/>
      <c r="U24" s="201"/>
      <c r="V24" s="202"/>
      <c r="W24" s="201"/>
      <c r="X24" s="111"/>
      <c r="Y24" s="200"/>
      <c r="Z24" s="201"/>
      <c r="AA24" s="201"/>
      <c r="AB24" s="202"/>
      <c r="AC24" s="201"/>
      <c r="AD24" s="111"/>
      <c r="AE24" s="200"/>
      <c r="AF24" s="201"/>
      <c r="AG24" s="201"/>
      <c r="AH24" s="202"/>
      <c r="AI24" s="111"/>
    </row>
    <row r="25" ht="15.0" customHeight="1">
      <c r="A25" s="199"/>
      <c r="B25" s="191"/>
      <c r="C25" s="209" t="s">
        <v>37</v>
      </c>
      <c r="D25" s="191"/>
      <c r="E25" s="191"/>
      <c r="F25" s="195"/>
      <c r="G25" s="206" t="s">
        <v>38</v>
      </c>
      <c r="H25" s="198"/>
      <c r="J25" s="19"/>
      <c r="K25" s="198"/>
      <c r="L25" s="198"/>
      <c r="M25" s="206" t="s">
        <v>38</v>
      </c>
      <c r="N25" s="198"/>
      <c r="P25" s="19"/>
      <c r="Q25" s="198"/>
      <c r="R25" s="198"/>
      <c r="S25" s="206" t="s">
        <v>38</v>
      </c>
      <c r="T25" s="198"/>
      <c r="V25" s="19"/>
      <c r="W25" s="198"/>
      <c r="X25" s="111"/>
      <c r="Y25" s="206" t="s">
        <v>38</v>
      </c>
      <c r="Z25" s="198"/>
      <c r="AB25" s="19"/>
      <c r="AC25" s="198"/>
      <c r="AD25" s="111"/>
      <c r="AE25" s="206" t="s">
        <v>38</v>
      </c>
      <c r="AF25" s="198"/>
      <c r="AH25" s="19"/>
      <c r="AI25" s="111"/>
    </row>
    <row r="26" ht="15.0" customHeight="1">
      <c r="A26" s="199"/>
      <c r="B26" s="191"/>
      <c r="C26" s="191" t="s">
        <v>39</v>
      </c>
      <c r="D26" s="191"/>
      <c r="E26" s="191"/>
      <c r="F26" s="195"/>
      <c r="G26" s="200"/>
      <c r="H26" s="203"/>
      <c r="I26" s="203"/>
      <c r="J26" s="204"/>
      <c r="K26" s="203"/>
      <c r="L26" s="203"/>
      <c r="M26" s="200"/>
      <c r="N26" s="203"/>
      <c r="O26" s="203"/>
      <c r="P26" s="204"/>
      <c r="Q26" s="203"/>
      <c r="R26" s="203"/>
      <c r="S26" s="200"/>
      <c r="T26" s="203"/>
      <c r="U26" s="203"/>
      <c r="V26" s="204"/>
      <c r="W26" s="203"/>
      <c r="X26" s="111"/>
      <c r="Y26" s="200"/>
      <c r="Z26" s="203"/>
      <c r="AA26" s="203"/>
      <c r="AB26" s="204"/>
      <c r="AC26" s="203"/>
      <c r="AD26" s="111"/>
      <c r="AE26" s="200"/>
      <c r="AF26" s="203"/>
      <c r="AG26" s="203"/>
      <c r="AH26" s="204"/>
      <c r="AI26" s="111"/>
    </row>
    <row r="27" ht="15.0" customHeight="1">
      <c r="A27" s="199"/>
      <c r="B27" s="191"/>
      <c r="C27" s="191" t="s">
        <v>40</v>
      </c>
      <c r="D27" s="191"/>
      <c r="E27" s="191"/>
      <c r="F27" s="195"/>
      <c r="G27" s="206" t="s">
        <v>41</v>
      </c>
      <c r="I27" s="198"/>
      <c r="J27" s="19"/>
      <c r="K27" s="198"/>
      <c r="L27" s="198"/>
      <c r="M27" s="200" t="s">
        <v>41</v>
      </c>
      <c r="N27" s="203"/>
      <c r="O27" s="203"/>
      <c r="P27" s="204"/>
      <c r="Q27" s="203"/>
      <c r="R27" s="198"/>
      <c r="S27" s="206" t="s">
        <v>41</v>
      </c>
      <c r="U27" s="198"/>
      <c r="V27" s="19"/>
      <c r="W27" s="198"/>
      <c r="X27" s="111"/>
      <c r="Y27" s="206" t="s">
        <v>41</v>
      </c>
      <c r="AA27" s="198"/>
      <c r="AB27" s="19"/>
      <c r="AC27" s="198"/>
      <c r="AD27" s="111"/>
      <c r="AE27" s="206" t="s">
        <v>41</v>
      </c>
      <c r="AG27" s="198"/>
      <c r="AH27" s="19"/>
      <c r="AI27" s="111"/>
    </row>
    <row r="28" ht="15.0" customHeight="1">
      <c r="A28" s="199"/>
      <c r="B28" s="191"/>
      <c r="C28" s="191" t="s">
        <v>42</v>
      </c>
      <c r="D28" s="191"/>
      <c r="E28" s="191"/>
      <c r="F28" s="195"/>
      <c r="G28" s="206"/>
      <c r="H28" s="210"/>
      <c r="I28" s="198"/>
      <c r="J28" s="211"/>
      <c r="K28" s="198"/>
      <c r="L28" s="198"/>
      <c r="M28" s="206"/>
      <c r="N28" s="210"/>
      <c r="O28" s="198"/>
      <c r="P28" s="211"/>
      <c r="Q28" s="198"/>
      <c r="R28" s="198"/>
      <c r="S28" s="206"/>
      <c r="T28" s="210"/>
      <c r="U28" s="198"/>
      <c r="V28" s="211"/>
      <c r="W28" s="198"/>
      <c r="X28" s="111"/>
      <c r="Y28" s="206"/>
      <c r="Z28" s="210"/>
      <c r="AA28" s="198"/>
      <c r="AB28" s="211"/>
      <c r="AC28" s="198"/>
      <c r="AD28" s="111"/>
      <c r="AE28" s="206"/>
      <c r="AF28" s="210"/>
      <c r="AG28" s="198"/>
      <c r="AH28" s="211"/>
      <c r="AI28" s="111"/>
    </row>
    <row r="29" ht="15.0" customHeight="1">
      <c r="A29" s="199"/>
      <c r="B29" s="191"/>
      <c r="C29" s="191" t="s">
        <v>43</v>
      </c>
      <c r="D29" s="191"/>
      <c r="E29" s="191"/>
      <c r="F29" s="195"/>
      <c r="G29" s="206" t="s">
        <v>44</v>
      </c>
      <c r="H29" s="203"/>
      <c r="I29" s="203"/>
      <c r="J29" s="204"/>
      <c r="K29" s="203"/>
      <c r="L29" s="212"/>
      <c r="M29" s="200" t="s">
        <v>44</v>
      </c>
      <c r="N29" s="203"/>
      <c r="O29" s="203"/>
      <c r="P29" s="204"/>
      <c r="Q29" s="203"/>
      <c r="R29" s="212"/>
      <c r="S29" s="206" t="s">
        <v>44</v>
      </c>
      <c r="T29" s="212"/>
      <c r="V29" s="19"/>
      <c r="W29" s="212"/>
      <c r="X29" s="111"/>
      <c r="Y29" s="206" t="s">
        <v>44</v>
      </c>
      <c r="Z29" s="212"/>
      <c r="AB29" s="19"/>
      <c r="AC29" s="212"/>
      <c r="AD29" s="111"/>
      <c r="AE29" s="206" t="s">
        <v>44</v>
      </c>
      <c r="AF29" s="212"/>
      <c r="AH29" s="19"/>
      <c r="AI29" s="111"/>
    </row>
    <row r="30" ht="15.0" customHeight="1">
      <c r="A30" s="199"/>
      <c r="B30" s="191"/>
      <c r="C30" s="191" t="s">
        <v>45</v>
      </c>
      <c r="D30" s="191"/>
      <c r="E30" s="191"/>
      <c r="F30" s="195"/>
      <c r="G30" s="213"/>
      <c r="J30" s="19"/>
      <c r="K30" s="212"/>
      <c r="L30" s="212"/>
      <c r="M30" s="217"/>
      <c r="P30" s="19"/>
      <c r="Q30" s="215"/>
      <c r="R30" s="212"/>
      <c r="S30" s="217"/>
      <c r="V30" s="19"/>
      <c r="W30" s="215"/>
      <c r="X30" s="111"/>
      <c r="Y30" s="217" t="s">
        <v>49</v>
      </c>
      <c r="AB30" s="19"/>
      <c r="AC30" s="215"/>
      <c r="AD30" s="111"/>
      <c r="AE30" s="218" t="s">
        <v>50</v>
      </c>
      <c r="AH30" s="19"/>
      <c r="AI30" s="111"/>
    </row>
    <row r="31" ht="15.0" customHeight="1">
      <c r="A31" s="199"/>
      <c r="B31" s="191"/>
      <c r="C31" s="191" t="s">
        <v>51</v>
      </c>
      <c r="D31" s="191"/>
      <c r="E31" s="191"/>
      <c r="F31" s="195"/>
      <c r="G31" s="219"/>
      <c r="J31" s="19"/>
      <c r="K31" s="212"/>
      <c r="L31" s="212"/>
      <c r="M31" s="217"/>
      <c r="P31" s="19"/>
      <c r="Q31" s="215"/>
      <c r="R31" s="212"/>
      <c r="S31" s="220"/>
      <c r="V31" s="19"/>
      <c r="W31" s="212"/>
      <c r="X31" s="111"/>
      <c r="Y31" s="220"/>
      <c r="AB31" s="19"/>
      <c r="AC31" s="212"/>
      <c r="AD31" s="111"/>
      <c r="AE31" s="220"/>
      <c r="AH31" s="19"/>
      <c r="AI31" s="111"/>
    </row>
    <row r="32" ht="15.0" customHeight="1">
      <c r="A32" s="199"/>
      <c r="B32" s="191"/>
      <c r="C32" s="191"/>
      <c r="D32" s="191"/>
      <c r="E32" s="191"/>
      <c r="F32" s="195"/>
      <c r="G32" s="219"/>
      <c r="J32" s="19"/>
      <c r="K32" s="212"/>
      <c r="L32" s="212"/>
      <c r="M32" s="217"/>
      <c r="P32" s="19"/>
      <c r="Q32" s="215"/>
      <c r="R32" s="212"/>
      <c r="S32" s="220"/>
      <c r="V32" s="19"/>
      <c r="W32" s="212"/>
      <c r="X32" s="111"/>
      <c r="Y32" s="220"/>
      <c r="AB32" s="19"/>
      <c r="AC32" s="212"/>
      <c r="AD32" s="111"/>
      <c r="AE32" s="220"/>
      <c r="AH32" s="19"/>
      <c r="AI32" s="111"/>
    </row>
    <row r="33" ht="15.0" customHeight="1">
      <c r="A33" s="199"/>
      <c r="B33" s="191"/>
      <c r="C33" s="191"/>
      <c r="D33" s="191"/>
      <c r="E33" s="191"/>
      <c r="F33" s="195"/>
      <c r="G33" s="206" t="s">
        <v>52</v>
      </c>
      <c r="H33" s="201"/>
      <c r="I33" s="201"/>
      <c r="J33" s="202"/>
      <c r="K33" s="201"/>
      <c r="L33" s="198"/>
      <c r="M33" s="200" t="s">
        <v>52</v>
      </c>
      <c r="N33" s="203"/>
      <c r="O33" s="203"/>
      <c r="P33" s="204"/>
      <c r="Q33" s="203"/>
      <c r="R33" s="198"/>
      <c r="S33" s="206" t="s">
        <v>52</v>
      </c>
      <c r="T33" s="201"/>
      <c r="U33" s="201"/>
      <c r="V33" s="202"/>
      <c r="W33" s="201"/>
      <c r="X33" s="111"/>
      <c r="Y33" s="206" t="s">
        <v>52</v>
      </c>
      <c r="Z33" s="198" t="s">
        <v>53</v>
      </c>
      <c r="AB33" s="19"/>
      <c r="AC33" s="198"/>
      <c r="AD33" s="111"/>
      <c r="AE33" s="206" t="s">
        <v>52</v>
      </c>
      <c r="AF33" s="198" t="s">
        <v>53</v>
      </c>
      <c r="AH33" s="19"/>
      <c r="AI33" s="111"/>
    </row>
    <row r="34" ht="15.0" customHeight="1">
      <c r="A34" s="221"/>
      <c r="B34" s="191"/>
      <c r="C34" s="191"/>
      <c r="D34" s="191"/>
      <c r="E34" s="191"/>
      <c r="F34" s="195"/>
      <c r="G34" s="222"/>
      <c r="H34" s="155"/>
      <c r="I34" s="155"/>
      <c r="J34" s="156"/>
      <c r="K34" s="223"/>
      <c r="L34" s="223"/>
      <c r="M34" s="222"/>
      <c r="N34" s="155"/>
      <c r="O34" s="155"/>
      <c r="P34" s="156"/>
      <c r="Q34" s="223"/>
      <c r="R34" s="223"/>
      <c r="S34" s="222"/>
      <c r="T34" s="155"/>
      <c r="U34" s="155"/>
      <c r="V34" s="156"/>
      <c r="W34" s="223"/>
      <c r="X34" s="111"/>
      <c r="Y34" s="222"/>
      <c r="Z34" s="155"/>
      <c r="AA34" s="155"/>
      <c r="AB34" s="156"/>
      <c r="AC34" s="223"/>
      <c r="AD34" s="111"/>
      <c r="AE34" s="222"/>
      <c r="AF34" s="155"/>
      <c r="AG34" s="155"/>
      <c r="AH34" s="156"/>
      <c r="AI34" s="111"/>
    </row>
    <row r="35" ht="15.75" customHeight="1">
      <c r="A35" s="194"/>
      <c r="B35" s="191"/>
      <c r="C35" s="111"/>
      <c r="D35" s="111"/>
      <c r="E35" s="111"/>
      <c r="F35" s="195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</row>
    <row r="36" ht="15.75" customHeight="1">
      <c r="A36" s="199"/>
      <c r="B36" s="191"/>
      <c r="C36" s="111"/>
      <c r="D36" s="111"/>
      <c r="E36" s="111"/>
      <c r="F36" s="195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</row>
    <row r="37" ht="15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</row>
    <row r="38" ht="15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</row>
    <row r="39" ht="15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</row>
    <row r="40" ht="15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</row>
  </sheetData>
  <mergeCells count="106">
    <mergeCell ref="M1:P1"/>
    <mergeCell ref="M2:P2"/>
    <mergeCell ref="M4:N4"/>
    <mergeCell ref="O4:P4"/>
    <mergeCell ref="Y1:AB1"/>
    <mergeCell ref="Y2:AB2"/>
    <mergeCell ref="Y4:Z4"/>
    <mergeCell ref="AA4:AB4"/>
    <mergeCell ref="AA5:AA6"/>
    <mergeCell ref="AB5:AB6"/>
    <mergeCell ref="S2:V2"/>
    <mergeCell ref="S3:V3"/>
    <mergeCell ref="S4:T4"/>
    <mergeCell ref="U4:V4"/>
    <mergeCell ref="AE2:AH2"/>
    <mergeCell ref="AE3:AH3"/>
    <mergeCell ref="AE4:AF4"/>
    <mergeCell ref="AG4:AH4"/>
    <mergeCell ref="AE5:AE6"/>
    <mergeCell ref="AG5:AG6"/>
    <mergeCell ref="AH5:AH6"/>
    <mergeCell ref="B1:D3"/>
    <mergeCell ref="E1:E3"/>
    <mergeCell ref="G1:J1"/>
    <mergeCell ref="S1:V1"/>
    <mergeCell ref="AE1:AH1"/>
    <mergeCell ref="M3:P3"/>
    <mergeCell ref="Y3:AB3"/>
    <mergeCell ref="G4:H4"/>
    <mergeCell ref="G5:G6"/>
    <mergeCell ref="G2:J2"/>
    <mergeCell ref="G3:J3"/>
    <mergeCell ref="B4:B6"/>
    <mergeCell ref="C4:C6"/>
    <mergeCell ref="D4:E4"/>
    <mergeCell ref="I4:J4"/>
    <mergeCell ref="D5:E5"/>
    <mergeCell ref="AE27:AF27"/>
    <mergeCell ref="AG27:AH27"/>
    <mergeCell ref="T25:V25"/>
    <mergeCell ref="Z25:AB25"/>
    <mergeCell ref="AF25:AH25"/>
    <mergeCell ref="S27:T27"/>
    <mergeCell ref="U27:V27"/>
    <mergeCell ref="Y27:Z27"/>
    <mergeCell ref="AA27:AB27"/>
    <mergeCell ref="M30:P30"/>
    <mergeCell ref="M31:P31"/>
    <mergeCell ref="G34:J34"/>
    <mergeCell ref="M34:P34"/>
    <mergeCell ref="Y30:AB30"/>
    <mergeCell ref="Y31:AB31"/>
    <mergeCell ref="Z33:AB33"/>
    <mergeCell ref="Y34:AB34"/>
    <mergeCell ref="S31:V31"/>
    <mergeCell ref="M32:P32"/>
    <mergeCell ref="S32:V32"/>
    <mergeCell ref="S34:V34"/>
    <mergeCell ref="AE31:AH31"/>
    <mergeCell ref="AE32:AH32"/>
    <mergeCell ref="AF33:AH33"/>
    <mergeCell ref="AE34:AH34"/>
    <mergeCell ref="T29:V29"/>
    <mergeCell ref="Z29:AB29"/>
    <mergeCell ref="AF29:AH29"/>
    <mergeCell ref="G30:J32"/>
    <mergeCell ref="S30:V30"/>
    <mergeCell ref="AE30:AH30"/>
    <mergeCell ref="Y32:AB32"/>
    <mergeCell ref="V5:V6"/>
    <mergeCell ref="Y5:Y6"/>
    <mergeCell ref="I5:I6"/>
    <mergeCell ref="J5:J6"/>
    <mergeCell ref="M5:M6"/>
    <mergeCell ref="O5:O6"/>
    <mergeCell ref="P5:P6"/>
    <mergeCell ref="S5:S6"/>
    <mergeCell ref="U5:U6"/>
    <mergeCell ref="Y14:AA15"/>
    <mergeCell ref="AB14:AB15"/>
    <mergeCell ref="AE14:AG15"/>
    <mergeCell ref="AH14:AH15"/>
    <mergeCell ref="M14:O15"/>
    <mergeCell ref="M17:O18"/>
    <mergeCell ref="H21:J21"/>
    <mergeCell ref="N21:P21"/>
    <mergeCell ref="H25:J25"/>
    <mergeCell ref="N25:P25"/>
    <mergeCell ref="G27:H27"/>
    <mergeCell ref="I27:J27"/>
    <mergeCell ref="C14:E15"/>
    <mergeCell ref="G14:I15"/>
    <mergeCell ref="J14:J15"/>
    <mergeCell ref="P14:P15"/>
    <mergeCell ref="S14:U15"/>
    <mergeCell ref="V14:V15"/>
    <mergeCell ref="G17:I18"/>
    <mergeCell ref="Z23:AB23"/>
    <mergeCell ref="AF23:AH23"/>
    <mergeCell ref="S17:U18"/>
    <mergeCell ref="Y17:AA18"/>
    <mergeCell ref="AE17:AG18"/>
    <mergeCell ref="T21:V21"/>
    <mergeCell ref="Z21:AB21"/>
    <mergeCell ref="AF21:AH21"/>
    <mergeCell ref="T23:V23"/>
  </mergeCells>
  <printOptions horizontalCentered="1" verticalCentered="1"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2013-11-13T14:37:59Z</dcterms:created>
  <dc:creator>Fabio Angel Galan Pulido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0x010100CEA53D38D6F2F34CA3A81450F48BD0BA</vt:lpwstr>
  </property>
  <property fmtid="{D5CDD505-2E9C-101B-9397-08002B2CF9AE}" pid="3" name="MediaServiceImageTags">
    <vt:lpwstr/>
  </property>
  <property fmtid="{D5CDD505-2E9C-101B-9397-08002B2CF9AE}" pid="4" name="Order">
    <vt:r8>3.25826E7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