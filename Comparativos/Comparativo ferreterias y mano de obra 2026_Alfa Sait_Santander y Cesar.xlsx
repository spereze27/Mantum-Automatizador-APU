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ocuments\2026\"/>
    </mc:Choice>
  </mc:AlternateContent>
  <xr:revisionPtr revIDLastSave="0" documentId="13_ncr:1_{B75EDB3B-1D11-4926-821D-70BD16A8A328}" xr6:coauthVersionLast="47" xr6:coauthVersionMax="47" xr10:uidLastSave="{00000000-0000-0000-0000-000000000000}"/>
  <bookViews>
    <workbookView xWindow="-108" yWindow="-108" windowWidth="23256" windowHeight="12456" tabRatio="599" activeTab="3" xr2:uid="{F68EC909-7C98-4B79-97BF-F6EE28C186F7}"/>
  </bookViews>
  <sheets>
    <sheet name="MATERIALES VARIOS" sheetId="1" r:id="rId1"/>
    <sheet name="MATERIAL ELÉCTRICO" sheetId="2" r:id="rId2"/>
    <sheet name="MATERIAL PLOMERÍA" sheetId="3" r:id="rId3"/>
    <sheet name="mdo" sheetId="7" r:id="rId4"/>
    <sheet name="MdeO" sheetId="6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0" i="1" l="1"/>
  <c r="E71" i="1" s="1"/>
  <c r="E72" i="1" s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G70" i="1" l="1"/>
  <c r="G71" i="1" s="1"/>
  <c r="G72" i="1" s="1"/>
  <c r="I70" i="1"/>
  <c r="I71" i="1" s="1"/>
  <c r="I72" i="1" s="1"/>
  <c r="I65" i="7" l="1"/>
  <c r="I66" i="7" s="1"/>
  <c r="I67" i="7" s="1"/>
  <c r="J65" i="7"/>
  <c r="J66" i="7" s="1"/>
  <c r="H65" i="7"/>
  <c r="H66" i="7" s="1"/>
  <c r="G65" i="7"/>
  <c r="G66" i="7" s="1"/>
  <c r="F65" i="7"/>
  <c r="F66" i="7" s="1"/>
  <c r="E65" i="7"/>
  <c r="N19" i="1"/>
  <c r="N27" i="1"/>
  <c r="N26" i="1"/>
  <c r="N25" i="1"/>
  <c r="N24" i="1"/>
  <c r="N23" i="1"/>
  <c r="N22" i="1"/>
  <c r="N21" i="1"/>
  <c r="N20" i="1"/>
  <c r="N18" i="1"/>
  <c r="N17" i="1"/>
  <c r="N16" i="1"/>
  <c r="N15" i="1"/>
  <c r="N14" i="1"/>
  <c r="N13" i="1"/>
  <c r="N12" i="1"/>
  <c r="N11" i="1"/>
  <c r="N10" i="1"/>
  <c r="N9" i="1"/>
  <c r="N7" i="1"/>
  <c r="N46" i="1"/>
  <c r="N45" i="1"/>
  <c r="N44" i="1"/>
  <c r="N43" i="1"/>
  <c r="N42" i="1"/>
  <c r="N39" i="1"/>
  <c r="N6" i="1"/>
  <c r="N38" i="1"/>
  <c r="N30" i="1"/>
  <c r="N28" i="1"/>
  <c r="N65" i="1"/>
  <c r="N64" i="1"/>
  <c r="N63" i="1"/>
  <c r="N59" i="1"/>
  <c r="N32" i="2"/>
  <c r="N31" i="2"/>
  <c r="N28" i="2"/>
  <c r="N27" i="2"/>
  <c r="N26" i="2"/>
  <c r="N25" i="2"/>
  <c r="N24" i="2"/>
  <c r="N22" i="2"/>
  <c r="N20" i="2"/>
  <c r="N19" i="2"/>
  <c r="N18" i="2"/>
  <c r="N17" i="2"/>
  <c r="N16" i="2"/>
  <c r="N15" i="2"/>
  <c r="N14" i="2"/>
  <c r="N13" i="2"/>
  <c r="N12" i="2"/>
  <c r="N5" i="2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F67" i="7" l="1"/>
  <c r="J67" i="7"/>
  <c r="G67" i="7"/>
  <c r="H67" i="7"/>
  <c r="E66" i="7"/>
  <c r="E67" i="7" s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6" i="1"/>
  <c r="M5" i="3" l="1"/>
  <c r="O5" i="3"/>
  <c r="Q5" i="3"/>
  <c r="K64" i="6" l="1"/>
  <c r="K65" i="6" s="1"/>
  <c r="L64" i="6"/>
  <c r="L65" i="6" s="1"/>
  <c r="E64" i="6"/>
  <c r="E65" i="6" s="1"/>
  <c r="E66" i="6" s="1"/>
  <c r="J64" i="6"/>
  <c r="J65" i="6" s="1"/>
  <c r="J66" i="6" s="1"/>
  <c r="I64" i="6"/>
  <c r="I65" i="6" s="1"/>
  <c r="I66" i="6" s="1"/>
  <c r="H64" i="6"/>
  <c r="G64" i="6"/>
  <c r="F64" i="6"/>
  <c r="F65" i="6" s="1"/>
  <c r="F66" i="6" s="1"/>
  <c r="E6" i="3"/>
  <c r="G6" i="3"/>
  <c r="I6" i="3"/>
  <c r="K6" i="3"/>
  <c r="M6" i="3"/>
  <c r="O6" i="3"/>
  <c r="Q6" i="3"/>
  <c r="E7" i="3"/>
  <c r="G7" i="3"/>
  <c r="I7" i="3"/>
  <c r="K7" i="3"/>
  <c r="M7" i="3"/>
  <c r="O7" i="3"/>
  <c r="Q7" i="3"/>
  <c r="E8" i="3"/>
  <c r="G8" i="3"/>
  <c r="I8" i="3"/>
  <c r="K8" i="3"/>
  <c r="M8" i="3"/>
  <c r="O8" i="3"/>
  <c r="Q8" i="3"/>
  <c r="E9" i="3"/>
  <c r="G9" i="3"/>
  <c r="I9" i="3"/>
  <c r="K9" i="3"/>
  <c r="M9" i="3"/>
  <c r="O9" i="3"/>
  <c r="Q9" i="3"/>
  <c r="E10" i="3"/>
  <c r="G10" i="3"/>
  <c r="I10" i="3"/>
  <c r="K10" i="3"/>
  <c r="M10" i="3"/>
  <c r="O10" i="3"/>
  <c r="Q10" i="3"/>
  <c r="E11" i="3"/>
  <c r="G11" i="3"/>
  <c r="I11" i="3"/>
  <c r="K11" i="3"/>
  <c r="M11" i="3"/>
  <c r="O11" i="3"/>
  <c r="Q11" i="3"/>
  <c r="E12" i="3"/>
  <c r="G12" i="3"/>
  <c r="I12" i="3"/>
  <c r="K12" i="3"/>
  <c r="M12" i="3"/>
  <c r="O12" i="3"/>
  <c r="Q12" i="3"/>
  <c r="E13" i="3"/>
  <c r="G13" i="3"/>
  <c r="I13" i="3"/>
  <c r="K13" i="3"/>
  <c r="M13" i="3"/>
  <c r="O13" i="3"/>
  <c r="Q13" i="3"/>
  <c r="E14" i="3"/>
  <c r="G14" i="3"/>
  <c r="I14" i="3"/>
  <c r="K14" i="3"/>
  <c r="M14" i="3"/>
  <c r="O14" i="3"/>
  <c r="Q14" i="3"/>
  <c r="E15" i="3"/>
  <c r="G15" i="3"/>
  <c r="I15" i="3"/>
  <c r="K15" i="3"/>
  <c r="M15" i="3"/>
  <c r="O15" i="3"/>
  <c r="Q15" i="3"/>
  <c r="E16" i="3"/>
  <c r="G16" i="3"/>
  <c r="I16" i="3"/>
  <c r="K16" i="3"/>
  <c r="M16" i="3"/>
  <c r="O16" i="3"/>
  <c r="Q16" i="3"/>
  <c r="E17" i="3"/>
  <c r="G17" i="3"/>
  <c r="I17" i="3"/>
  <c r="K17" i="3"/>
  <c r="M17" i="3"/>
  <c r="O17" i="3"/>
  <c r="Q17" i="3"/>
  <c r="E18" i="3"/>
  <c r="G18" i="3"/>
  <c r="I18" i="3"/>
  <c r="K18" i="3"/>
  <c r="M18" i="3"/>
  <c r="O18" i="3"/>
  <c r="Q18" i="3"/>
  <c r="E19" i="3"/>
  <c r="G19" i="3"/>
  <c r="I19" i="3"/>
  <c r="K19" i="3"/>
  <c r="M19" i="3"/>
  <c r="O19" i="3"/>
  <c r="Q19" i="3"/>
  <c r="E20" i="3"/>
  <c r="G20" i="3"/>
  <c r="I20" i="3"/>
  <c r="K20" i="3"/>
  <c r="M20" i="3"/>
  <c r="O20" i="3"/>
  <c r="Q20" i="3"/>
  <c r="E21" i="3"/>
  <c r="G21" i="3"/>
  <c r="I21" i="3"/>
  <c r="K21" i="3"/>
  <c r="M21" i="3"/>
  <c r="O21" i="3"/>
  <c r="Q21" i="3"/>
  <c r="E22" i="3"/>
  <c r="G22" i="3"/>
  <c r="I22" i="3"/>
  <c r="K22" i="3"/>
  <c r="M22" i="3"/>
  <c r="O22" i="3"/>
  <c r="Q22" i="3"/>
  <c r="E23" i="3"/>
  <c r="G23" i="3"/>
  <c r="I23" i="3"/>
  <c r="K23" i="3"/>
  <c r="M23" i="3"/>
  <c r="O23" i="3"/>
  <c r="Q23" i="3"/>
  <c r="E24" i="3"/>
  <c r="G24" i="3"/>
  <c r="I24" i="3"/>
  <c r="K24" i="3"/>
  <c r="M24" i="3"/>
  <c r="O24" i="3"/>
  <c r="Q24" i="3"/>
  <c r="E25" i="3"/>
  <c r="G25" i="3"/>
  <c r="I25" i="3"/>
  <c r="K25" i="3"/>
  <c r="M25" i="3"/>
  <c r="O25" i="3"/>
  <c r="Q25" i="3"/>
  <c r="E26" i="3"/>
  <c r="G26" i="3"/>
  <c r="I26" i="3"/>
  <c r="K26" i="3"/>
  <c r="M26" i="3"/>
  <c r="O26" i="3"/>
  <c r="Q26" i="3"/>
  <c r="E27" i="3"/>
  <c r="G27" i="3"/>
  <c r="I27" i="3"/>
  <c r="K27" i="3"/>
  <c r="M27" i="3"/>
  <c r="O27" i="3"/>
  <c r="Q27" i="3"/>
  <c r="E28" i="3"/>
  <c r="G28" i="3"/>
  <c r="I28" i="3"/>
  <c r="K28" i="3"/>
  <c r="M28" i="3"/>
  <c r="O28" i="3"/>
  <c r="Q28" i="3"/>
  <c r="E29" i="3"/>
  <c r="G29" i="3"/>
  <c r="I29" i="3"/>
  <c r="K29" i="3"/>
  <c r="M29" i="3"/>
  <c r="O29" i="3"/>
  <c r="Q29" i="3"/>
  <c r="E30" i="3"/>
  <c r="G30" i="3"/>
  <c r="I30" i="3"/>
  <c r="K30" i="3"/>
  <c r="M30" i="3"/>
  <c r="O30" i="3"/>
  <c r="Q30" i="3"/>
  <c r="E31" i="3"/>
  <c r="G31" i="3"/>
  <c r="I31" i="3"/>
  <c r="K31" i="3"/>
  <c r="M31" i="3"/>
  <c r="O31" i="3"/>
  <c r="Q31" i="3"/>
  <c r="E32" i="3"/>
  <c r="G32" i="3"/>
  <c r="I32" i="3"/>
  <c r="K32" i="3"/>
  <c r="M32" i="3"/>
  <c r="O32" i="3"/>
  <c r="Q32" i="3"/>
  <c r="E33" i="3"/>
  <c r="G33" i="3"/>
  <c r="I33" i="3"/>
  <c r="K33" i="3"/>
  <c r="M33" i="3"/>
  <c r="O33" i="3"/>
  <c r="Q33" i="3"/>
  <c r="E34" i="3"/>
  <c r="G34" i="3"/>
  <c r="I34" i="3"/>
  <c r="K34" i="3"/>
  <c r="M34" i="3"/>
  <c r="O34" i="3"/>
  <c r="Q34" i="3"/>
  <c r="E35" i="3"/>
  <c r="G35" i="3"/>
  <c r="I35" i="3"/>
  <c r="K35" i="3"/>
  <c r="M35" i="3"/>
  <c r="O35" i="3"/>
  <c r="Q35" i="3"/>
  <c r="E36" i="3"/>
  <c r="G36" i="3"/>
  <c r="I36" i="3"/>
  <c r="K36" i="3"/>
  <c r="M36" i="3"/>
  <c r="O36" i="3"/>
  <c r="Q36" i="3"/>
  <c r="K5" i="3"/>
  <c r="I5" i="3"/>
  <c r="G5" i="3"/>
  <c r="E5" i="3"/>
  <c r="G6" i="2"/>
  <c r="I6" i="2"/>
  <c r="K6" i="2"/>
  <c r="M6" i="2"/>
  <c r="O6" i="2"/>
  <c r="Q6" i="2"/>
  <c r="S6" i="2"/>
  <c r="G7" i="2"/>
  <c r="I7" i="2"/>
  <c r="K7" i="2"/>
  <c r="M7" i="2"/>
  <c r="O7" i="2"/>
  <c r="Q7" i="2"/>
  <c r="S7" i="2"/>
  <c r="G8" i="2"/>
  <c r="I8" i="2"/>
  <c r="K8" i="2"/>
  <c r="M8" i="2"/>
  <c r="O8" i="2"/>
  <c r="Q8" i="2"/>
  <c r="S8" i="2"/>
  <c r="G9" i="2"/>
  <c r="I9" i="2"/>
  <c r="K9" i="2"/>
  <c r="M9" i="2"/>
  <c r="O9" i="2"/>
  <c r="Q9" i="2"/>
  <c r="S9" i="2"/>
  <c r="G10" i="2"/>
  <c r="I10" i="2"/>
  <c r="K10" i="2"/>
  <c r="M10" i="2"/>
  <c r="O10" i="2"/>
  <c r="Q10" i="2"/>
  <c r="S10" i="2"/>
  <c r="G11" i="2"/>
  <c r="I11" i="2"/>
  <c r="K11" i="2"/>
  <c r="M11" i="2"/>
  <c r="O11" i="2"/>
  <c r="Q11" i="2"/>
  <c r="S11" i="2"/>
  <c r="G12" i="2"/>
  <c r="I12" i="2"/>
  <c r="K12" i="2"/>
  <c r="M12" i="2"/>
  <c r="O12" i="2"/>
  <c r="Q12" i="2"/>
  <c r="S12" i="2"/>
  <c r="G13" i="2"/>
  <c r="I13" i="2"/>
  <c r="K13" i="2"/>
  <c r="M13" i="2"/>
  <c r="O13" i="2"/>
  <c r="Q13" i="2"/>
  <c r="S13" i="2"/>
  <c r="G14" i="2"/>
  <c r="I14" i="2"/>
  <c r="K14" i="2"/>
  <c r="M14" i="2"/>
  <c r="O14" i="2"/>
  <c r="Q14" i="2"/>
  <c r="S14" i="2"/>
  <c r="G15" i="2"/>
  <c r="I15" i="2"/>
  <c r="K15" i="2"/>
  <c r="M15" i="2"/>
  <c r="O15" i="2"/>
  <c r="Q15" i="2"/>
  <c r="S15" i="2"/>
  <c r="G16" i="2"/>
  <c r="I16" i="2"/>
  <c r="K16" i="2"/>
  <c r="M16" i="2"/>
  <c r="O16" i="2"/>
  <c r="Q16" i="2"/>
  <c r="S16" i="2"/>
  <c r="G17" i="2"/>
  <c r="I17" i="2"/>
  <c r="K17" i="2"/>
  <c r="M17" i="2"/>
  <c r="O17" i="2"/>
  <c r="Q17" i="2"/>
  <c r="S17" i="2"/>
  <c r="G18" i="2"/>
  <c r="I18" i="2"/>
  <c r="K18" i="2"/>
  <c r="M18" i="2"/>
  <c r="O18" i="2"/>
  <c r="Q18" i="2"/>
  <c r="S18" i="2"/>
  <c r="G19" i="2"/>
  <c r="I19" i="2"/>
  <c r="K19" i="2"/>
  <c r="M19" i="2"/>
  <c r="O19" i="2"/>
  <c r="Q19" i="2"/>
  <c r="S19" i="2"/>
  <c r="G20" i="2"/>
  <c r="I20" i="2"/>
  <c r="K20" i="2"/>
  <c r="M20" i="2"/>
  <c r="O20" i="2"/>
  <c r="Q20" i="2"/>
  <c r="S20" i="2"/>
  <c r="G21" i="2"/>
  <c r="I21" i="2"/>
  <c r="K21" i="2"/>
  <c r="M21" i="2"/>
  <c r="O21" i="2"/>
  <c r="Q21" i="2"/>
  <c r="S21" i="2"/>
  <c r="G22" i="2"/>
  <c r="I22" i="2"/>
  <c r="K22" i="2"/>
  <c r="M22" i="2"/>
  <c r="O22" i="2"/>
  <c r="Q22" i="2"/>
  <c r="S22" i="2"/>
  <c r="G23" i="2"/>
  <c r="I23" i="2"/>
  <c r="K23" i="2"/>
  <c r="M23" i="2"/>
  <c r="O23" i="2"/>
  <c r="Q23" i="2"/>
  <c r="S23" i="2"/>
  <c r="G24" i="2"/>
  <c r="I24" i="2"/>
  <c r="K24" i="2"/>
  <c r="M24" i="2"/>
  <c r="O24" i="2"/>
  <c r="Q24" i="2"/>
  <c r="S24" i="2"/>
  <c r="G25" i="2"/>
  <c r="I25" i="2"/>
  <c r="K25" i="2"/>
  <c r="M25" i="2"/>
  <c r="O25" i="2"/>
  <c r="Q25" i="2"/>
  <c r="S25" i="2"/>
  <c r="G26" i="2"/>
  <c r="I26" i="2"/>
  <c r="K26" i="2"/>
  <c r="M26" i="2"/>
  <c r="O26" i="2"/>
  <c r="Q26" i="2"/>
  <c r="S26" i="2"/>
  <c r="G27" i="2"/>
  <c r="I27" i="2"/>
  <c r="K27" i="2"/>
  <c r="M27" i="2"/>
  <c r="O27" i="2"/>
  <c r="Q27" i="2"/>
  <c r="S27" i="2"/>
  <c r="G28" i="2"/>
  <c r="I28" i="2"/>
  <c r="K28" i="2"/>
  <c r="M28" i="2"/>
  <c r="O28" i="2"/>
  <c r="Q28" i="2"/>
  <c r="S28" i="2"/>
  <c r="G29" i="2"/>
  <c r="I29" i="2"/>
  <c r="K29" i="2"/>
  <c r="M29" i="2"/>
  <c r="O29" i="2"/>
  <c r="Q29" i="2"/>
  <c r="S29" i="2"/>
  <c r="G30" i="2"/>
  <c r="I30" i="2"/>
  <c r="K30" i="2"/>
  <c r="M30" i="2"/>
  <c r="O30" i="2"/>
  <c r="Q30" i="2"/>
  <c r="S30" i="2"/>
  <c r="G31" i="2"/>
  <c r="I31" i="2"/>
  <c r="K31" i="2"/>
  <c r="M31" i="2"/>
  <c r="O31" i="2"/>
  <c r="Q31" i="2"/>
  <c r="S31" i="2"/>
  <c r="G32" i="2"/>
  <c r="I32" i="2"/>
  <c r="K32" i="2"/>
  <c r="M32" i="2"/>
  <c r="O32" i="2"/>
  <c r="Q32" i="2"/>
  <c r="S32" i="2"/>
  <c r="S5" i="2"/>
  <c r="Q5" i="2"/>
  <c r="O5" i="2"/>
  <c r="M5" i="2"/>
  <c r="K5" i="2"/>
  <c r="I5" i="2"/>
  <c r="G5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6" i="2"/>
  <c r="E7" i="2"/>
  <c r="E8" i="2"/>
  <c r="E5" i="2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M70" i="1" l="1"/>
  <c r="M71" i="1" s="1"/>
  <c r="M72" i="1" s="1"/>
  <c r="K37" i="3"/>
  <c r="K38" i="3" s="1"/>
  <c r="O70" i="1"/>
  <c r="O71" i="1" s="1"/>
  <c r="O72" i="1" s="1"/>
  <c r="O37" i="3"/>
  <c r="O38" i="3" s="1"/>
  <c r="O39" i="3" s="1"/>
  <c r="Q37" i="3"/>
  <c r="Q38" i="3" s="1"/>
  <c r="Q39" i="3" s="1"/>
  <c r="Q33" i="2"/>
  <c r="Q34" i="2" s="1"/>
  <c r="Q35" i="2" s="1"/>
  <c r="Q70" i="1"/>
  <c r="Q71" i="1" s="1"/>
  <c r="Q72" i="1" s="1"/>
  <c r="M37" i="3"/>
  <c r="M38" i="3" s="1"/>
  <c r="M39" i="3" s="1"/>
  <c r="L66" i="6"/>
  <c r="K66" i="6"/>
  <c r="H66" i="6"/>
  <c r="H65" i="6"/>
  <c r="G65" i="6"/>
  <c r="G66" i="6" s="1"/>
  <c r="K39" i="3"/>
  <c r="O33" i="2"/>
  <c r="O34" i="2" s="1"/>
  <c r="S33" i="2"/>
  <c r="S34" i="2" s="1"/>
  <c r="S35" i="2" s="1"/>
  <c r="M33" i="2"/>
  <c r="M34" i="2" s="1"/>
  <c r="M35" i="2" s="1"/>
  <c r="O35" i="2" l="1"/>
  <c r="K33" i="2"/>
  <c r="K34" i="2" s="1"/>
  <c r="K35" i="2" s="1"/>
  <c r="K70" i="1"/>
  <c r="K71" i="1" s="1"/>
  <c r="K72" i="1" s="1"/>
  <c r="G37" i="3" l="1"/>
  <c r="G38" i="3" s="1"/>
  <c r="G39" i="3" s="1"/>
  <c r="I33" i="2"/>
  <c r="I34" i="2" s="1"/>
  <c r="I35" i="2" s="1"/>
  <c r="E37" i="3"/>
  <c r="E38" i="3" s="1"/>
  <c r="E39" i="3" s="1"/>
  <c r="I37" i="3"/>
  <c r="I38" i="3" s="1"/>
  <c r="I39" i="3" s="1"/>
  <c r="G33" i="2"/>
  <c r="G34" i="2" s="1"/>
  <c r="G35" i="2" s="1"/>
  <c r="E33" i="2"/>
  <c r="E34" i="2" s="1"/>
  <c r="E35" i="2" s="1"/>
</calcChain>
</file>

<file path=xl/sharedStrings.xml><?xml version="1.0" encoding="utf-8"?>
<sst xmlns="http://schemas.openxmlformats.org/spreadsheetml/2006/main" count="759" uniqueCount="303">
  <si>
    <t>DESCRIPCIÓN</t>
  </si>
  <si>
    <t>UNIDAD</t>
  </si>
  <si>
    <t>CANTIDAD</t>
  </si>
  <si>
    <t>V/UNITARIO</t>
  </si>
  <si>
    <t>V/TOTAL</t>
  </si>
  <si>
    <t>Adaptador hembra 1"</t>
  </si>
  <si>
    <t>Adaptador hembra 1/2"</t>
  </si>
  <si>
    <t>Adaptador macho 1"</t>
  </si>
  <si>
    <t>Adaptador macho 1/2"</t>
  </si>
  <si>
    <t>Brocha 2"</t>
  </si>
  <si>
    <t>Brocha 3"</t>
  </si>
  <si>
    <t>Chazo expansivo 3/8" x 2</t>
  </si>
  <si>
    <t>Chazo plastico 1/4 con tornillo</t>
  </si>
  <si>
    <t>Chazo plastico 5/16 con tornillo</t>
  </si>
  <si>
    <t>Cinta antideslizante 2" x 5 mt</t>
  </si>
  <si>
    <t>Cinta enmascarar 1"</t>
  </si>
  <si>
    <t>Codo 1/2" x 90</t>
  </si>
  <si>
    <t>Codo 3/4" x 90</t>
  </si>
  <si>
    <t>Espatula 2"</t>
  </si>
  <si>
    <t>Espatula 3"</t>
  </si>
  <si>
    <t>Lamina galvanizada 4 x 8 cal 26</t>
  </si>
  <si>
    <t>Lamina super T 18 mm</t>
  </si>
  <si>
    <t>Lija 120</t>
  </si>
  <si>
    <t>Paral 59 x 2,44</t>
  </si>
  <si>
    <t>Paral 89 x 2,44</t>
  </si>
  <si>
    <t>Rodillo felpa 2"</t>
  </si>
  <si>
    <t>Rodillo felpa 3"</t>
  </si>
  <si>
    <t>Rodillo felpa 6"</t>
  </si>
  <si>
    <t>Rodillo felpa 9"</t>
  </si>
  <si>
    <t>Sikadur 32 primer x 1 kg</t>
  </si>
  <si>
    <t>Sikadur 32 primer x 3 kg</t>
  </si>
  <si>
    <t>Sikaguard 62 gris 7030 x 3 kg</t>
  </si>
  <si>
    <t>Tornillo Superboard 6x7/8</t>
  </si>
  <si>
    <t>Tornillo 8 x  1/2</t>
  </si>
  <si>
    <t>Tornillo lamina 7/8"</t>
  </si>
  <si>
    <t>Tubo pvc 2" x mt</t>
  </si>
  <si>
    <t>Tubo pvc 3/4" x mt</t>
  </si>
  <si>
    <t>Union pvc 1/2"</t>
  </si>
  <si>
    <t>Varilla corrugada 1/2 x 6 mt</t>
  </si>
  <si>
    <t>Varilla corrugada 3/8 x 6 mt</t>
  </si>
  <si>
    <t>SUB TOTAL</t>
  </si>
  <si>
    <t>IVA</t>
  </si>
  <si>
    <t>TOTAL</t>
  </si>
  <si>
    <t>Sikapermacor serie 82 HS</t>
  </si>
  <si>
    <t>Sikadur 510 x 30 kg</t>
  </si>
  <si>
    <t>HOMECENTER</t>
  </si>
  <si>
    <t>Brocha 4"</t>
  </si>
  <si>
    <t>Lija 150</t>
  </si>
  <si>
    <t>Sika Anchorfix-4</t>
  </si>
  <si>
    <t xml:space="preserve">SikaSil E </t>
  </si>
  <si>
    <t>Sika Construction</t>
  </si>
  <si>
    <t>UND</t>
  </si>
  <si>
    <t>Sika Igol x galón</t>
  </si>
  <si>
    <t xml:space="preserve">Pintulux ACUALUX </t>
  </si>
  <si>
    <t>Rodillo epoxico 6"</t>
  </si>
  <si>
    <t>Rodillo epoxico 3"</t>
  </si>
  <si>
    <t>Triturado</t>
  </si>
  <si>
    <t>Union pvc 3/4"</t>
  </si>
  <si>
    <t>Cable No. 12</t>
  </si>
  <si>
    <t>Cable encauchetado</t>
  </si>
  <si>
    <t>Tubo LED T8 18W</t>
  </si>
  <si>
    <t>Tubo LED T8 9W</t>
  </si>
  <si>
    <t xml:space="preserve">Viniltex Advanced </t>
  </si>
  <si>
    <t>Vinilux Tipo 2 ICO</t>
  </si>
  <si>
    <t>Zócalo impermeabilizante</t>
  </si>
  <si>
    <t>Tubo pvc 1/2" x mt</t>
  </si>
  <si>
    <t>Tubo pvc 1" x mt</t>
  </si>
  <si>
    <t>Tubo pvc 3" x mt</t>
  </si>
  <si>
    <t>Llave tipo jardín metálica</t>
  </si>
  <si>
    <t>Tubo pvc 1 1/2" x mt</t>
  </si>
  <si>
    <t>Union pvc 1"</t>
  </si>
  <si>
    <t>Union pvc 1 1/2"</t>
  </si>
  <si>
    <t>Sifón orinal en botella</t>
  </si>
  <si>
    <t>Sifón lavaplatos en T</t>
  </si>
  <si>
    <t>Sifón lavamanos en botella</t>
  </si>
  <si>
    <t>Uniones EMT 3/4"</t>
  </si>
  <si>
    <t>Uniones EMT 1/2"</t>
  </si>
  <si>
    <t>Curva 3/4"</t>
  </si>
  <si>
    <t>Grapa 1/2" doble ojo</t>
  </si>
  <si>
    <t>Terminal 3/4"</t>
  </si>
  <si>
    <t>Terminal 1/2"</t>
  </si>
  <si>
    <t>Panel LED 24W</t>
  </si>
  <si>
    <t>Panel LED 18W</t>
  </si>
  <si>
    <t>Bombillo LED 15W</t>
  </si>
  <si>
    <t>Toma doble leviton</t>
  </si>
  <si>
    <t>Interruptor sencillo</t>
  </si>
  <si>
    <t>Interruptor doble</t>
  </si>
  <si>
    <t>Alambre DROP</t>
  </si>
  <si>
    <t>Caja rawelt</t>
  </si>
  <si>
    <t>Alambre negro</t>
  </si>
  <si>
    <t>KG</t>
  </si>
  <si>
    <t>Angeo mosquitero</t>
  </si>
  <si>
    <t>M</t>
  </si>
  <si>
    <t>Arena gruesa</t>
  </si>
  <si>
    <t>Arena fina</t>
  </si>
  <si>
    <t>Cemento blanco</t>
  </si>
  <si>
    <t>Cemento gris</t>
  </si>
  <si>
    <t>BULTO</t>
  </si>
  <si>
    <t>ROLLO</t>
  </si>
  <si>
    <t>Esquinero plástico</t>
  </si>
  <si>
    <t>Estuco plastico</t>
  </si>
  <si>
    <t>CUÑETE</t>
  </si>
  <si>
    <t>Ladrillo limpio 6.5 x 10 x 24</t>
  </si>
  <si>
    <t>Pintulux 3 en 1 TEU</t>
  </si>
  <si>
    <t>GALÓN</t>
  </si>
  <si>
    <t>Pintutráfico</t>
  </si>
  <si>
    <t>Plástico negro</t>
  </si>
  <si>
    <t>Ajustador aromático</t>
  </si>
  <si>
    <t>Sika ajustador epoxico</t>
  </si>
  <si>
    <t>Sika multiseal</t>
  </si>
  <si>
    <t>Sikaflex 1A</t>
  </si>
  <si>
    <t>Cinta aislante negra</t>
  </si>
  <si>
    <t>Canaleta 1 x 1 x 2m</t>
  </si>
  <si>
    <t>Curva 1/2"</t>
  </si>
  <si>
    <t>Grapa 3/4" doble ojo</t>
  </si>
  <si>
    <t>Tapa para toma doble</t>
  </si>
  <si>
    <t>Tapa ciega</t>
  </si>
  <si>
    <t>Panel LED 40W 60x60</t>
  </si>
  <si>
    <t>Discos de corte metal 4 1/2"</t>
  </si>
  <si>
    <t>Discos de corte concreto 9"</t>
  </si>
  <si>
    <t>Cable No. 14</t>
  </si>
  <si>
    <t>Adaptador hembra 3/4"</t>
  </si>
  <si>
    <t>Adaptador macho 3/4"</t>
  </si>
  <si>
    <t>Adaptador hembra 1 1/2"</t>
  </si>
  <si>
    <t>Adaptador macho 1 1/2"</t>
  </si>
  <si>
    <t>Codo 1" x 90</t>
  </si>
  <si>
    <t>Cinta teflon 1/2"</t>
  </si>
  <si>
    <t>Limpiador PVC 1/64</t>
  </si>
  <si>
    <t>Limpiador PVC 1/32</t>
  </si>
  <si>
    <t>Limpiador PVC 1/8</t>
  </si>
  <si>
    <t>Soldadura PVC 1/64</t>
  </si>
  <si>
    <t>Soldadura PVC 1/32</t>
  </si>
  <si>
    <t>Soldadura PVC 1/8</t>
  </si>
  <si>
    <t>Thinner</t>
  </si>
  <si>
    <t>M2</t>
  </si>
  <si>
    <t>Pegacor porcelanato</t>
  </si>
  <si>
    <t>Tubo EMT 3/4" x 3m</t>
  </si>
  <si>
    <t>Tubo EMT 1/2" x 3m</t>
  </si>
  <si>
    <t>Rodillo epoxico 9"</t>
  </si>
  <si>
    <t>Pego perfecto - Sikaceram</t>
  </si>
  <si>
    <t>FERRETERIA EL TORNILLO</t>
  </si>
  <si>
    <t>WILLY MEZCLAS SAS</t>
  </si>
  <si>
    <t>M3</t>
  </si>
  <si>
    <t>ELECTRICOS LA 39</t>
  </si>
  <si>
    <t>ELECTRORUEDA</t>
  </si>
  <si>
    <t>ARQUIGRES</t>
  </si>
  <si>
    <t>ITEM</t>
  </si>
  <si>
    <t xml:space="preserve">DESCRIPCIÓN DEL ITEM </t>
  </si>
  <si>
    <t>BORJA CONSTRUCCIONES</t>
  </si>
  <si>
    <t>1.01</t>
  </si>
  <si>
    <t>mano de obra pañete &lt; 2,5 mts</t>
  </si>
  <si>
    <t>m2</t>
  </si>
  <si>
    <t>1.02</t>
  </si>
  <si>
    <t>mano de obra pañete &gt; 2,5 mts</t>
  </si>
  <si>
    <t>1.03</t>
  </si>
  <si>
    <t>mano de obra instalación de bloques de concreto</t>
  </si>
  <si>
    <t>1.04</t>
  </si>
  <si>
    <t>mano de obra preparación de mezcla de concreto</t>
  </si>
  <si>
    <t>1.05</t>
  </si>
  <si>
    <t>mano de obra estuco &lt; 2,5 mts</t>
  </si>
  <si>
    <t>1.06</t>
  </si>
  <si>
    <t>mano de obra estuco &gt; 2,5 mts</t>
  </si>
  <si>
    <t>1.07</t>
  </si>
  <si>
    <t>mano de obra demolición de muro e &lt; 15 cm</t>
  </si>
  <si>
    <t>1.08</t>
  </si>
  <si>
    <t>mano de obra demolición de muro e &gt; 15 cm</t>
  </si>
  <si>
    <t>1.09</t>
  </si>
  <si>
    <t>mano de obra instalación de baldosas (cerámica)</t>
  </si>
  <si>
    <t>1.10</t>
  </si>
  <si>
    <t>mano de obra instalación de baldosas (porcelanato)</t>
  </si>
  <si>
    <t>1.11</t>
  </si>
  <si>
    <t xml:space="preserve">mano de obra reparación de lavamanos </t>
  </si>
  <si>
    <t>und</t>
  </si>
  <si>
    <t>1.12</t>
  </si>
  <si>
    <t>mano de obra reparación de puntos sanitarios</t>
  </si>
  <si>
    <t>1.13</t>
  </si>
  <si>
    <t>mano de obra instalación de puertas</t>
  </si>
  <si>
    <t>1.14</t>
  </si>
  <si>
    <t>mano de obra instalación de cerraduras</t>
  </si>
  <si>
    <t>1.15</t>
  </si>
  <si>
    <t>mano de obra instalación de barandas en Acero</t>
  </si>
  <si>
    <t>ml</t>
  </si>
  <si>
    <t>1.16</t>
  </si>
  <si>
    <t>mano de obra mantenimiento de baranda en acero</t>
  </si>
  <si>
    <t>1.17</t>
  </si>
  <si>
    <t xml:space="preserve">mano de obra reparación de mobiliario </t>
  </si>
  <si>
    <t>1.18</t>
  </si>
  <si>
    <t xml:space="preserve">mano de obra mantenimiento de mobiliario </t>
  </si>
  <si>
    <t>1.19</t>
  </si>
  <si>
    <t xml:space="preserve">mano de obra instalación de puntos de agua </t>
  </si>
  <si>
    <t>1.20</t>
  </si>
  <si>
    <t>mano de obra cambio de teja arquitectonica</t>
  </si>
  <si>
    <t>1.21</t>
  </si>
  <si>
    <t xml:space="preserve">mano de obra reparación de pisos en concreto </t>
  </si>
  <si>
    <t>1.22</t>
  </si>
  <si>
    <t>desmonte de cielo raso h &lt; 2,5 mts</t>
  </si>
  <si>
    <t>1.23</t>
  </si>
  <si>
    <t xml:space="preserve">picada de enchape </t>
  </si>
  <si>
    <t>1.24</t>
  </si>
  <si>
    <t>picada de pisos y pañetes</t>
  </si>
  <si>
    <t>1.25</t>
  </si>
  <si>
    <t>demolición de placa pavimento (Espesor &lt; 15 cm</t>
  </si>
  <si>
    <t>m3</t>
  </si>
  <si>
    <t>1.26</t>
  </si>
  <si>
    <t>instalación de drywall d=9,5mm - 11mm</t>
  </si>
  <si>
    <t>1.27</t>
  </si>
  <si>
    <t>instalación de drywall d=12,7mm - 15,9mm</t>
  </si>
  <si>
    <t>1.28</t>
  </si>
  <si>
    <t>suministro e instalación de drywall d= 9,5 mm</t>
  </si>
  <si>
    <t>1.29</t>
  </si>
  <si>
    <t>suministro e instalación de drywall d= 11 mm</t>
  </si>
  <si>
    <t>1.30</t>
  </si>
  <si>
    <t>suministro e instalación de drywall d= 12,7 mm</t>
  </si>
  <si>
    <t>1.31</t>
  </si>
  <si>
    <t>suministro e instalación de drywall d= 15,9 mm</t>
  </si>
  <si>
    <t>1.32</t>
  </si>
  <si>
    <t>instalación tubo pvc 1" hasta 2"</t>
  </si>
  <si>
    <t>1.33</t>
  </si>
  <si>
    <t>suministro e instalación tubo pvc 1" hasta 2"</t>
  </si>
  <si>
    <t>1.34</t>
  </si>
  <si>
    <t>instalación de láminas superboard</t>
  </si>
  <si>
    <t>1.35</t>
  </si>
  <si>
    <t>suministro e instalación de láminas superboard</t>
  </si>
  <si>
    <t>1.36</t>
  </si>
  <si>
    <t xml:space="preserve">suministro e instalación de porcelanato </t>
  </si>
  <si>
    <t>1.37</t>
  </si>
  <si>
    <t>suministro e instalación de ceramica</t>
  </si>
  <si>
    <t>1.38</t>
  </si>
  <si>
    <t>instalación enchape de pared</t>
  </si>
  <si>
    <t>1.39</t>
  </si>
  <si>
    <t>suministro e instalación enchape de pared</t>
  </si>
  <si>
    <t>1.40</t>
  </si>
  <si>
    <t>instalación de guarda escobas (cerámicas)</t>
  </si>
  <si>
    <t>1.41</t>
  </si>
  <si>
    <t>instalación de guarda escobas (porcelanato)</t>
  </si>
  <si>
    <t>1.42</t>
  </si>
  <si>
    <t>suministro e instalación de guarda escobas (cerámicas)</t>
  </si>
  <si>
    <t>1.43</t>
  </si>
  <si>
    <t>suministro e instalación de guarda escobas (porcelanato)</t>
  </si>
  <si>
    <t>1.44</t>
  </si>
  <si>
    <t xml:space="preserve">alfajia en concreto A-2 3000 psi </t>
  </si>
  <si>
    <t>1.45</t>
  </si>
  <si>
    <t>construcción de dinteles en concreto  0,20x0,10</t>
  </si>
  <si>
    <t>1.46</t>
  </si>
  <si>
    <t>construcción de juntas exteriores</t>
  </si>
  <si>
    <t>1.47</t>
  </si>
  <si>
    <t>suministro e instalación de cielo raso duracustic blanco en aluminio 0,60 x 0,60</t>
  </si>
  <si>
    <t>1.48</t>
  </si>
  <si>
    <t xml:space="preserve">Pintura de muros y cielos en Viniltex tipo 1 Pintuco </t>
  </si>
  <si>
    <t>1.49</t>
  </si>
  <si>
    <t xml:space="preserve">Pintura de muros y cielos en  Viniltex tipo 1 Pintuco </t>
  </si>
  <si>
    <t>1.50</t>
  </si>
  <si>
    <t>Pintura de muros y cielos en Viniltex tipo 1 Pintuco (Festivo)</t>
  </si>
  <si>
    <t>1.51</t>
  </si>
  <si>
    <t>Pintura de muros y cielos en  Viniltex tipo 1 Pintuco (Festivo)</t>
  </si>
  <si>
    <t>1.52</t>
  </si>
  <si>
    <t>Pintura de muros Koraza M2</t>
  </si>
  <si>
    <t>1.53</t>
  </si>
  <si>
    <t>Pintura de muros koraza ML</t>
  </si>
  <si>
    <t>1.54</t>
  </si>
  <si>
    <t>Pintura de muros y medias cañas Epoxica M2</t>
  </si>
  <si>
    <t>1.55</t>
  </si>
  <si>
    <t>Pintura de muros y medias cañas Epoxica ML</t>
  </si>
  <si>
    <t>1.56</t>
  </si>
  <si>
    <t>Pintura demarcación y señalizaciones en Pintutrafico M2</t>
  </si>
  <si>
    <t>1.57</t>
  </si>
  <si>
    <t>Pintura demarcación y señalizaciones en Pintutrafico ML</t>
  </si>
  <si>
    <t>1.58</t>
  </si>
  <si>
    <t>Pintura de estructura metalica con 3-1 anticorrosivo</t>
  </si>
  <si>
    <t>1.59</t>
  </si>
  <si>
    <t xml:space="preserve">Pintura de puertas </t>
  </si>
  <si>
    <t>1.60</t>
  </si>
  <si>
    <t>Pintura de ventanas</t>
  </si>
  <si>
    <t>Aguachica</t>
  </si>
  <si>
    <t xml:space="preserve">Cucuta </t>
  </si>
  <si>
    <t xml:space="preserve">BIENES E INVERSIONES KEN S.A.S </t>
  </si>
  <si>
    <t>GRUPO NAHUM INGENIERIA S.A.S</t>
  </si>
  <si>
    <t>Nacional</t>
  </si>
  <si>
    <t>Bucaramanga</t>
  </si>
  <si>
    <t>CH-P</t>
  </si>
  <si>
    <t>Aguachica - Bucaramanga</t>
  </si>
  <si>
    <t>Cúcuta</t>
  </si>
  <si>
    <t>Valledupar</t>
  </si>
  <si>
    <t xml:space="preserve">Nacional </t>
  </si>
  <si>
    <t>Cucuta</t>
  </si>
  <si>
    <t>Bucarmanga</t>
  </si>
  <si>
    <t>COMPARATIVO PRECIOS FERRETERIAS 2026</t>
  </si>
  <si>
    <t>SAMIR</t>
  </si>
  <si>
    <t>DA INGENIERIA S.A.S</t>
  </si>
  <si>
    <t>FERRETERIA CATATUMBO</t>
  </si>
  <si>
    <t>CONSTRUCCIONES OCORE</t>
  </si>
  <si>
    <t>SUMINISTROS Y CONSTRUCCIONES CI</t>
  </si>
  <si>
    <t>Metálicas y Construcciones Civiles S.A.S</t>
  </si>
  <si>
    <t>Grupo Nahum Ingenieria SAS</t>
  </si>
  <si>
    <t xml:space="preserve">Borja Construcciones </t>
  </si>
  <si>
    <t xml:space="preserve">Aguachica y Valledupar </t>
  </si>
  <si>
    <t>Barrancabermeja</t>
  </si>
  <si>
    <t xml:space="preserve">Cúcuta </t>
  </si>
  <si>
    <t xml:space="preserve">Bucaramanga </t>
  </si>
  <si>
    <t>VALOR UNITARIO</t>
  </si>
  <si>
    <t xml:space="preserve">SUBTOTAL </t>
  </si>
  <si>
    <t>COMPARATIVO MANO DE OBRA 2026</t>
  </si>
  <si>
    <t>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</si>
</sst>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\ #,##0.00;[Red]\-&quot;$&quot;\ #,##0.00"/>
    <numFmt numFmtId="41" formatCode="_-* #,##0_-;\-* #,##0_-;_-* &quot;-&quot;_-;_-@_-"/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\$\ #,##0"/>
    <numFmt numFmtId="166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 Narrow"/>
      <family val="2"/>
    </font>
    <font>
      <sz val="11"/>
      <name val="Arial Narrow"/>
      <family val="2"/>
    </font>
    <font>
      <b/>
      <sz val="11"/>
      <name val="Arial Narrow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3">
    <xf numFmtId="0" fontId="0" fillId="0" borderId="0" xfId="0"/>
    <xf numFmtId="0" fontId="3" fillId="0" borderId="0" xfId="0" applyFont="1"/>
    <xf numFmtId="41" fontId="3" fillId="0" borderId="1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left"/>
    </xf>
    <xf numFmtId="164" fontId="3" fillId="0" borderId="1" xfId="2" applyNumberFormat="1" applyFont="1" applyFill="1" applyBorder="1" applyAlignment="1">
      <alignment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left"/>
    </xf>
    <xf numFmtId="164" fontId="3" fillId="2" borderId="1" xfId="2" applyNumberFormat="1" applyFont="1" applyFill="1" applyBorder="1" applyAlignment="1">
      <alignment vertical="center"/>
    </xf>
    <xf numFmtId="41" fontId="4" fillId="3" borderId="2" xfId="1" applyFont="1" applyFill="1" applyBorder="1" applyAlignment="1">
      <alignment horizontal="right" vertical="center"/>
    </xf>
    <xf numFmtId="41" fontId="4" fillId="3" borderId="1" xfId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4" borderId="6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44" fontId="5" fillId="4" borderId="7" xfId="2" applyFont="1" applyFill="1" applyBorder="1" applyAlignment="1">
      <alignment horizontal="center"/>
    </xf>
    <xf numFmtId="44" fontId="5" fillId="4" borderId="8" xfId="2" applyFont="1" applyFill="1" applyBorder="1" applyAlignment="1">
      <alignment horizontal="center" wrapText="1"/>
    </xf>
    <xf numFmtId="0" fontId="5" fillId="4" borderId="9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/>
    </xf>
    <xf numFmtId="164" fontId="0" fillId="0" borderId="1" xfId="2" applyNumberFormat="1" applyFont="1" applyBorder="1"/>
    <xf numFmtId="164" fontId="0" fillId="0" borderId="13" xfId="2" applyNumberFormat="1" applyFont="1" applyBorder="1"/>
    <xf numFmtId="0" fontId="0" fillId="0" borderId="0" xfId="0" applyAlignment="1">
      <alignment horizontal="center"/>
    </xf>
    <xf numFmtId="164" fontId="3" fillId="2" borderId="2" xfId="2" applyNumberFormat="1" applyFont="1" applyFill="1" applyBorder="1" applyAlignment="1">
      <alignment vertical="center"/>
    </xf>
    <xf numFmtId="164" fontId="3" fillId="2" borderId="15" xfId="2" applyNumberFormat="1" applyFont="1" applyFill="1" applyBorder="1" applyAlignment="1">
      <alignment vertical="center"/>
    </xf>
    <xf numFmtId="164" fontId="3" fillId="2" borderId="10" xfId="2" applyNumberFormat="1" applyFont="1" applyFill="1" applyBorder="1" applyAlignment="1">
      <alignment vertical="center"/>
    </xf>
    <xf numFmtId="164" fontId="3" fillId="2" borderId="11" xfId="2" applyNumberFormat="1" applyFont="1" applyFill="1" applyBorder="1" applyAlignment="1">
      <alignment vertical="center"/>
    </xf>
    <xf numFmtId="164" fontId="3" fillId="2" borderId="16" xfId="2" applyNumberFormat="1" applyFont="1" applyFill="1" applyBorder="1" applyAlignment="1">
      <alignment vertical="center"/>
    </xf>
    <xf numFmtId="164" fontId="3" fillId="2" borderId="12" xfId="2" applyNumberFormat="1" applyFont="1" applyFill="1" applyBorder="1" applyAlignment="1">
      <alignment vertical="center"/>
    </xf>
    <xf numFmtId="164" fontId="3" fillId="2" borderId="17" xfId="2" applyNumberFormat="1" applyFont="1" applyFill="1" applyBorder="1" applyAlignment="1">
      <alignment vertical="center"/>
    </xf>
    <xf numFmtId="164" fontId="3" fillId="2" borderId="13" xfId="2" applyNumberFormat="1" applyFont="1" applyFill="1" applyBorder="1" applyAlignment="1">
      <alignment vertical="center"/>
    </xf>
    <xf numFmtId="164" fontId="3" fillId="2" borderId="14" xfId="2" applyNumberFormat="1" applyFont="1" applyFill="1" applyBorder="1" applyAlignment="1">
      <alignment vertical="center"/>
    </xf>
    <xf numFmtId="164" fontId="0" fillId="0" borderId="18" xfId="2" applyNumberFormat="1" applyFont="1" applyBorder="1"/>
    <xf numFmtId="164" fontId="0" fillId="0" borderId="22" xfId="2" applyNumberFormat="1" applyFont="1" applyBorder="1"/>
    <xf numFmtId="0" fontId="0" fillId="0" borderId="23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2" applyNumberFormat="1" applyFont="1" applyBorder="1"/>
    <xf numFmtId="164" fontId="0" fillId="0" borderId="20" xfId="2" applyNumberFormat="1" applyFont="1" applyBorder="1"/>
    <xf numFmtId="0" fontId="5" fillId="4" borderId="21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44" fontId="5" fillId="4" borderId="21" xfId="2" applyFont="1" applyFill="1" applyBorder="1" applyAlignment="1">
      <alignment horizontal="center" vertical="center" wrapText="1"/>
    </xf>
    <xf numFmtId="164" fontId="3" fillId="0" borderId="0" xfId="2" applyNumberFormat="1" applyFont="1" applyFill="1" applyBorder="1" applyAlignment="1">
      <alignment vertical="center"/>
    </xf>
    <xf numFmtId="41" fontId="4" fillId="3" borderId="0" xfId="1" applyFont="1" applyFill="1" applyBorder="1" applyAlignment="1">
      <alignment horizontal="right" vertical="center"/>
    </xf>
    <xf numFmtId="164" fontId="3" fillId="2" borderId="0" xfId="2" applyNumberFormat="1" applyFont="1" applyFill="1" applyBorder="1" applyAlignment="1">
      <alignment horizontal="center" vertical="center"/>
    </xf>
    <xf numFmtId="164" fontId="3" fillId="0" borderId="1" xfId="2" applyNumberFormat="1" applyFont="1" applyBorder="1"/>
    <xf numFmtId="0" fontId="7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left" vertical="center" wrapText="1"/>
    </xf>
    <xf numFmtId="164" fontId="3" fillId="0" borderId="12" xfId="2" applyNumberFormat="1" applyFont="1" applyFill="1" applyBorder="1" applyAlignment="1">
      <alignment vertical="center"/>
    </xf>
    <xf numFmtId="0" fontId="3" fillId="0" borderId="17" xfId="0" applyFont="1" applyBorder="1" applyAlignment="1">
      <alignment horizontal="left" vertical="center" wrapText="1"/>
    </xf>
    <xf numFmtId="41" fontId="3" fillId="0" borderId="13" xfId="1" applyFont="1" applyFill="1" applyBorder="1" applyAlignment="1">
      <alignment horizontal="center" vertical="center"/>
    </xf>
    <xf numFmtId="41" fontId="3" fillId="0" borderId="13" xfId="1" applyFont="1" applyFill="1" applyBorder="1" applyAlignment="1">
      <alignment horizontal="left"/>
    </xf>
    <xf numFmtId="164" fontId="3" fillId="0" borderId="13" xfId="2" applyNumberFormat="1" applyFont="1" applyFill="1" applyBorder="1" applyAlignment="1">
      <alignment vertical="center"/>
    </xf>
    <xf numFmtId="164" fontId="3" fillId="0" borderId="14" xfId="2" applyNumberFormat="1" applyFont="1" applyFill="1" applyBorder="1" applyAlignment="1">
      <alignment vertical="center"/>
    </xf>
    <xf numFmtId="164" fontId="3" fillId="0" borderId="2" xfId="2" applyNumberFormat="1" applyFont="1" applyFill="1" applyBorder="1" applyAlignment="1">
      <alignment vertical="center"/>
    </xf>
    <xf numFmtId="41" fontId="3" fillId="0" borderId="2" xfId="1" applyFont="1" applyFill="1" applyBorder="1" applyAlignment="1">
      <alignment horizontal="center" vertical="center"/>
    </xf>
    <xf numFmtId="164" fontId="3" fillId="0" borderId="24" xfId="2" applyNumberFormat="1" applyFont="1" applyFill="1" applyBorder="1" applyAlignment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41" fontId="10" fillId="5" borderId="13" xfId="1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3" fillId="0" borderId="2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41" fontId="3" fillId="0" borderId="2" xfId="1" applyFont="1" applyFill="1" applyBorder="1" applyAlignment="1">
      <alignment horizontal="left"/>
    </xf>
    <xf numFmtId="164" fontId="11" fillId="0" borderId="1" xfId="2" applyNumberFormat="1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horizontal="right" vertical="center"/>
    </xf>
    <xf numFmtId="41" fontId="10" fillId="5" borderId="15" xfId="1" applyFont="1" applyFill="1" applyBorder="1" applyAlignment="1">
      <alignment horizontal="right" vertical="center"/>
    </xf>
    <xf numFmtId="164" fontId="11" fillId="0" borderId="10" xfId="2" applyNumberFormat="1" applyFont="1" applyFill="1" applyBorder="1" applyAlignment="1">
      <alignment horizontal="center" vertical="center"/>
    </xf>
    <xf numFmtId="41" fontId="12" fillId="0" borderId="10" xfId="1" applyFont="1" applyFill="1" applyBorder="1" applyAlignment="1">
      <alignment horizontal="right" vertical="center"/>
    </xf>
    <xf numFmtId="164" fontId="11" fillId="0" borderId="11" xfId="2" applyNumberFormat="1" applyFont="1" applyFill="1" applyBorder="1" applyAlignment="1">
      <alignment horizontal="center" vertical="center"/>
    </xf>
    <xf numFmtId="41" fontId="10" fillId="5" borderId="16" xfId="1" applyFont="1" applyFill="1" applyBorder="1" applyAlignment="1">
      <alignment horizontal="right" vertical="center"/>
    </xf>
    <xf numFmtId="164" fontId="11" fillId="0" borderId="12" xfId="2" applyNumberFormat="1" applyFont="1" applyFill="1" applyBorder="1" applyAlignment="1">
      <alignment horizontal="center" vertical="center"/>
    </xf>
    <xf numFmtId="41" fontId="10" fillId="5" borderId="17" xfId="1" applyFont="1" applyFill="1" applyBorder="1" applyAlignment="1">
      <alignment horizontal="right" vertical="center"/>
    </xf>
    <xf numFmtId="164" fontId="11" fillId="0" borderId="13" xfId="2" applyNumberFormat="1" applyFont="1" applyFill="1" applyBorder="1" applyAlignment="1">
      <alignment horizontal="center" vertical="center"/>
    </xf>
    <xf numFmtId="41" fontId="12" fillId="0" borderId="13" xfId="1" applyFont="1" applyFill="1" applyBorder="1" applyAlignment="1">
      <alignment horizontal="right" vertical="center"/>
    </xf>
    <xf numFmtId="164" fontId="11" fillId="0" borderId="14" xfId="2" applyNumberFormat="1" applyFont="1" applyFill="1" applyBorder="1" applyAlignment="1">
      <alignment horizontal="center" vertical="center"/>
    </xf>
    <xf numFmtId="41" fontId="10" fillId="5" borderId="20" xfId="1" applyFont="1" applyFill="1" applyBorder="1" applyAlignment="1">
      <alignment horizontal="right" vertical="center"/>
    </xf>
    <xf numFmtId="41" fontId="10" fillId="5" borderId="18" xfId="1" applyFont="1" applyFill="1" applyBorder="1" applyAlignment="1">
      <alignment horizontal="right" vertical="center"/>
    </xf>
    <xf numFmtId="164" fontId="3" fillId="0" borderId="10" xfId="2" applyNumberFormat="1" applyFont="1" applyFill="1" applyBorder="1" applyAlignment="1">
      <alignment vertical="center"/>
    </xf>
    <xf numFmtId="41" fontId="4" fillId="0" borderId="10" xfId="1" applyFont="1" applyFill="1" applyBorder="1" applyAlignment="1">
      <alignment horizontal="right" vertical="center"/>
    </xf>
    <xf numFmtId="164" fontId="3" fillId="0" borderId="11" xfId="2" applyNumberFormat="1" applyFont="1" applyFill="1" applyBorder="1" applyAlignment="1">
      <alignment vertical="center"/>
    </xf>
    <xf numFmtId="41" fontId="4" fillId="0" borderId="1" xfId="1" applyFont="1" applyFill="1" applyBorder="1" applyAlignment="1">
      <alignment horizontal="right" vertical="center"/>
    </xf>
    <xf numFmtId="164" fontId="3" fillId="0" borderId="1" xfId="2" applyNumberFormat="1" applyFont="1" applyFill="1" applyBorder="1" applyAlignment="1">
      <alignment horizontal="center" vertical="center"/>
    </xf>
    <xf numFmtId="41" fontId="4" fillId="0" borderId="13" xfId="1" applyFont="1" applyFill="1" applyBorder="1" applyAlignment="1">
      <alignment horizontal="right" vertical="center"/>
    </xf>
    <xf numFmtId="164" fontId="3" fillId="0" borderId="13" xfId="2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3" xfId="0" applyFont="1" applyBorder="1"/>
    <xf numFmtId="41" fontId="10" fillId="5" borderId="27" xfId="1" applyFont="1" applyFill="1" applyBorder="1" applyAlignment="1">
      <alignment horizontal="right" vertical="center"/>
    </xf>
    <xf numFmtId="0" fontId="3" fillId="0" borderId="2" xfId="0" applyFont="1" applyBorder="1"/>
    <xf numFmtId="41" fontId="4" fillId="0" borderId="2" xfId="1" applyFont="1" applyFill="1" applyBorder="1" applyAlignment="1">
      <alignment horizontal="right" vertical="center"/>
    </xf>
    <xf numFmtId="164" fontId="3" fillId="0" borderId="2" xfId="2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41" fontId="3" fillId="2" borderId="13" xfId="1" applyFont="1" applyFill="1" applyBorder="1" applyAlignment="1">
      <alignment horizontal="center" vertical="center"/>
    </xf>
    <xf numFmtId="41" fontId="3" fillId="2" borderId="13" xfId="1" applyFont="1" applyFill="1" applyBorder="1" applyAlignment="1">
      <alignment horizontal="left"/>
    </xf>
    <xf numFmtId="0" fontId="3" fillId="2" borderId="2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41" fontId="3" fillId="2" borderId="2" xfId="1" applyFont="1" applyFill="1" applyBorder="1" applyAlignment="1">
      <alignment horizontal="left"/>
    </xf>
    <xf numFmtId="0" fontId="10" fillId="5" borderId="23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/>
    </xf>
    <xf numFmtId="41" fontId="10" fillId="5" borderId="23" xfId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41" fontId="3" fillId="0" borderId="10" xfId="1" applyFont="1" applyFill="1" applyBorder="1" applyAlignment="1">
      <alignment horizontal="center" vertical="center"/>
    </xf>
    <xf numFmtId="41" fontId="3" fillId="0" borderId="10" xfId="1" applyFont="1" applyFill="1" applyBorder="1" applyAlignment="1">
      <alignment horizontal="left"/>
    </xf>
    <xf numFmtId="164" fontId="3" fillId="0" borderId="10" xfId="2" applyNumberFormat="1" applyFont="1" applyBorder="1"/>
    <xf numFmtId="164" fontId="3" fillId="0" borderId="13" xfId="2" applyNumberFormat="1" applyFont="1" applyBorder="1"/>
    <xf numFmtId="164" fontId="3" fillId="0" borderId="15" xfId="2" applyNumberFormat="1" applyFont="1" applyFill="1" applyBorder="1" applyAlignment="1">
      <alignment vertical="center"/>
    </xf>
    <xf numFmtId="164" fontId="3" fillId="0" borderId="16" xfId="2" applyNumberFormat="1" applyFont="1" applyFill="1" applyBorder="1" applyAlignment="1">
      <alignment vertical="center"/>
    </xf>
    <xf numFmtId="164" fontId="3" fillId="0" borderId="17" xfId="2" applyNumberFormat="1" applyFont="1" applyFill="1" applyBorder="1" applyAlignment="1">
      <alignment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3" applyNumberFormat="1" applyFont="1" applyBorder="1" applyAlignment="1">
      <alignment horizontal="center" vertical="center"/>
    </xf>
    <xf numFmtId="8" fontId="7" fillId="0" borderId="1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6" fontId="0" fillId="0" borderId="23" xfId="3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44" fontId="0" fillId="0" borderId="1" xfId="3" applyFont="1" applyBorder="1" applyAlignment="1">
      <alignment horizontal="center" vertical="center"/>
    </xf>
    <xf numFmtId="8" fontId="0" fillId="0" borderId="12" xfId="0" applyNumberFormat="1" applyBorder="1" applyAlignment="1">
      <alignment horizontal="center" vertical="center"/>
    </xf>
    <xf numFmtId="44" fontId="0" fillId="2" borderId="1" xfId="3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0" fillId="0" borderId="23" xfId="2" applyNumberFormat="1" applyFont="1" applyBorder="1" applyAlignment="1">
      <alignment horizontal="center" vertical="center"/>
    </xf>
    <xf numFmtId="44" fontId="0" fillId="0" borderId="23" xfId="3" applyFont="1" applyBorder="1" applyAlignment="1">
      <alignment horizontal="center" vertical="center"/>
    </xf>
    <xf numFmtId="8" fontId="0" fillId="0" borderId="36" xfId="0" applyNumberFormat="1" applyBorder="1" applyAlignment="1">
      <alignment horizontal="center" vertical="center"/>
    </xf>
    <xf numFmtId="164" fontId="3" fillId="2" borderId="26" xfId="2" applyNumberFormat="1" applyFont="1" applyFill="1" applyBorder="1" applyAlignment="1">
      <alignment horizontal="center" vertical="center"/>
    </xf>
    <xf numFmtId="164" fontId="3" fillId="2" borderId="15" xfId="2" applyNumberFormat="1" applyFont="1" applyFill="1" applyBorder="1" applyAlignment="1">
      <alignment horizontal="center" vertical="center"/>
    </xf>
    <xf numFmtId="164" fontId="3" fillId="2" borderId="38" xfId="2" applyNumberFormat="1" applyFont="1" applyFill="1" applyBorder="1" applyAlignment="1">
      <alignment horizontal="center" vertical="center"/>
    </xf>
    <xf numFmtId="164" fontId="3" fillId="2" borderId="19" xfId="2" applyNumberFormat="1" applyFont="1" applyFill="1" applyBorder="1" applyAlignment="1">
      <alignment horizontal="center" vertical="center"/>
    </xf>
    <xf numFmtId="164" fontId="3" fillId="2" borderId="16" xfId="2" applyNumberFormat="1" applyFont="1" applyFill="1" applyBorder="1" applyAlignment="1">
      <alignment horizontal="center" vertical="center"/>
    </xf>
    <xf numFmtId="164" fontId="3" fillId="2" borderId="39" xfId="2" applyNumberFormat="1" applyFont="1" applyFill="1" applyBorder="1" applyAlignment="1">
      <alignment horizontal="center" vertical="center"/>
    </xf>
    <xf numFmtId="164" fontId="3" fillId="2" borderId="35" xfId="2" applyNumberFormat="1" applyFont="1" applyFill="1" applyBorder="1" applyAlignment="1">
      <alignment horizontal="center" vertical="center"/>
    </xf>
    <xf numFmtId="164" fontId="3" fillId="2" borderId="17" xfId="2" applyNumberFormat="1" applyFont="1" applyFill="1" applyBorder="1" applyAlignment="1">
      <alignment horizontal="center" vertical="center"/>
    </xf>
    <xf numFmtId="164" fontId="3" fillId="2" borderId="40" xfId="2" applyNumberFormat="1" applyFont="1" applyFill="1" applyBorder="1" applyAlignment="1">
      <alignment horizontal="center" vertical="center"/>
    </xf>
    <xf numFmtId="164" fontId="0" fillId="0" borderId="2" xfId="2" applyNumberFormat="1" applyFont="1" applyBorder="1" applyAlignment="1">
      <alignment horizontal="center" vertical="center"/>
    </xf>
    <xf numFmtId="166" fontId="0" fillId="0" borderId="2" xfId="3" applyNumberFormat="1" applyFont="1" applyBorder="1" applyAlignment="1">
      <alignment horizontal="center" vertical="center"/>
    </xf>
    <xf numFmtId="44" fontId="0" fillId="0" borderId="2" xfId="3" applyFont="1" applyBorder="1" applyAlignment="1">
      <alignment horizontal="center" vertical="center"/>
    </xf>
    <xf numFmtId="8" fontId="7" fillId="0" borderId="2" xfId="0" applyNumberFormat="1" applyFont="1" applyBorder="1" applyAlignment="1">
      <alignment horizontal="center" vertical="center"/>
    </xf>
    <xf numFmtId="8" fontId="0" fillId="0" borderId="24" xfId="0" applyNumberFormat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13" fillId="5" borderId="16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7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 wrapText="1"/>
    </xf>
    <xf numFmtId="0" fontId="10" fillId="5" borderId="19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41" fontId="10" fillId="5" borderId="18" xfId="1" applyFont="1" applyFill="1" applyBorder="1" applyAlignment="1">
      <alignment horizontal="center" vertical="center" wrapText="1"/>
    </xf>
    <xf numFmtId="41" fontId="10" fillId="5" borderId="19" xfId="1" applyFont="1" applyFill="1" applyBorder="1" applyAlignment="1">
      <alignment horizontal="center" vertical="center" wrapText="1"/>
    </xf>
    <xf numFmtId="0" fontId="10" fillId="5" borderId="28" xfId="0" applyFont="1" applyFill="1" applyBorder="1" applyAlignment="1">
      <alignment horizontal="center" vertical="center" wrapText="1"/>
    </xf>
    <xf numFmtId="0" fontId="10" fillId="5" borderId="26" xfId="0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0" fillId="5" borderId="16" xfId="0" applyFont="1" applyFill="1" applyBorder="1" applyAlignment="1">
      <alignment horizontal="center" vertical="center" wrapText="1"/>
    </xf>
    <xf numFmtId="41" fontId="10" fillId="5" borderId="1" xfId="1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 wrapText="1"/>
    </xf>
    <xf numFmtId="0" fontId="10" fillId="5" borderId="23" xfId="0" applyFont="1" applyFill="1" applyBorder="1" applyAlignment="1">
      <alignment horizontal="center" vertical="center"/>
    </xf>
    <xf numFmtId="0" fontId="10" fillId="5" borderId="36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41" fontId="10" fillId="5" borderId="15" xfId="1" applyFont="1" applyFill="1" applyBorder="1" applyAlignment="1">
      <alignment horizontal="center" vertical="center"/>
    </xf>
    <xf numFmtId="41" fontId="10" fillId="5" borderId="10" xfId="1" applyFont="1" applyFill="1" applyBorder="1" applyAlignment="1">
      <alignment horizontal="center" vertical="center"/>
    </xf>
    <xf numFmtId="41" fontId="10" fillId="5" borderId="16" xfId="1" applyFont="1" applyFill="1" applyBorder="1" applyAlignment="1">
      <alignment horizontal="center" vertical="center"/>
    </xf>
    <xf numFmtId="41" fontId="10" fillId="5" borderId="1" xfId="1" applyFont="1" applyFill="1" applyBorder="1" applyAlignment="1">
      <alignment horizontal="center" vertical="center"/>
    </xf>
    <xf numFmtId="41" fontId="10" fillId="5" borderId="17" xfId="1" applyFont="1" applyFill="1" applyBorder="1" applyAlignment="1">
      <alignment horizontal="center" vertical="center"/>
    </xf>
    <xf numFmtId="41" fontId="10" fillId="5" borderId="13" xfId="1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44" fontId="5" fillId="4" borderId="4" xfId="2" applyFont="1" applyFill="1" applyBorder="1" applyAlignment="1">
      <alignment horizontal="center"/>
    </xf>
    <xf numFmtId="44" fontId="5" fillId="4" borderId="5" xfId="2" applyFont="1" applyFill="1" applyBorder="1" applyAlignment="1">
      <alignment horizontal="center"/>
    </xf>
  </cellXfs>
  <cellStyles count="4">
    <cellStyle name="Millares [0]" xfId="1" builtinId="6"/>
    <cellStyle name="Moneda" xfId="2" builtinId="4"/>
    <cellStyle name="Moneda 2" xfId="3" xr:uid="{44827C38-C998-4408-AC0D-5D601C0F3DF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997858</xdr:colOff>
      <xdr:row>1</xdr:row>
      <xdr:rowOff>90715</xdr:rowOff>
    </xdr:from>
    <xdr:to>
      <xdr:col>1</xdr:col>
      <xdr:colOff>112941</xdr:colOff>
      <xdr:row>2</xdr:row>
      <xdr:rowOff>174838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E6F45A8-1B21-49B9-A1D5-BDB9FCEA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3" t="37529" r="24069" b="38277"/>
        <a:stretch>
          <a:fillRect/>
        </a:stretch>
      </xdr:blipFill>
      <xdr:spPr bwMode="auto">
        <a:xfrm>
          <a:off x="997858" y="272144"/>
          <a:ext cx="1509940" cy="72819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874059</xdr:colOff>
      <xdr:row>0</xdr:row>
      <xdr:rowOff>97117</xdr:rowOff>
    </xdr:from>
    <xdr:to>
      <xdr:col>1</xdr:col>
      <xdr:colOff>658293</xdr:colOff>
      <xdr:row>1</xdr:row>
      <xdr:rowOff>89646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30AA8E28-5B0A-4842-B6A1-879BBD84C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3" t="37529" r="24069" b="38277"/>
        <a:stretch>
          <a:fillRect/>
        </a:stretch>
      </xdr:blipFill>
      <xdr:spPr bwMode="auto">
        <a:xfrm>
          <a:off x="874059" y="97117"/>
          <a:ext cx="1509940" cy="6723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473363</xdr:colOff>
      <xdr:row>0</xdr:row>
      <xdr:rowOff>161638</xdr:rowOff>
    </xdr:from>
    <xdr:to>
      <xdr:col>2</xdr:col>
      <xdr:colOff>55213</xdr:colOff>
      <xdr:row>1</xdr:row>
      <xdr:rowOff>415638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29A56C82-FA68-4AE0-A060-3E1E9052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3" t="37529" r="24069" b="38277"/>
        <a:stretch>
          <a:fillRect/>
        </a:stretch>
      </xdr:blipFill>
      <xdr:spPr bwMode="auto">
        <a:xfrm>
          <a:off x="473363" y="161638"/>
          <a:ext cx="2133395" cy="1050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609600</xdr:colOff>
      <xdr:row>0</xdr:row>
      <xdr:rowOff>12700</xdr:rowOff>
    </xdr:from>
    <xdr:to>
      <xdr:col>1</xdr:col>
      <xdr:colOff>2343150</xdr:colOff>
      <xdr:row>1</xdr:row>
      <xdr:rowOff>673100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5D4FA519-BFA1-44CA-9534-9A908F95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93" t="37529" r="24069" b="38277"/>
        <a:stretch>
          <a:fillRect/>
        </a:stretch>
      </xdr:blipFill>
      <xdr:spPr bwMode="auto">
        <a:xfrm>
          <a:off x="1219200" y="12700"/>
          <a:ext cx="1733550" cy="85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193A-6DAF-4AB7-8ABD-5F02D7F9D857}">
  <dimension ref="A1:Q72"/>
  <sheetViews>
    <sheetView topLeftCell="A22" zoomScale="70" zoomScaleNormal="70" workbookViewId="0">
      <selection activeCell="D2" sqref="D2:Q2"/>
    </sheetView>
  </sheetViews>
  <sheetFormatPr baseColWidth="10" defaultColWidth="11.44140625" defaultRowHeight="13.8" x14ac:dyDescent="0.25"/>
  <cols>
    <col min="1" max="1" width="34.21875" style="1" customWidth="1"/>
    <col min="2" max="2" width="11.44140625" style="1"/>
    <col min="3" max="3" width="11.44140625" style="12"/>
    <col min="4" max="4" width="13.21875" style="1" customWidth="1"/>
    <col min="5" max="6" width="13.77734375" style="1" customWidth="1"/>
    <col min="7" max="7" width="14.77734375" style="1" customWidth="1"/>
    <col min="8" max="8" width="14.21875" style="1" customWidth="1"/>
    <col min="9" max="9" width="14.77734375" style="1" customWidth="1"/>
    <col min="10" max="10" width="11.44140625" style="1" customWidth="1"/>
    <col min="11" max="11" width="15.21875" style="1" customWidth="1"/>
    <col min="12" max="18" width="11.44140625" style="1" customWidth="1"/>
    <col min="19" max="16384" width="11.44140625" style="1"/>
  </cols>
  <sheetData>
    <row r="1" spans="1:17" ht="14.4" thickBot="1" x14ac:dyDescent="0.3"/>
    <row r="2" spans="1:17" ht="50.55" customHeight="1" thickBot="1" x14ac:dyDescent="0.3">
      <c r="A2" s="180"/>
      <c r="B2" s="181"/>
      <c r="C2" s="182"/>
      <c r="D2" s="177" t="s">
        <v>286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9"/>
    </row>
    <row r="3" spans="1:17" ht="17.100000000000001" customHeight="1" thickBot="1" x14ac:dyDescent="0.3">
      <c r="A3" s="183"/>
      <c r="B3" s="184"/>
      <c r="C3" s="185"/>
      <c r="D3" s="174" t="s">
        <v>277</v>
      </c>
      <c r="E3" s="175"/>
      <c r="F3" s="176" t="s">
        <v>273</v>
      </c>
      <c r="G3" s="175"/>
      <c r="H3" s="176" t="s">
        <v>273</v>
      </c>
      <c r="I3" s="175"/>
      <c r="J3" s="165" t="s">
        <v>278</v>
      </c>
      <c r="K3" s="165"/>
      <c r="L3" s="165" t="s">
        <v>280</v>
      </c>
      <c r="M3" s="165"/>
      <c r="N3" s="165" t="s">
        <v>281</v>
      </c>
      <c r="O3" s="165"/>
      <c r="P3" s="165" t="s">
        <v>282</v>
      </c>
      <c r="Q3" s="167"/>
    </row>
    <row r="4" spans="1:17" ht="27" customHeight="1" x14ac:dyDescent="0.25">
      <c r="A4" s="163" t="s">
        <v>0</v>
      </c>
      <c r="B4" s="165" t="s">
        <v>1</v>
      </c>
      <c r="C4" s="167" t="s">
        <v>2</v>
      </c>
      <c r="D4" s="169" t="s">
        <v>45</v>
      </c>
      <c r="E4" s="170"/>
      <c r="F4" s="171" t="s">
        <v>140</v>
      </c>
      <c r="G4" s="170"/>
      <c r="H4" s="172" t="s">
        <v>141</v>
      </c>
      <c r="I4" s="173"/>
      <c r="J4" s="162" t="s">
        <v>145</v>
      </c>
      <c r="K4" s="162"/>
      <c r="L4" s="162" t="s">
        <v>279</v>
      </c>
      <c r="M4" s="162"/>
      <c r="N4" s="162" t="s">
        <v>289</v>
      </c>
      <c r="O4" s="162"/>
      <c r="P4" s="162" t="s">
        <v>287</v>
      </c>
      <c r="Q4" s="186"/>
    </row>
    <row r="5" spans="1:17" ht="17.100000000000001" customHeight="1" thickBot="1" x14ac:dyDescent="0.3">
      <c r="A5" s="164"/>
      <c r="B5" s="166"/>
      <c r="C5" s="168"/>
      <c r="D5" s="67" t="s">
        <v>3</v>
      </c>
      <c r="E5" s="68" t="s">
        <v>4</v>
      </c>
      <c r="F5" s="68" t="s">
        <v>3</v>
      </c>
      <c r="G5" s="68" t="s">
        <v>4</v>
      </c>
      <c r="H5" s="69" t="s">
        <v>3</v>
      </c>
      <c r="I5" s="69" t="s">
        <v>4</v>
      </c>
      <c r="J5" s="68" t="s">
        <v>3</v>
      </c>
      <c r="K5" s="68" t="s">
        <v>4</v>
      </c>
      <c r="L5" s="68" t="s">
        <v>3</v>
      </c>
      <c r="M5" s="68" t="s">
        <v>4</v>
      </c>
      <c r="N5" s="68" t="s">
        <v>3</v>
      </c>
      <c r="O5" s="68" t="s">
        <v>4</v>
      </c>
      <c r="P5" s="68" t="s">
        <v>3</v>
      </c>
      <c r="Q5" s="70" t="s">
        <v>4</v>
      </c>
    </row>
    <row r="6" spans="1:17" ht="17.100000000000001" customHeight="1" x14ac:dyDescent="0.25">
      <c r="A6" s="71" t="s">
        <v>107</v>
      </c>
      <c r="B6" s="72" t="s">
        <v>104</v>
      </c>
      <c r="C6" s="73">
        <v>1</v>
      </c>
      <c r="D6" s="30"/>
      <c r="E6" s="64">
        <f t="shared" ref="E6:E37" si="0">C6*D6</f>
        <v>0</v>
      </c>
      <c r="F6" s="64">
        <v>0</v>
      </c>
      <c r="G6" s="64">
        <f t="shared" ref="G6:G37" si="1">C6*F6</f>
        <v>0</v>
      </c>
      <c r="H6" s="65">
        <v>0</v>
      </c>
      <c r="I6" s="64">
        <f t="shared" ref="I6:I37" si="2">C6*H6</f>
        <v>0</v>
      </c>
      <c r="J6" s="30">
        <v>64774</v>
      </c>
      <c r="K6" s="64">
        <f t="shared" ref="K6:K37" si="3">C6*J6</f>
        <v>64774</v>
      </c>
      <c r="L6" s="30">
        <v>0</v>
      </c>
      <c r="M6" s="64">
        <f t="shared" ref="M6:M37" si="4">C6*L6</f>
        <v>0</v>
      </c>
      <c r="N6" s="30">
        <f>17000/1.19</f>
        <v>14285.714285714286</v>
      </c>
      <c r="O6" s="64">
        <f t="shared" ref="O6:O37" si="5">C6*N6</f>
        <v>14285.714285714286</v>
      </c>
      <c r="P6" s="30">
        <v>189076</v>
      </c>
      <c r="Q6" s="66">
        <f t="shared" ref="Q6:Q37" si="6">P6*C6</f>
        <v>189076</v>
      </c>
    </row>
    <row r="7" spans="1:17" ht="17.100000000000001" customHeight="1" x14ac:dyDescent="0.25">
      <c r="A7" s="57" t="s">
        <v>89</v>
      </c>
      <c r="B7" s="2" t="s">
        <v>90</v>
      </c>
      <c r="C7" s="3">
        <v>1</v>
      </c>
      <c r="D7" s="4">
        <v>7576</v>
      </c>
      <c r="E7" s="4">
        <f t="shared" si="0"/>
        <v>7576</v>
      </c>
      <c r="F7" s="4">
        <v>0</v>
      </c>
      <c r="G7" s="4">
        <f t="shared" si="1"/>
        <v>0</v>
      </c>
      <c r="H7" s="4">
        <v>8500</v>
      </c>
      <c r="I7" s="4">
        <f t="shared" si="2"/>
        <v>8500</v>
      </c>
      <c r="J7" s="7">
        <v>6368</v>
      </c>
      <c r="K7" s="4">
        <f t="shared" si="3"/>
        <v>6368</v>
      </c>
      <c r="L7" s="7">
        <v>0</v>
      </c>
      <c r="M7" s="4">
        <f t="shared" si="4"/>
        <v>0</v>
      </c>
      <c r="N7" s="7">
        <f>6500/1.19</f>
        <v>5462.1848739495799</v>
      </c>
      <c r="O7" s="4">
        <f t="shared" si="5"/>
        <v>5462.1848739495799</v>
      </c>
      <c r="P7" s="7">
        <v>5587</v>
      </c>
      <c r="Q7" s="58">
        <f t="shared" si="6"/>
        <v>5587</v>
      </c>
    </row>
    <row r="8" spans="1:17" ht="17.100000000000001" customHeight="1" x14ac:dyDescent="0.25">
      <c r="A8" s="57" t="s">
        <v>91</v>
      </c>
      <c r="B8" s="2" t="s">
        <v>134</v>
      </c>
      <c r="C8" s="3">
        <v>1</v>
      </c>
      <c r="D8" s="4">
        <v>317563</v>
      </c>
      <c r="E8" s="4">
        <f t="shared" si="0"/>
        <v>317563</v>
      </c>
      <c r="F8" s="4">
        <v>6800</v>
      </c>
      <c r="G8" s="4">
        <f t="shared" si="1"/>
        <v>6800</v>
      </c>
      <c r="H8" s="4">
        <v>0</v>
      </c>
      <c r="I8" s="4">
        <f t="shared" si="2"/>
        <v>0</v>
      </c>
      <c r="J8" s="7">
        <v>4622</v>
      </c>
      <c r="K8" s="4">
        <f t="shared" si="3"/>
        <v>4622</v>
      </c>
      <c r="L8" s="7">
        <v>0</v>
      </c>
      <c r="M8" s="4">
        <f t="shared" si="4"/>
        <v>0</v>
      </c>
      <c r="N8" s="7"/>
      <c r="O8" s="4">
        <f t="shared" si="5"/>
        <v>0</v>
      </c>
      <c r="P8" s="7">
        <v>248449</v>
      </c>
      <c r="Q8" s="58">
        <f t="shared" si="6"/>
        <v>248449</v>
      </c>
    </row>
    <row r="9" spans="1:17" ht="17.100000000000001" customHeight="1" x14ac:dyDescent="0.25">
      <c r="A9" s="57" t="s">
        <v>94</v>
      </c>
      <c r="B9" s="2" t="s">
        <v>97</v>
      </c>
      <c r="C9" s="3">
        <v>1</v>
      </c>
      <c r="D9" s="4">
        <v>0</v>
      </c>
      <c r="E9" s="4">
        <f t="shared" si="0"/>
        <v>0</v>
      </c>
      <c r="F9" s="4">
        <v>0</v>
      </c>
      <c r="G9" s="4">
        <f t="shared" si="1"/>
        <v>0</v>
      </c>
      <c r="H9" s="4">
        <v>0</v>
      </c>
      <c r="I9" s="4">
        <f t="shared" si="2"/>
        <v>0</v>
      </c>
      <c r="J9" s="7">
        <v>5308</v>
      </c>
      <c r="K9" s="4">
        <f t="shared" si="3"/>
        <v>5308</v>
      </c>
      <c r="L9" s="7">
        <v>0</v>
      </c>
      <c r="M9" s="4">
        <f t="shared" si="4"/>
        <v>0</v>
      </c>
      <c r="N9" s="7">
        <f>3500/1.19</f>
        <v>2941.1764705882356</v>
      </c>
      <c r="O9" s="4">
        <f t="shared" si="5"/>
        <v>2941.1764705882356</v>
      </c>
      <c r="P9" s="7">
        <v>108739</v>
      </c>
      <c r="Q9" s="58">
        <f t="shared" si="6"/>
        <v>108739</v>
      </c>
    </row>
    <row r="10" spans="1:17" ht="17.100000000000001" customHeight="1" x14ac:dyDescent="0.25">
      <c r="A10" s="57" t="s">
        <v>93</v>
      </c>
      <c r="B10" s="2" t="s">
        <v>97</v>
      </c>
      <c r="C10" s="3">
        <v>1</v>
      </c>
      <c r="D10" s="4">
        <v>0</v>
      </c>
      <c r="E10" s="4">
        <f t="shared" si="0"/>
        <v>0</v>
      </c>
      <c r="F10" s="4">
        <v>0</v>
      </c>
      <c r="G10" s="4">
        <f t="shared" si="1"/>
        <v>0</v>
      </c>
      <c r="H10" s="4">
        <v>0</v>
      </c>
      <c r="I10" s="4">
        <f t="shared" si="2"/>
        <v>0</v>
      </c>
      <c r="J10" s="7">
        <v>5308</v>
      </c>
      <c r="K10" s="4">
        <f t="shared" si="3"/>
        <v>5308</v>
      </c>
      <c r="L10" s="7">
        <v>0</v>
      </c>
      <c r="M10" s="4">
        <f t="shared" si="4"/>
        <v>0</v>
      </c>
      <c r="N10" s="7">
        <f>3500/1.19</f>
        <v>2941.1764705882356</v>
      </c>
      <c r="O10" s="4">
        <f t="shared" si="5"/>
        <v>2941.1764705882356</v>
      </c>
      <c r="P10" s="7">
        <v>108739</v>
      </c>
      <c r="Q10" s="58">
        <f t="shared" si="6"/>
        <v>108739</v>
      </c>
    </row>
    <row r="11" spans="1:17" ht="17.100000000000001" customHeight="1" x14ac:dyDescent="0.25">
      <c r="A11" s="57" t="s">
        <v>9</v>
      </c>
      <c r="B11" s="2" t="s">
        <v>51</v>
      </c>
      <c r="C11" s="3">
        <v>1</v>
      </c>
      <c r="D11" s="4">
        <v>5798</v>
      </c>
      <c r="E11" s="4">
        <f t="shared" si="0"/>
        <v>5798</v>
      </c>
      <c r="F11" s="4">
        <v>3200</v>
      </c>
      <c r="G11" s="4">
        <f t="shared" si="1"/>
        <v>3200</v>
      </c>
      <c r="H11" s="4">
        <v>5000</v>
      </c>
      <c r="I11" s="4">
        <f t="shared" si="2"/>
        <v>5000</v>
      </c>
      <c r="J11" s="7">
        <v>5442</v>
      </c>
      <c r="K11" s="4">
        <f t="shared" si="3"/>
        <v>5442</v>
      </c>
      <c r="L11" s="7">
        <v>3177.3109243697481</v>
      </c>
      <c r="M11" s="4">
        <f t="shared" si="4"/>
        <v>3177.3109243697481</v>
      </c>
      <c r="N11" s="7">
        <f>7000/1.19</f>
        <v>5882.3529411764712</v>
      </c>
      <c r="O11" s="4">
        <f t="shared" si="5"/>
        <v>5882.3529411764712</v>
      </c>
      <c r="P11" s="7">
        <v>5266</v>
      </c>
      <c r="Q11" s="58">
        <f t="shared" si="6"/>
        <v>5266</v>
      </c>
    </row>
    <row r="12" spans="1:17" ht="17.100000000000001" customHeight="1" x14ac:dyDescent="0.25">
      <c r="A12" s="57" t="s">
        <v>10</v>
      </c>
      <c r="B12" s="2" t="s">
        <v>51</v>
      </c>
      <c r="C12" s="3">
        <v>1</v>
      </c>
      <c r="D12" s="4">
        <v>9159.6638655462193</v>
      </c>
      <c r="E12" s="4">
        <f t="shared" si="0"/>
        <v>9159.6638655462193</v>
      </c>
      <c r="F12" s="4">
        <v>5700</v>
      </c>
      <c r="G12" s="4">
        <f t="shared" si="1"/>
        <v>5700</v>
      </c>
      <c r="H12" s="4">
        <v>8000</v>
      </c>
      <c r="I12" s="4">
        <f t="shared" si="2"/>
        <v>8000</v>
      </c>
      <c r="J12" s="7">
        <v>9429</v>
      </c>
      <c r="K12" s="4">
        <f t="shared" si="3"/>
        <v>9429</v>
      </c>
      <c r="L12" s="7">
        <v>7891.5966386554628</v>
      </c>
      <c r="M12" s="4">
        <f t="shared" si="4"/>
        <v>7891.5966386554628</v>
      </c>
      <c r="N12" s="7">
        <f>11000/1.19</f>
        <v>9243.6974789915967</v>
      </c>
      <c r="O12" s="4">
        <f t="shared" si="5"/>
        <v>9243.6974789915967</v>
      </c>
      <c r="P12" s="7">
        <v>7828</v>
      </c>
      <c r="Q12" s="58">
        <f t="shared" si="6"/>
        <v>7828</v>
      </c>
    </row>
    <row r="13" spans="1:17" ht="17.100000000000001" customHeight="1" x14ac:dyDescent="0.25">
      <c r="A13" s="57" t="s">
        <v>46</v>
      </c>
      <c r="B13" s="2" t="s">
        <v>51</v>
      </c>
      <c r="C13" s="3">
        <v>1</v>
      </c>
      <c r="D13" s="4">
        <v>11680.672268907563</v>
      </c>
      <c r="E13" s="4">
        <f t="shared" si="0"/>
        <v>11680.672268907563</v>
      </c>
      <c r="F13" s="4">
        <v>7600</v>
      </c>
      <c r="G13" s="4">
        <f t="shared" si="1"/>
        <v>7600</v>
      </c>
      <c r="H13" s="4">
        <v>10000</v>
      </c>
      <c r="I13" s="4">
        <f t="shared" si="2"/>
        <v>10000</v>
      </c>
      <c r="J13" s="7">
        <v>13441</v>
      </c>
      <c r="K13" s="4">
        <f t="shared" si="3"/>
        <v>13441</v>
      </c>
      <c r="L13" s="7">
        <v>12605.042016806723</v>
      </c>
      <c r="M13" s="4">
        <f t="shared" si="4"/>
        <v>12605.042016806723</v>
      </c>
      <c r="N13" s="7">
        <f>15500/1.19</f>
        <v>13025.210084033613</v>
      </c>
      <c r="O13" s="4">
        <f t="shared" si="5"/>
        <v>13025.210084033613</v>
      </c>
      <c r="P13" s="7">
        <v>10256</v>
      </c>
      <c r="Q13" s="58">
        <f t="shared" si="6"/>
        <v>10256</v>
      </c>
    </row>
    <row r="14" spans="1:17" ht="17.100000000000001" customHeight="1" x14ac:dyDescent="0.25">
      <c r="A14" s="57" t="s">
        <v>95</v>
      </c>
      <c r="B14" s="2" t="s">
        <v>90</v>
      </c>
      <c r="C14" s="3">
        <v>1</v>
      </c>
      <c r="D14" s="4">
        <v>32858.823529411762</v>
      </c>
      <c r="E14" s="4">
        <f t="shared" si="0"/>
        <v>32858.823529411762</v>
      </c>
      <c r="F14" s="4">
        <v>0</v>
      </c>
      <c r="G14" s="4">
        <f t="shared" si="1"/>
        <v>0</v>
      </c>
      <c r="H14" s="4">
        <v>3500</v>
      </c>
      <c r="I14" s="4">
        <f t="shared" si="2"/>
        <v>3500</v>
      </c>
      <c r="J14" s="7">
        <v>3190</v>
      </c>
      <c r="K14" s="4">
        <f t="shared" si="3"/>
        <v>3190</v>
      </c>
      <c r="L14" s="7">
        <v>0</v>
      </c>
      <c r="M14" s="4">
        <f t="shared" si="4"/>
        <v>0</v>
      </c>
      <c r="N14" s="7">
        <f>3000/1.19</f>
        <v>2521.0084033613448</v>
      </c>
      <c r="O14" s="4">
        <f t="shared" si="5"/>
        <v>2521.0084033613448</v>
      </c>
      <c r="P14" s="7">
        <v>2101</v>
      </c>
      <c r="Q14" s="58">
        <f t="shared" si="6"/>
        <v>2101</v>
      </c>
    </row>
    <row r="15" spans="1:17" ht="17.100000000000001" customHeight="1" x14ac:dyDescent="0.25">
      <c r="A15" s="57" t="s">
        <v>96</v>
      </c>
      <c r="B15" s="2" t="s">
        <v>97</v>
      </c>
      <c r="C15" s="3">
        <v>1</v>
      </c>
      <c r="D15" s="4">
        <v>28151.26050420168</v>
      </c>
      <c r="E15" s="4">
        <f t="shared" si="0"/>
        <v>28151.26050420168</v>
      </c>
      <c r="F15" s="4">
        <v>0</v>
      </c>
      <c r="G15" s="4">
        <f t="shared" si="1"/>
        <v>0</v>
      </c>
      <c r="H15" s="4">
        <v>39000</v>
      </c>
      <c r="I15" s="4">
        <f t="shared" si="2"/>
        <v>39000</v>
      </c>
      <c r="J15" s="7">
        <v>28481</v>
      </c>
      <c r="K15" s="4">
        <f t="shared" si="3"/>
        <v>28481</v>
      </c>
      <c r="L15" s="7">
        <v>24369.747899159665</v>
      </c>
      <c r="M15" s="4">
        <f t="shared" si="4"/>
        <v>24369.747899159665</v>
      </c>
      <c r="N15" s="7">
        <f>28500/1.19</f>
        <v>23949.579831932773</v>
      </c>
      <c r="O15" s="4">
        <f t="shared" si="5"/>
        <v>23949.579831932773</v>
      </c>
      <c r="P15" s="7">
        <v>24244</v>
      </c>
      <c r="Q15" s="58">
        <f t="shared" si="6"/>
        <v>24244</v>
      </c>
    </row>
    <row r="16" spans="1:17" ht="17.100000000000001" customHeight="1" x14ac:dyDescent="0.25">
      <c r="A16" s="57" t="s">
        <v>11</v>
      </c>
      <c r="B16" s="2" t="s">
        <v>51</v>
      </c>
      <c r="C16" s="3">
        <v>1</v>
      </c>
      <c r="D16" s="4">
        <v>0</v>
      </c>
      <c r="E16" s="4">
        <f t="shared" si="0"/>
        <v>0</v>
      </c>
      <c r="F16" s="4">
        <v>0</v>
      </c>
      <c r="G16" s="4">
        <f t="shared" si="1"/>
        <v>0</v>
      </c>
      <c r="H16" s="4">
        <v>0</v>
      </c>
      <c r="I16" s="4">
        <f t="shared" si="2"/>
        <v>0</v>
      </c>
      <c r="J16" s="7">
        <v>630</v>
      </c>
      <c r="K16" s="4">
        <f t="shared" si="3"/>
        <v>630</v>
      </c>
      <c r="L16" s="7">
        <v>0</v>
      </c>
      <c r="M16" s="4">
        <f t="shared" si="4"/>
        <v>0</v>
      </c>
      <c r="N16" s="7">
        <f>1200/1.19</f>
        <v>1008.4033613445379</v>
      </c>
      <c r="O16" s="4">
        <f t="shared" si="5"/>
        <v>1008.4033613445379</v>
      </c>
      <c r="P16" s="7">
        <v>0</v>
      </c>
      <c r="Q16" s="58">
        <f t="shared" si="6"/>
        <v>0</v>
      </c>
    </row>
    <row r="17" spans="1:17" ht="17.100000000000001" customHeight="1" x14ac:dyDescent="0.25">
      <c r="A17" s="57" t="s">
        <v>12</v>
      </c>
      <c r="B17" s="2" t="s">
        <v>51</v>
      </c>
      <c r="C17" s="3">
        <v>1</v>
      </c>
      <c r="D17" s="4">
        <v>13361.210924369749</v>
      </c>
      <c r="E17" s="4">
        <f t="shared" si="0"/>
        <v>13361.210924369749</v>
      </c>
      <c r="F17" s="4">
        <v>0</v>
      </c>
      <c r="G17" s="4">
        <f t="shared" si="1"/>
        <v>0</v>
      </c>
      <c r="H17" s="4">
        <v>25</v>
      </c>
      <c r="I17" s="4">
        <f t="shared" si="2"/>
        <v>25</v>
      </c>
      <c r="J17" s="7">
        <v>101</v>
      </c>
      <c r="K17" s="4">
        <f t="shared" si="3"/>
        <v>101</v>
      </c>
      <c r="L17" s="7">
        <v>0</v>
      </c>
      <c r="M17" s="4">
        <f t="shared" si="4"/>
        <v>0</v>
      </c>
      <c r="N17" s="7">
        <f>150/1.19</f>
        <v>126.05042016806723</v>
      </c>
      <c r="O17" s="4">
        <f t="shared" si="5"/>
        <v>126.05042016806723</v>
      </c>
      <c r="P17" s="7">
        <v>0</v>
      </c>
      <c r="Q17" s="58">
        <f t="shared" si="6"/>
        <v>0</v>
      </c>
    </row>
    <row r="18" spans="1:17" ht="17.100000000000001" customHeight="1" x14ac:dyDescent="0.25">
      <c r="A18" s="57" t="s">
        <v>13</v>
      </c>
      <c r="B18" s="2" t="s">
        <v>51</v>
      </c>
      <c r="C18" s="3">
        <v>1</v>
      </c>
      <c r="D18" s="4">
        <v>19243.505042016808</v>
      </c>
      <c r="E18" s="4">
        <f t="shared" si="0"/>
        <v>19243.505042016808</v>
      </c>
      <c r="F18" s="4">
        <v>0</v>
      </c>
      <c r="G18" s="4">
        <f t="shared" si="1"/>
        <v>0</v>
      </c>
      <c r="H18" s="4">
        <v>35</v>
      </c>
      <c r="I18" s="4">
        <f t="shared" si="2"/>
        <v>35</v>
      </c>
      <c r="J18" s="7">
        <v>118</v>
      </c>
      <c r="K18" s="4">
        <f t="shared" si="3"/>
        <v>118</v>
      </c>
      <c r="L18" s="7">
        <v>0</v>
      </c>
      <c r="M18" s="4">
        <f t="shared" si="4"/>
        <v>0</v>
      </c>
      <c r="N18" s="7">
        <f>200/1.19</f>
        <v>168.0672268907563</v>
      </c>
      <c r="O18" s="4">
        <f t="shared" si="5"/>
        <v>168.0672268907563</v>
      </c>
      <c r="P18" s="7">
        <v>0</v>
      </c>
      <c r="Q18" s="58">
        <f t="shared" si="6"/>
        <v>0</v>
      </c>
    </row>
    <row r="19" spans="1:17" ht="17.100000000000001" customHeight="1" x14ac:dyDescent="0.25">
      <c r="A19" s="57" t="s">
        <v>14</v>
      </c>
      <c r="B19" s="2" t="s">
        <v>98</v>
      </c>
      <c r="C19" s="3">
        <v>1</v>
      </c>
      <c r="D19" s="4">
        <v>79747.101680672276</v>
      </c>
      <c r="E19" s="4">
        <f t="shared" si="0"/>
        <v>79747.101680672276</v>
      </c>
      <c r="F19" s="4">
        <v>0</v>
      </c>
      <c r="G19" s="4">
        <f t="shared" si="1"/>
        <v>0</v>
      </c>
      <c r="H19" s="4">
        <v>0</v>
      </c>
      <c r="I19" s="4">
        <f t="shared" si="2"/>
        <v>0</v>
      </c>
      <c r="J19" s="7">
        <v>0</v>
      </c>
      <c r="K19" s="4">
        <f t="shared" si="3"/>
        <v>0</v>
      </c>
      <c r="L19" s="7">
        <v>0</v>
      </c>
      <c r="M19" s="4">
        <f t="shared" si="4"/>
        <v>0</v>
      </c>
      <c r="N19" s="7">
        <f>15000/1.19</f>
        <v>12605.042016806723</v>
      </c>
      <c r="O19" s="4">
        <f t="shared" si="5"/>
        <v>12605.042016806723</v>
      </c>
      <c r="P19" s="7">
        <v>39900</v>
      </c>
      <c r="Q19" s="58">
        <f t="shared" si="6"/>
        <v>39900</v>
      </c>
    </row>
    <row r="20" spans="1:17" ht="16.5" customHeight="1" x14ac:dyDescent="0.25">
      <c r="A20" s="57" t="s">
        <v>15</v>
      </c>
      <c r="B20" s="2" t="s">
        <v>98</v>
      </c>
      <c r="C20" s="3">
        <v>1</v>
      </c>
      <c r="D20" s="4">
        <v>10840.336134453783</v>
      </c>
      <c r="E20" s="4">
        <f t="shared" si="0"/>
        <v>10840.336134453783</v>
      </c>
      <c r="F20" s="4">
        <v>0</v>
      </c>
      <c r="G20" s="4">
        <f t="shared" si="1"/>
        <v>0</v>
      </c>
      <c r="H20" s="4">
        <v>21500</v>
      </c>
      <c r="I20" s="4">
        <f t="shared" si="2"/>
        <v>21500</v>
      </c>
      <c r="J20" s="7">
        <v>5566</v>
      </c>
      <c r="K20" s="4">
        <f t="shared" si="3"/>
        <v>5566</v>
      </c>
      <c r="L20" s="7">
        <v>0</v>
      </c>
      <c r="M20" s="4">
        <f t="shared" si="4"/>
        <v>0</v>
      </c>
      <c r="N20" s="7">
        <f>6500/1.19</f>
        <v>5462.1848739495799</v>
      </c>
      <c r="O20" s="4">
        <f t="shared" si="5"/>
        <v>5462.1848739495799</v>
      </c>
      <c r="P20" s="7">
        <v>3550</v>
      </c>
      <c r="Q20" s="58">
        <f t="shared" si="6"/>
        <v>3550</v>
      </c>
    </row>
    <row r="21" spans="1:17" ht="16.5" customHeight="1" x14ac:dyDescent="0.25">
      <c r="A21" s="57" t="s">
        <v>118</v>
      </c>
      <c r="B21" s="2" t="s">
        <v>51</v>
      </c>
      <c r="C21" s="3">
        <v>1</v>
      </c>
      <c r="D21" s="4">
        <v>3445.3781512605042</v>
      </c>
      <c r="E21" s="4">
        <f t="shared" si="0"/>
        <v>3445.3781512605042</v>
      </c>
      <c r="F21" s="4">
        <v>0</v>
      </c>
      <c r="G21" s="4">
        <f t="shared" si="1"/>
        <v>0</v>
      </c>
      <c r="H21" s="4">
        <v>6000</v>
      </c>
      <c r="I21" s="4">
        <f t="shared" si="2"/>
        <v>6000</v>
      </c>
      <c r="J21" s="7">
        <v>2360</v>
      </c>
      <c r="K21" s="4">
        <f t="shared" si="3"/>
        <v>2360</v>
      </c>
      <c r="L21" s="7">
        <v>1207.5630252100841</v>
      </c>
      <c r="M21" s="4">
        <f t="shared" si="4"/>
        <v>1207.5630252100841</v>
      </c>
      <c r="N21" s="7">
        <f>3500/1.19</f>
        <v>2941.1764705882356</v>
      </c>
      <c r="O21" s="4">
        <f t="shared" si="5"/>
        <v>2941.1764705882356</v>
      </c>
      <c r="P21" s="7">
        <v>4124</v>
      </c>
      <c r="Q21" s="58">
        <f t="shared" si="6"/>
        <v>4124</v>
      </c>
    </row>
    <row r="22" spans="1:17" ht="16.5" customHeight="1" x14ac:dyDescent="0.25">
      <c r="A22" s="57" t="s">
        <v>119</v>
      </c>
      <c r="B22" s="2" t="s">
        <v>51</v>
      </c>
      <c r="C22" s="3">
        <v>1</v>
      </c>
      <c r="D22" s="4">
        <v>90671.362184873957</v>
      </c>
      <c r="E22" s="4">
        <f t="shared" si="0"/>
        <v>90671.362184873957</v>
      </c>
      <c r="F22" s="4">
        <v>0</v>
      </c>
      <c r="G22" s="4">
        <f t="shared" si="1"/>
        <v>0</v>
      </c>
      <c r="H22" s="4">
        <v>44500</v>
      </c>
      <c r="I22" s="4">
        <f t="shared" si="2"/>
        <v>44500</v>
      </c>
      <c r="J22" s="7">
        <v>43072</v>
      </c>
      <c r="K22" s="4">
        <f t="shared" si="3"/>
        <v>43072</v>
      </c>
      <c r="L22" s="7">
        <v>0</v>
      </c>
      <c r="M22" s="4">
        <f t="shared" si="4"/>
        <v>0</v>
      </c>
      <c r="N22" s="7">
        <f>32000/1.19</f>
        <v>26890.756302521011</v>
      </c>
      <c r="O22" s="4">
        <f t="shared" si="5"/>
        <v>26890.756302521011</v>
      </c>
      <c r="P22" s="7">
        <v>14775</v>
      </c>
      <c r="Q22" s="58">
        <f t="shared" si="6"/>
        <v>14775</v>
      </c>
    </row>
    <row r="23" spans="1:17" ht="17.100000000000001" customHeight="1" x14ac:dyDescent="0.25">
      <c r="A23" s="57" t="s">
        <v>18</v>
      </c>
      <c r="B23" s="2" t="s">
        <v>51</v>
      </c>
      <c r="C23" s="3">
        <v>1</v>
      </c>
      <c r="D23" s="4">
        <v>5798.3193277310929</v>
      </c>
      <c r="E23" s="4">
        <f t="shared" si="0"/>
        <v>5798.3193277310929</v>
      </c>
      <c r="F23" s="4">
        <v>0</v>
      </c>
      <c r="G23" s="4">
        <f t="shared" si="1"/>
        <v>0</v>
      </c>
      <c r="H23" s="4">
        <v>7000</v>
      </c>
      <c r="I23" s="4">
        <f t="shared" si="2"/>
        <v>7000</v>
      </c>
      <c r="J23" s="7">
        <v>5528</v>
      </c>
      <c r="K23" s="4">
        <f t="shared" si="3"/>
        <v>5528</v>
      </c>
      <c r="L23" s="7">
        <v>0</v>
      </c>
      <c r="M23" s="4">
        <f t="shared" si="4"/>
        <v>0</v>
      </c>
      <c r="N23" s="7">
        <f>5000/1.19</f>
        <v>4201.680672268908</v>
      </c>
      <c r="O23" s="4">
        <f t="shared" si="5"/>
        <v>4201.680672268908</v>
      </c>
      <c r="P23" s="7">
        <v>3618</v>
      </c>
      <c r="Q23" s="58">
        <f t="shared" si="6"/>
        <v>3618</v>
      </c>
    </row>
    <row r="24" spans="1:17" ht="17.100000000000001" customHeight="1" x14ac:dyDescent="0.25">
      <c r="A24" s="57" t="s">
        <v>19</v>
      </c>
      <c r="B24" s="2" t="s">
        <v>51</v>
      </c>
      <c r="C24" s="3">
        <v>1</v>
      </c>
      <c r="D24" s="4">
        <v>6638.6554621848745</v>
      </c>
      <c r="E24" s="4">
        <f t="shared" si="0"/>
        <v>6638.6554621848745</v>
      </c>
      <c r="F24" s="4">
        <v>5500</v>
      </c>
      <c r="G24" s="4">
        <f t="shared" si="1"/>
        <v>5500</v>
      </c>
      <c r="H24" s="4">
        <v>9000</v>
      </c>
      <c r="I24" s="4">
        <f t="shared" si="2"/>
        <v>9000</v>
      </c>
      <c r="J24" s="7">
        <v>6376</v>
      </c>
      <c r="K24" s="4">
        <f t="shared" si="3"/>
        <v>6376</v>
      </c>
      <c r="L24" s="7">
        <v>0</v>
      </c>
      <c r="M24" s="4">
        <f t="shared" si="4"/>
        <v>0</v>
      </c>
      <c r="N24" s="7">
        <f>5500/1.19</f>
        <v>4621.8487394957983</v>
      </c>
      <c r="O24" s="4">
        <f t="shared" si="5"/>
        <v>4621.8487394957983</v>
      </c>
      <c r="P24" s="7">
        <v>4101</v>
      </c>
      <c r="Q24" s="58">
        <f t="shared" si="6"/>
        <v>4101</v>
      </c>
    </row>
    <row r="25" spans="1:17" ht="17.100000000000001" customHeight="1" x14ac:dyDescent="0.25">
      <c r="A25" s="57" t="s">
        <v>99</v>
      </c>
      <c r="B25" s="2" t="s">
        <v>51</v>
      </c>
      <c r="C25" s="3">
        <v>1</v>
      </c>
      <c r="D25" s="4">
        <v>8402.5210084033606</v>
      </c>
      <c r="E25" s="4">
        <f t="shared" si="0"/>
        <v>8402.5210084033606</v>
      </c>
      <c r="F25" s="4">
        <v>0</v>
      </c>
      <c r="G25" s="4">
        <f t="shared" si="1"/>
        <v>0</v>
      </c>
      <c r="H25" s="4">
        <v>3500</v>
      </c>
      <c r="I25" s="4">
        <f t="shared" si="2"/>
        <v>3500</v>
      </c>
      <c r="J25" s="7">
        <v>5558</v>
      </c>
      <c r="K25" s="4">
        <f t="shared" si="3"/>
        <v>5558</v>
      </c>
      <c r="L25" s="7">
        <v>0</v>
      </c>
      <c r="M25" s="4">
        <f t="shared" si="4"/>
        <v>0</v>
      </c>
      <c r="N25" s="7">
        <f>3000/1.19</f>
        <v>2521.0084033613448</v>
      </c>
      <c r="O25" s="4">
        <f t="shared" si="5"/>
        <v>2521.0084033613448</v>
      </c>
      <c r="P25" s="7">
        <v>3866</v>
      </c>
      <c r="Q25" s="58">
        <f t="shared" si="6"/>
        <v>3866</v>
      </c>
    </row>
    <row r="26" spans="1:17" ht="17.100000000000001" customHeight="1" x14ac:dyDescent="0.25">
      <c r="A26" s="57" t="s">
        <v>100</v>
      </c>
      <c r="B26" s="2" t="s">
        <v>101</v>
      </c>
      <c r="C26" s="3">
        <v>1</v>
      </c>
      <c r="D26" s="4">
        <v>72184.873949579836</v>
      </c>
      <c r="E26" s="4">
        <f t="shared" si="0"/>
        <v>72184.873949579836</v>
      </c>
      <c r="F26" s="4">
        <v>95000</v>
      </c>
      <c r="G26" s="4">
        <f t="shared" si="1"/>
        <v>95000</v>
      </c>
      <c r="H26" s="4">
        <v>57000</v>
      </c>
      <c r="I26" s="4">
        <f t="shared" si="2"/>
        <v>57000</v>
      </c>
      <c r="J26" s="7">
        <v>114455</v>
      </c>
      <c r="K26" s="4">
        <f t="shared" si="3"/>
        <v>114455</v>
      </c>
      <c r="L26" s="7">
        <v>38836.134453781517</v>
      </c>
      <c r="M26" s="4">
        <f t="shared" si="4"/>
        <v>38836.134453781517</v>
      </c>
      <c r="N26" s="7">
        <f>27500/1.19</f>
        <v>23109.243697478993</v>
      </c>
      <c r="O26" s="4">
        <f t="shared" si="5"/>
        <v>23109.243697478993</v>
      </c>
      <c r="P26" s="7">
        <v>52539</v>
      </c>
      <c r="Q26" s="58">
        <f t="shared" si="6"/>
        <v>52539</v>
      </c>
    </row>
    <row r="27" spans="1:17" ht="17.100000000000001" customHeight="1" x14ac:dyDescent="0.25">
      <c r="A27" s="57" t="s">
        <v>102</v>
      </c>
      <c r="B27" s="2" t="s">
        <v>51</v>
      </c>
      <c r="C27" s="3">
        <v>1</v>
      </c>
      <c r="D27" s="4">
        <v>0</v>
      </c>
      <c r="E27" s="4">
        <f t="shared" si="0"/>
        <v>0</v>
      </c>
      <c r="F27" s="4">
        <v>0</v>
      </c>
      <c r="G27" s="4">
        <f t="shared" si="1"/>
        <v>0</v>
      </c>
      <c r="H27" s="4">
        <v>0</v>
      </c>
      <c r="I27" s="4">
        <f t="shared" si="2"/>
        <v>0</v>
      </c>
      <c r="J27" s="7">
        <v>1008</v>
      </c>
      <c r="K27" s="4">
        <f t="shared" si="3"/>
        <v>1008</v>
      </c>
      <c r="L27" s="7">
        <v>0</v>
      </c>
      <c r="M27" s="4">
        <f t="shared" si="4"/>
        <v>0</v>
      </c>
      <c r="N27" s="7">
        <f>1000/1.19</f>
        <v>840.3361344537816</v>
      </c>
      <c r="O27" s="4">
        <f t="shared" si="5"/>
        <v>840.3361344537816</v>
      </c>
      <c r="P27" s="7">
        <v>0</v>
      </c>
      <c r="Q27" s="58">
        <f t="shared" si="6"/>
        <v>0</v>
      </c>
    </row>
    <row r="28" spans="1:17" ht="17.100000000000001" customHeight="1" x14ac:dyDescent="0.25">
      <c r="A28" s="57" t="s">
        <v>20</v>
      </c>
      <c r="B28" s="2" t="s">
        <v>51</v>
      </c>
      <c r="C28" s="3">
        <v>1</v>
      </c>
      <c r="D28" s="4">
        <v>0</v>
      </c>
      <c r="E28" s="4">
        <f t="shared" si="0"/>
        <v>0</v>
      </c>
      <c r="F28" s="4">
        <v>120000</v>
      </c>
      <c r="G28" s="4">
        <f t="shared" si="1"/>
        <v>120000</v>
      </c>
      <c r="H28" s="4">
        <v>0</v>
      </c>
      <c r="I28" s="4">
        <f t="shared" si="2"/>
        <v>0</v>
      </c>
      <c r="J28" s="7">
        <v>54538</v>
      </c>
      <c r="K28" s="4">
        <f t="shared" si="3"/>
        <v>54538</v>
      </c>
      <c r="L28" s="7">
        <v>0</v>
      </c>
      <c r="M28" s="4">
        <f t="shared" si="4"/>
        <v>0</v>
      </c>
      <c r="N28" s="7">
        <f>565000/1.19</f>
        <v>474789.91596638656</v>
      </c>
      <c r="O28" s="4">
        <f t="shared" si="5"/>
        <v>474789.91596638656</v>
      </c>
      <c r="P28" s="7">
        <v>0</v>
      </c>
      <c r="Q28" s="58">
        <f t="shared" si="6"/>
        <v>0</v>
      </c>
    </row>
    <row r="29" spans="1:17" ht="17.100000000000001" customHeight="1" x14ac:dyDescent="0.25">
      <c r="A29" s="57" t="s">
        <v>21</v>
      </c>
      <c r="B29" s="2" t="s">
        <v>51</v>
      </c>
      <c r="C29" s="3">
        <v>1</v>
      </c>
      <c r="D29" s="56">
        <v>242826.050420168</v>
      </c>
      <c r="E29" s="4">
        <f t="shared" si="0"/>
        <v>242826.050420168</v>
      </c>
      <c r="F29" s="4">
        <v>0</v>
      </c>
      <c r="G29" s="4">
        <f t="shared" si="1"/>
        <v>0</v>
      </c>
      <c r="H29" s="4">
        <v>0</v>
      </c>
      <c r="I29" s="4">
        <f t="shared" si="2"/>
        <v>0</v>
      </c>
      <c r="J29" s="7">
        <v>0</v>
      </c>
      <c r="K29" s="4">
        <f t="shared" si="3"/>
        <v>0</v>
      </c>
      <c r="L29" s="7">
        <v>0</v>
      </c>
      <c r="M29" s="4">
        <f t="shared" si="4"/>
        <v>0</v>
      </c>
      <c r="N29" s="7">
        <v>0</v>
      </c>
      <c r="O29" s="4">
        <f t="shared" si="5"/>
        <v>0</v>
      </c>
      <c r="P29" s="7">
        <v>0</v>
      </c>
      <c r="Q29" s="58">
        <f t="shared" si="6"/>
        <v>0</v>
      </c>
    </row>
    <row r="30" spans="1:17" ht="17.100000000000001" customHeight="1" x14ac:dyDescent="0.25">
      <c r="A30" s="57" t="s">
        <v>22</v>
      </c>
      <c r="B30" s="2" t="s">
        <v>51</v>
      </c>
      <c r="C30" s="3">
        <v>1</v>
      </c>
      <c r="D30" s="4">
        <v>1672.2689075630253</v>
      </c>
      <c r="E30" s="4">
        <f t="shared" si="0"/>
        <v>1672.2689075630253</v>
      </c>
      <c r="F30" s="4">
        <v>0</v>
      </c>
      <c r="G30" s="4">
        <f t="shared" si="1"/>
        <v>0</v>
      </c>
      <c r="H30" s="4">
        <v>2000</v>
      </c>
      <c r="I30" s="4">
        <f t="shared" si="2"/>
        <v>2000</v>
      </c>
      <c r="J30" s="7">
        <v>1645</v>
      </c>
      <c r="K30" s="4">
        <f t="shared" si="3"/>
        <v>1645</v>
      </c>
      <c r="L30" s="7">
        <v>905.0420168067227</v>
      </c>
      <c r="M30" s="4">
        <f t="shared" si="4"/>
        <v>905.0420168067227</v>
      </c>
      <c r="N30" s="7">
        <f>2000/1.19</f>
        <v>1680.6722689075632</v>
      </c>
      <c r="O30" s="4">
        <f t="shared" si="5"/>
        <v>1680.6722689075632</v>
      </c>
      <c r="P30" s="7">
        <v>1340</v>
      </c>
      <c r="Q30" s="58">
        <f t="shared" si="6"/>
        <v>1340</v>
      </c>
    </row>
    <row r="31" spans="1:17" ht="17.100000000000001" customHeight="1" x14ac:dyDescent="0.25">
      <c r="A31" s="57" t="s">
        <v>47</v>
      </c>
      <c r="B31" s="2" t="s">
        <v>51</v>
      </c>
      <c r="C31" s="3">
        <v>1</v>
      </c>
      <c r="D31" s="4">
        <v>1176.4705882352941</v>
      </c>
      <c r="E31" s="4">
        <f t="shared" si="0"/>
        <v>1176.4705882352941</v>
      </c>
      <c r="F31" s="4">
        <v>0</v>
      </c>
      <c r="G31" s="4">
        <f t="shared" si="1"/>
        <v>0</v>
      </c>
      <c r="H31" s="4">
        <v>2000</v>
      </c>
      <c r="I31" s="4">
        <f t="shared" si="2"/>
        <v>2000</v>
      </c>
      <c r="J31" s="7">
        <v>1645</v>
      </c>
      <c r="K31" s="4">
        <f t="shared" si="3"/>
        <v>1645</v>
      </c>
      <c r="L31" s="7">
        <v>905.0420168067227</v>
      </c>
      <c r="M31" s="4">
        <f t="shared" si="4"/>
        <v>905.0420168067227</v>
      </c>
      <c r="N31" s="7">
        <v>0</v>
      </c>
      <c r="O31" s="4">
        <f t="shared" si="5"/>
        <v>0</v>
      </c>
      <c r="P31" s="7">
        <v>1340</v>
      </c>
      <c r="Q31" s="58">
        <f t="shared" si="6"/>
        <v>1340</v>
      </c>
    </row>
    <row r="32" spans="1:17" ht="17.100000000000001" customHeight="1" x14ac:dyDescent="0.25">
      <c r="A32" s="57" t="s">
        <v>23</v>
      </c>
      <c r="B32" s="2" t="s">
        <v>51</v>
      </c>
      <c r="C32" s="3">
        <v>1</v>
      </c>
      <c r="D32" s="4">
        <v>0</v>
      </c>
      <c r="E32" s="4">
        <f t="shared" si="0"/>
        <v>0</v>
      </c>
      <c r="F32" s="4">
        <v>0</v>
      </c>
      <c r="G32" s="4">
        <f t="shared" si="1"/>
        <v>0</v>
      </c>
      <c r="H32" s="4">
        <v>7500</v>
      </c>
      <c r="I32" s="4">
        <f t="shared" si="2"/>
        <v>7500</v>
      </c>
      <c r="J32" s="7">
        <v>5483</v>
      </c>
      <c r="K32" s="4">
        <f t="shared" si="3"/>
        <v>5483</v>
      </c>
      <c r="L32" s="7">
        <v>0</v>
      </c>
      <c r="M32" s="4">
        <f t="shared" si="4"/>
        <v>0</v>
      </c>
      <c r="N32" s="7">
        <v>0</v>
      </c>
      <c r="O32" s="4">
        <f t="shared" si="5"/>
        <v>0</v>
      </c>
      <c r="P32" s="7">
        <v>6298</v>
      </c>
      <c r="Q32" s="58">
        <f t="shared" si="6"/>
        <v>6298</v>
      </c>
    </row>
    <row r="33" spans="1:17" ht="17.100000000000001" customHeight="1" x14ac:dyDescent="0.25">
      <c r="A33" s="57" t="s">
        <v>24</v>
      </c>
      <c r="B33" s="2" t="s">
        <v>51</v>
      </c>
      <c r="C33" s="3">
        <v>1</v>
      </c>
      <c r="D33" s="4">
        <v>0</v>
      </c>
      <c r="E33" s="4">
        <f t="shared" si="0"/>
        <v>0</v>
      </c>
      <c r="F33" s="4">
        <v>0</v>
      </c>
      <c r="G33" s="4">
        <f t="shared" si="1"/>
        <v>0</v>
      </c>
      <c r="H33" s="4">
        <v>9500</v>
      </c>
      <c r="I33" s="4">
        <f t="shared" si="2"/>
        <v>9500</v>
      </c>
      <c r="J33" s="7">
        <v>6369</v>
      </c>
      <c r="K33" s="4">
        <f t="shared" si="3"/>
        <v>6369</v>
      </c>
      <c r="L33" s="7">
        <v>0</v>
      </c>
      <c r="M33" s="4">
        <f t="shared" si="4"/>
        <v>0</v>
      </c>
      <c r="N33" s="7">
        <v>0</v>
      </c>
      <c r="O33" s="4">
        <f t="shared" si="5"/>
        <v>0</v>
      </c>
      <c r="P33" s="7">
        <v>7698</v>
      </c>
      <c r="Q33" s="58">
        <f t="shared" si="6"/>
        <v>7698</v>
      </c>
    </row>
    <row r="34" spans="1:17" ht="17.100000000000001" customHeight="1" x14ac:dyDescent="0.25">
      <c r="A34" s="57" t="s">
        <v>135</v>
      </c>
      <c r="B34" s="2" t="s">
        <v>97</v>
      </c>
      <c r="C34" s="3">
        <v>1</v>
      </c>
      <c r="D34" s="4">
        <v>0</v>
      </c>
      <c r="E34" s="4">
        <f t="shared" si="0"/>
        <v>0</v>
      </c>
      <c r="F34" s="4">
        <v>0</v>
      </c>
      <c r="G34" s="4">
        <f t="shared" si="1"/>
        <v>0</v>
      </c>
      <c r="H34" s="4">
        <v>25000</v>
      </c>
      <c r="I34" s="4">
        <f t="shared" si="2"/>
        <v>25000</v>
      </c>
      <c r="J34" s="7">
        <v>33819</v>
      </c>
      <c r="K34" s="4">
        <f t="shared" si="3"/>
        <v>33819</v>
      </c>
      <c r="L34" s="7">
        <v>42263.865546218491</v>
      </c>
      <c r="M34" s="4">
        <f t="shared" si="4"/>
        <v>42263.865546218491</v>
      </c>
      <c r="N34" s="7">
        <v>0</v>
      </c>
      <c r="O34" s="4">
        <f t="shared" si="5"/>
        <v>0</v>
      </c>
      <c r="P34" s="7">
        <v>26534</v>
      </c>
      <c r="Q34" s="58">
        <f t="shared" si="6"/>
        <v>26534</v>
      </c>
    </row>
    <row r="35" spans="1:17" ht="17.100000000000001" customHeight="1" x14ac:dyDescent="0.25">
      <c r="A35" s="57" t="s">
        <v>139</v>
      </c>
      <c r="B35" s="2" t="s">
        <v>97</v>
      </c>
      <c r="C35" s="3">
        <v>1</v>
      </c>
      <c r="D35" s="4">
        <v>61008.403361344543</v>
      </c>
      <c r="E35" s="4">
        <f t="shared" si="0"/>
        <v>61008.403361344543</v>
      </c>
      <c r="F35" s="4">
        <v>0</v>
      </c>
      <c r="G35" s="4">
        <f t="shared" si="1"/>
        <v>0</v>
      </c>
      <c r="H35" s="4">
        <v>19000</v>
      </c>
      <c r="I35" s="4">
        <f t="shared" si="2"/>
        <v>19000</v>
      </c>
      <c r="J35" s="4">
        <v>0</v>
      </c>
      <c r="K35" s="4">
        <f t="shared" si="3"/>
        <v>0</v>
      </c>
      <c r="L35" s="4">
        <v>16928.571428571428</v>
      </c>
      <c r="M35" s="4">
        <f t="shared" si="4"/>
        <v>16928.571428571428</v>
      </c>
      <c r="N35" s="4">
        <v>0</v>
      </c>
      <c r="O35" s="4">
        <f t="shared" si="5"/>
        <v>0</v>
      </c>
      <c r="P35" s="4">
        <v>0</v>
      </c>
      <c r="Q35" s="58">
        <f t="shared" si="6"/>
        <v>0</v>
      </c>
    </row>
    <row r="36" spans="1:17" ht="17.100000000000001" customHeight="1" x14ac:dyDescent="0.25">
      <c r="A36" s="57" t="s">
        <v>103</v>
      </c>
      <c r="B36" s="2" t="s">
        <v>104</v>
      </c>
      <c r="C36" s="3">
        <v>1</v>
      </c>
      <c r="D36" s="4">
        <v>105798.31932773109</v>
      </c>
      <c r="E36" s="4">
        <f t="shared" si="0"/>
        <v>105798.31932773109</v>
      </c>
      <c r="F36" s="4">
        <v>0</v>
      </c>
      <c r="G36" s="4">
        <f t="shared" si="1"/>
        <v>0</v>
      </c>
      <c r="H36" s="4">
        <v>0</v>
      </c>
      <c r="I36" s="4">
        <f t="shared" si="2"/>
        <v>0</v>
      </c>
      <c r="J36" s="7">
        <v>105798</v>
      </c>
      <c r="K36" s="4">
        <f t="shared" si="3"/>
        <v>105798</v>
      </c>
      <c r="L36" s="7">
        <v>86008.403361344535</v>
      </c>
      <c r="M36" s="4">
        <f t="shared" si="4"/>
        <v>86008.403361344535</v>
      </c>
      <c r="N36" s="7">
        <v>0</v>
      </c>
      <c r="O36" s="4">
        <f t="shared" si="5"/>
        <v>0</v>
      </c>
      <c r="P36" s="7">
        <v>113445</v>
      </c>
      <c r="Q36" s="58">
        <f t="shared" si="6"/>
        <v>113445</v>
      </c>
    </row>
    <row r="37" spans="1:17" ht="17.100000000000001" customHeight="1" x14ac:dyDescent="0.25">
      <c r="A37" s="57" t="s">
        <v>53</v>
      </c>
      <c r="B37" s="2" t="s">
        <v>104</v>
      </c>
      <c r="C37" s="3">
        <v>1</v>
      </c>
      <c r="D37" s="4">
        <v>93193.277310924372</v>
      </c>
      <c r="E37" s="4">
        <f t="shared" si="0"/>
        <v>93193.277310924372</v>
      </c>
      <c r="F37" s="4">
        <v>0</v>
      </c>
      <c r="G37" s="4">
        <f t="shared" si="1"/>
        <v>0</v>
      </c>
      <c r="H37" s="4">
        <v>0</v>
      </c>
      <c r="I37" s="4">
        <f t="shared" si="2"/>
        <v>0</v>
      </c>
      <c r="J37" s="7">
        <v>93193</v>
      </c>
      <c r="K37" s="4">
        <f t="shared" si="3"/>
        <v>93193</v>
      </c>
      <c r="L37" s="7">
        <v>75630.252100840342</v>
      </c>
      <c r="M37" s="4">
        <f t="shared" si="4"/>
        <v>75630.252100840342</v>
      </c>
      <c r="N37" s="7">
        <v>0</v>
      </c>
      <c r="O37" s="4">
        <f t="shared" si="5"/>
        <v>0</v>
      </c>
      <c r="P37" s="7">
        <v>0</v>
      </c>
      <c r="Q37" s="58">
        <f t="shared" si="6"/>
        <v>0</v>
      </c>
    </row>
    <row r="38" spans="1:17" ht="17.100000000000001" customHeight="1" x14ac:dyDescent="0.25">
      <c r="A38" s="57" t="s">
        <v>105</v>
      </c>
      <c r="B38" s="2" t="s">
        <v>104</v>
      </c>
      <c r="C38" s="3">
        <v>1</v>
      </c>
      <c r="D38" s="4">
        <v>44873.949579831933</v>
      </c>
      <c r="E38" s="4">
        <f t="shared" ref="E38:E69" si="7">C38*D38</f>
        <v>44873.949579831933</v>
      </c>
      <c r="F38" s="4">
        <v>0</v>
      </c>
      <c r="G38" s="4">
        <f t="shared" ref="G38:G69" si="8">C38*F38</f>
        <v>0</v>
      </c>
      <c r="H38" s="4">
        <v>0</v>
      </c>
      <c r="I38" s="4">
        <f t="shared" ref="I38:I69" si="9">C38*H38</f>
        <v>0</v>
      </c>
      <c r="J38" s="7">
        <v>132353</v>
      </c>
      <c r="K38" s="4">
        <f t="shared" ref="K38:K69" si="10">C38*J38</f>
        <v>132353</v>
      </c>
      <c r="L38" s="7">
        <v>110924.36974789917</v>
      </c>
      <c r="M38" s="4">
        <f t="shared" ref="M38:M69" si="11">C38*L38</f>
        <v>110924.36974789917</v>
      </c>
      <c r="N38" s="7">
        <f>114500/1.19</f>
        <v>96218.487394957992</v>
      </c>
      <c r="O38" s="4">
        <f t="shared" ref="O38:O69" si="12">C38*N38</f>
        <v>96218.487394957992</v>
      </c>
      <c r="P38" s="7">
        <v>166807</v>
      </c>
      <c r="Q38" s="58">
        <f t="shared" ref="Q38:Q69" si="13">P38*C38</f>
        <v>166807</v>
      </c>
    </row>
    <row r="39" spans="1:17" ht="17.100000000000001" customHeight="1" x14ac:dyDescent="0.25">
      <c r="A39" s="57" t="s">
        <v>106</v>
      </c>
      <c r="B39" s="2" t="s">
        <v>92</v>
      </c>
      <c r="C39" s="3">
        <v>1</v>
      </c>
      <c r="D39" s="4">
        <v>17962.18487394958</v>
      </c>
      <c r="E39" s="4">
        <f t="shared" si="7"/>
        <v>17962.18487394958</v>
      </c>
      <c r="F39" s="4">
        <v>9000</v>
      </c>
      <c r="G39" s="4">
        <f t="shared" si="8"/>
        <v>9000</v>
      </c>
      <c r="H39" s="4">
        <v>0</v>
      </c>
      <c r="I39" s="4">
        <f t="shared" si="9"/>
        <v>0</v>
      </c>
      <c r="J39" s="7">
        <v>6259</v>
      </c>
      <c r="K39" s="4">
        <f t="shared" si="10"/>
        <v>6259</v>
      </c>
      <c r="L39" s="7">
        <v>0</v>
      </c>
      <c r="M39" s="4">
        <f t="shared" si="11"/>
        <v>0</v>
      </c>
      <c r="N39" s="7">
        <f>9500/1.19</f>
        <v>7983.1932773109247</v>
      </c>
      <c r="O39" s="4">
        <f t="shared" si="12"/>
        <v>7983.1932773109247</v>
      </c>
      <c r="P39" s="7">
        <v>149580</v>
      </c>
      <c r="Q39" s="58">
        <f t="shared" si="13"/>
        <v>149580</v>
      </c>
    </row>
    <row r="40" spans="1:17" ht="17.100000000000001" customHeight="1" x14ac:dyDescent="0.25">
      <c r="A40" s="57" t="s">
        <v>55</v>
      </c>
      <c r="B40" s="2" t="s">
        <v>51</v>
      </c>
      <c r="C40" s="3">
        <v>1</v>
      </c>
      <c r="D40" s="4">
        <v>8319.3277310924368</v>
      </c>
      <c r="E40" s="4">
        <f t="shared" si="7"/>
        <v>8319.3277310924368</v>
      </c>
      <c r="F40" s="4">
        <v>0</v>
      </c>
      <c r="G40" s="4">
        <f t="shared" si="8"/>
        <v>0</v>
      </c>
      <c r="H40" s="4">
        <v>0</v>
      </c>
      <c r="I40" s="4">
        <f t="shared" si="9"/>
        <v>0</v>
      </c>
      <c r="J40" s="7">
        <v>7948</v>
      </c>
      <c r="K40" s="4">
        <f t="shared" si="10"/>
        <v>7948</v>
      </c>
      <c r="L40" s="7">
        <v>5042.0168067226896</v>
      </c>
      <c r="M40" s="4">
        <f t="shared" si="11"/>
        <v>5042.0168067226896</v>
      </c>
      <c r="N40" s="7">
        <v>0</v>
      </c>
      <c r="O40" s="4">
        <f t="shared" si="12"/>
        <v>0</v>
      </c>
      <c r="P40" s="7">
        <v>7969</v>
      </c>
      <c r="Q40" s="58">
        <f t="shared" si="13"/>
        <v>7969</v>
      </c>
    </row>
    <row r="41" spans="1:17" ht="17.100000000000001" customHeight="1" x14ac:dyDescent="0.25">
      <c r="A41" s="57" t="s">
        <v>54</v>
      </c>
      <c r="B41" s="2" t="s">
        <v>51</v>
      </c>
      <c r="C41" s="3">
        <v>1</v>
      </c>
      <c r="D41" s="4">
        <v>0</v>
      </c>
      <c r="E41" s="4">
        <f t="shared" si="7"/>
        <v>0</v>
      </c>
      <c r="F41" s="4">
        <v>0</v>
      </c>
      <c r="G41" s="4">
        <f t="shared" si="8"/>
        <v>0</v>
      </c>
      <c r="H41" s="4">
        <v>0</v>
      </c>
      <c r="I41" s="4">
        <f t="shared" si="9"/>
        <v>0</v>
      </c>
      <c r="J41" s="7">
        <v>11098</v>
      </c>
      <c r="K41" s="4">
        <f t="shared" si="10"/>
        <v>11098</v>
      </c>
      <c r="L41" s="7">
        <v>8571.4285714285725</v>
      </c>
      <c r="M41" s="4">
        <f t="shared" si="11"/>
        <v>8571.4285714285725</v>
      </c>
      <c r="N41" s="7">
        <v>0</v>
      </c>
      <c r="O41" s="4">
        <f t="shared" si="12"/>
        <v>0</v>
      </c>
      <c r="P41" s="7">
        <v>9819</v>
      </c>
      <c r="Q41" s="58">
        <f t="shared" si="13"/>
        <v>9819</v>
      </c>
    </row>
    <row r="42" spans="1:17" ht="17.100000000000001" customHeight="1" x14ac:dyDescent="0.25">
      <c r="A42" s="57" t="s">
        <v>138</v>
      </c>
      <c r="B42" s="2" t="s">
        <v>51</v>
      </c>
      <c r="C42" s="3">
        <v>1</v>
      </c>
      <c r="D42" s="4">
        <v>14201.680672268909</v>
      </c>
      <c r="E42" s="4">
        <f t="shared" si="7"/>
        <v>14201.680672268909</v>
      </c>
      <c r="F42" s="4">
        <v>0</v>
      </c>
      <c r="G42" s="4">
        <f t="shared" si="8"/>
        <v>0</v>
      </c>
      <c r="H42" s="4">
        <v>0</v>
      </c>
      <c r="I42" s="4">
        <f t="shared" si="9"/>
        <v>0</v>
      </c>
      <c r="J42" s="7">
        <v>14053</v>
      </c>
      <c r="K42" s="4">
        <f t="shared" si="10"/>
        <v>14053</v>
      </c>
      <c r="L42" s="7">
        <v>12436.974789915967</v>
      </c>
      <c r="M42" s="4">
        <f t="shared" si="11"/>
        <v>12436.974789915967</v>
      </c>
      <c r="N42" s="7">
        <f>11000/1.19</f>
        <v>9243.6974789915967</v>
      </c>
      <c r="O42" s="4">
        <f t="shared" si="12"/>
        <v>9243.6974789915967</v>
      </c>
      <c r="P42" s="7">
        <v>13866</v>
      </c>
      <c r="Q42" s="58">
        <f t="shared" si="13"/>
        <v>13866</v>
      </c>
    </row>
    <row r="43" spans="1:17" ht="17.100000000000001" customHeight="1" x14ac:dyDescent="0.25">
      <c r="A43" s="57" t="s">
        <v>25</v>
      </c>
      <c r="B43" s="2" t="s">
        <v>51</v>
      </c>
      <c r="C43" s="3">
        <v>1</v>
      </c>
      <c r="D43" s="4">
        <v>6218.4873949579833</v>
      </c>
      <c r="E43" s="4">
        <f t="shared" si="7"/>
        <v>6218.4873949579833</v>
      </c>
      <c r="F43" s="4">
        <v>0</v>
      </c>
      <c r="G43" s="4">
        <f t="shared" si="8"/>
        <v>0</v>
      </c>
      <c r="H43" s="4">
        <v>0</v>
      </c>
      <c r="I43" s="4">
        <f t="shared" si="9"/>
        <v>0</v>
      </c>
      <c r="J43" s="7">
        <v>0</v>
      </c>
      <c r="K43" s="4">
        <f t="shared" si="10"/>
        <v>0</v>
      </c>
      <c r="L43" s="7">
        <v>2824.3697478991598</v>
      </c>
      <c r="M43" s="4">
        <f t="shared" si="11"/>
        <v>2824.3697478991598</v>
      </c>
      <c r="N43" s="7">
        <f>3500/1.19</f>
        <v>2941.1764705882356</v>
      </c>
      <c r="O43" s="4">
        <f t="shared" si="12"/>
        <v>2941.1764705882356</v>
      </c>
      <c r="P43" s="7">
        <v>5309</v>
      </c>
      <c r="Q43" s="58">
        <f t="shared" si="13"/>
        <v>5309</v>
      </c>
    </row>
    <row r="44" spans="1:17" ht="17.100000000000001" customHeight="1" x14ac:dyDescent="0.25">
      <c r="A44" s="57" t="s">
        <v>26</v>
      </c>
      <c r="B44" s="2" t="s">
        <v>51</v>
      </c>
      <c r="C44" s="3">
        <v>1</v>
      </c>
      <c r="D44" s="4">
        <v>7058.8235294117649</v>
      </c>
      <c r="E44" s="4">
        <f t="shared" si="7"/>
        <v>7058.8235294117649</v>
      </c>
      <c r="F44" s="4">
        <v>3200</v>
      </c>
      <c r="G44" s="4">
        <f t="shared" si="8"/>
        <v>3200</v>
      </c>
      <c r="H44" s="4">
        <v>4000</v>
      </c>
      <c r="I44" s="4">
        <f t="shared" si="9"/>
        <v>4000</v>
      </c>
      <c r="J44" s="7">
        <v>5143</v>
      </c>
      <c r="K44" s="4">
        <f t="shared" si="10"/>
        <v>5143</v>
      </c>
      <c r="L44" s="7">
        <v>3462.1848739495799</v>
      </c>
      <c r="M44" s="4">
        <f t="shared" si="11"/>
        <v>3462.1848739495799</v>
      </c>
      <c r="N44" s="7">
        <f>4000/1.19</f>
        <v>3361.3445378151264</v>
      </c>
      <c r="O44" s="4">
        <f t="shared" si="12"/>
        <v>3361.3445378151264</v>
      </c>
      <c r="P44" s="7">
        <v>3623</v>
      </c>
      <c r="Q44" s="58">
        <f t="shared" si="13"/>
        <v>3623</v>
      </c>
    </row>
    <row r="45" spans="1:17" ht="17.100000000000001" customHeight="1" x14ac:dyDescent="0.25">
      <c r="A45" s="57" t="s">
        <v>27</v>
      </c>
      <c r="B45" s="2" t="s">
        <v>51</v>
      </c>
      <c r="C45" s="3">
        <v>1</v>
      </c>
      <c r="D45" s="4">
        <v>5798.3193277310929</v>
      </c>
      <c r="E45" s="4">
        <f t="shared" si="7"/>
        <v>5798.3193277310929</v>
      </c>
      <c r="F45" s="4">
        <v>0</v>
      </c>
      <c r="G45" s="4">
        <f t="shared" si="8"/>
        <v>0</v>
      </c>
      <c r="H45" s="4">
        <v>6000</v>
      </c>
      <c r="I45" s="4">
        <f t="shared" si="9"/>
        <v>6000</v>
      </c>
      <c r="J45" s="7">
        <v>7590</v>
      </c>
      <c r="K45" s="4">
        <f t="shared" si="10"/>
        <v>7590</v>
      </c>
      <c r="L45" s="7">
        <v>4411.7647058823532</v>
      </c>
      <c r="M45" s="4">
        <f t="shared" si="11"/>
        <v>4411.7647058823532</v>
      </c>
      <c r="N45" s="7">
        <f>5500/1.19</f>
        <v>4621.8487394957983</v>
      </c>
      <c r="O45" s="4">
        <f t="shared" si="12"/>
        <v>4621.8487394957983</v>
      </c>
      <c r="P45" s="7">
        <v>7647</v>
      </c>
      <c r="Q45" s="58">
        <f t="shared" si="13"/>
        <v>7647</v>
      </c>
    </row>
    <row r="46" spans="1:17" ht="17.100000000000001" customHeight="1" x14ac:dyDescent="0.25">
      <c r="A46" s="57" t="s">
        <v>28</v>
      </c>
      <c r="B46" s="2" t="s">
        <v>51</v>
      </c>
      <c r="C46" s="3">
        <v>1</v>
      </c>
      <c r="D46" s="4">
        <v>14201.680672268909</v>
      </c>
      <c r="E46" s="4">
        <f t="shared" si="7"/>
        <v>14201.680672268909</v>
      </c>
      <c r="F46" s="4">
        <v>0</v>
      </c>
      <c r="G46" s="4">
        <f t="shared" si="8"/>
        <v>0</v>
      </c>
      <c r="H46" s="4">
        <v>12000</v>
      </c>
      <c r="I46" s="4">
        <f t="shared" si="9"/>
        <v>12000</v>
      </c>
      <c r="J46" s="7">
        <v>17525</v>
      </c>
      <c r="K46" s="4">
        <f t="shared" si="10"/>
        <v>17525</v>
      </c>
      <c r="L46" s="7">
        <v>806.72268907563034</v>
      </c>
      <c r="M46" s="4">
        <f t="shared" si="11"/>
        <v>806.72268907563034</v>
      </c>
      <c r="N46" s="7">
        <f>6500/1.19</f>
        <v>5462.1848739495799</v>
      </c>
      <c r="O46" s="4">
        <f t="shared" si="12"/>
        <v>5462.1848739495799</v>
      </c>
      <c r="P46" s="7">
        <v>12294</v>
      </c>
      <c r="Q46" s="58">
        <f t="shared" si="13"/>
        <v>12294</v>
      </c>
    </row>
    <row r="47" spans="1:17" ht="17.100000000000001" customHeight="1" x14ac:dyDescent="0.25">
      <c r="A47" s="57" t="s">
        <v>108</v>
      </c>
      <c r="B47" s="2" t="s">
        <v>104</v>
      </c>
      <c r="C47" s="3">
        <v>1</v>
      </c>
      <c r="D47" s="4">
        <v>0</v>
      </c>
      <c r="E47" s="4">
        <f t="shared" si="7"/>
        <v>0</v>
      </c>
      <c r="F47" s="4">
        <v>0</v>
      </c>
      <c r="G47" s="4">
        <f t="shared" si="8"/>
        <v>0</v>
      </c>
      <c r="H47" s="4">
        <v>145000</v>
      </c>
      <c r="I47" s="4">
        <f t="shared" si="9"/>
        <v>145000</v>
      </c>
      <c r="J47" s="7">
        <v>0</v>
      </c>
      <c r="K47" s="4">
        <f t="shared" si="10"/>
        <v>0</v>
      </c>
      <c r="L47" s="7">
        <v>94928.571428571435</v>
      </c>
      <c r="M47" s="4">
        <f t="shared" si="11"/>
        <v>94928.571428571435</v>
      </c>
      <c r="N47" s="7">
        <v>0</v>
      </c>
      <c r="O47" s="4">
        <f t="shared" si="12"/>
        <v>0</v>
      </c>
      <c r="P47" s="7">
        <v>170109</v>
      </c>
      <c r="Q47" s="58">
        <f t="shared" si="13"/>
        <v>170109</v>
      </c>
    </row>
    <row r="48" spans="1:17" ht="17.100000000000001" customHeight="1" x14ac:dyDescent="0.25">
      <c r="A48" s="57" t="s">
        <v>48</v>
      </c>
      <c r="B48" s="2" t="s">
        <v>51</v>
      </c>
      <c r="C48" s="3">
        <v>1</v>
      </c>
      <c r="D48" s="4">
        <v>110840.33613445378</v>
      </c>
      <c r="E48" s="4">
        <f t="shared" si="7"/>
        <v>110840.33613445378</v>
      </c>
      <c r="F48" s="4">
        <v>0</v>
      </c>
      <c r="G48" s="4">
        <f t="shared" si="8"/>
        <v>0</v>
      </c>
      <c r="H48" s="4">
        <v>0</v>
      </c>
      <c r="I48" s="4">
        <f t="shared" si="9"/>
        <v>0</v>
      </c>
      <c r="J48" s="7">
        <v>136729</v>
      </c>
      <c r="K48" s="4">
        <f t="shared" si="10"/>
        <v>136729</v>
      </c>
      <c r="L48" s="7">
        <v>88785.71428571429</v>
      </c>
      <c r="M48" s="4">
        <f t="shared" si="11"/>
        <v>88785.71428571429</v>
      </c>
      <c r="N48" s="7">
        <v>0</v>
      </c>
      <c r="O48" s="4">
        <f t="shared" si="12"/>
        <v>0</v>
      </c>
      <c r="P48" s="7">
        <v>120073</v>
      </c>
      <c r="Q48" s="58">
        <f t="shared" si="13"/>
        <v>120073</v>
      </c>
    </row>
    <row r="49" spans="1:17" ht="17.100000000000001" customHeight="1" x14ac:dyDescent="0.25">
      <c r="A49" s="57" t="s">
        <v>52</v>
      </c>
      <c r="B49" s="2" t="s">
        <v>104</v>
      </c>
      <c r="C49" s="3">
        <v>1</v>
      </c>
      <c r="D49" s="4">
        <v>0</v>
      </c>
      <c r="E49" s="4">
        <f t="shared" si="7"/>
        <v>0</v>
      </c>
      <c r="F49" s="4">
        <v>0</v>
      </c>
      <c r="G49" s="4">
        <f t="shared" si="8"/>
        <v>0</v>
      </c>
      <c r="H49" s="4">
        <v>0</v>
      </c>
      <c r="I49" s="4">
        <f t="shared" si="9"/>
        <v>0</v>
      </c>
      <c r="J49" s="7">
        <v>0</v>
      </c>
      <c r="K49" s="4">
        <f t="shared" si="10"/>
        <v>0</v>
      </c>
      <c r="L49" s="7">
        <v>88752.100840336134</v>
      </c>
      <c r="M49" s="4">
        <f t="shared" si="11"/>
        <v>88752.100840336134</v>
      </c>
      <c r="N49" s="7">
        <v>0</v>
      </c>
      <c r="O49" s="4">
        <f t="shared" si="12"/>
        <v>0</v>
      </c>
      <c r="P49" s="7">
        <v>196553</v>
      </c>
      <c r="Q49" s="58">
        <f t="shared" si="13"/>
        <v>196553</v>
      </c>
    </row>
    <row r="50" spans="1:17" ht="17.100000000000001" customHeight="1" x14ac:dyDescent="0.25">
      <c r="A50" s="57" t="s">
        <v>109</v>
      </c>
      <c r="B50" s="2" t="s">
        <v>98</v>
      </c>
      <c r="C50" s="3">
        <v>1</v>
      </c>
      <c r="D50" s="4">
        <v>91726.890756302513</v>
      </c>
      <c r="E50" s="4">
        <f t="shared" si="7"/>
        <v>91726.890756302513</v>
      </c>
      <c r="F50" s="4">
        <v>8800</v>
      </c>
      <c r="G50" s="4">
        <f t="shared" si="8"/>
        <v>8800</v>
      </c>
      <c r="H50" s="4">
        <v>0</v>
      </c>
      <c r="I50" s="4">
        <f t="shared" si="9"/>
        <v>0</v>
      </c>
      <c r="J50" s="7">
        <v>92509</v>
      </c>
      <c r="K50" s="4">
        <f t="shared" si="10"/>
        <v>92509</v>
      </c>
      <c r="L50" s="7">
        <v>60913.445378151264</v>
      </c>
      <c r="M50" s="4">
        <f t="shared" si="11"/>
        <v>60913.445378151264</v>
      </c>
      <c r="N50" s="7">
        <v>0</v>
      </c>
      <c r="O50" s="4">
        <f t="shared" si="12"/>
        <v>0</v>
      </c>
      <c r="P50" s="7">
        <v>107506</v>
      </c>
      <c r="Q50" s="58">
        <f t="shared" si="13"/>
        <v>107506</v>
      </c>
    </row>
    <row r="51" spans="1:17" ht="17.100000000000001" customHeight="1" x14ac:dyDescent="0.25">
      <c r="A51" s="57" t="s">
        <v>29</v>
      </c>
      <c r="B51" s="2" t="s">
        <v>51</v>
      </c>
      <c r="C51" s="3">
        <v>1</v>
      </c>
      <c r="D51" s="4">
        <v>151600.84033613445</v>
      </c>
      <c r="E51" s="4">
        <f t="shared" si="7"/>
        <v>151600.84033613445</v>
      </c>
      <c r="F51" s="4">
        <v>190000</v>
      </c>
      <c r="G51" s="4">
        <f t="shared" si="8"/>
        <v>190000</v>
      </c>
      <c r="H51" s="4">
        <v>220000</v>
      </c>
      <c r="I51" s="4">
        <f t="shared" si="9"/>
        <v>220000</v>
      </c>
      <c r="J51" s="7">
        <v>186065</v>
      </c>
      <c r="K51" s="4">
        <f t="shared" si="10"/>
        <v>186065</v>
      </c>
      <c r="L51" s="7">
        <v>120821.84873949581</v>
      </c>
      <c r="M51" s="4">
        <f t="shared" si="11"/>
        <v>120821.84873949581</v>
      </c>
      <c r="N51" s="7">
        <v>0</v>
      </c>
      <c r="O51" s="4">
        <f t="shared" si="12"/>
        <v>0</v>
      </c>
      <c r="P51" s="7">
        <v>157796</v>
      </c>
      <c r="Q51" s="58">
        <f t="shared" si="13"/>
        <v>157796</v>
      </c>
    </row>
    <row r="52" spans="1:17" ht="17.100000000000001" customHeight="1" x14ac:dyDescent="0.25">
      <c r="A52" s="57" t="s">
        <v>30</v>
      </c>
      <c r="B52" s="2" t="s">
        <v>51</v>
      </c>
      <c r="C52" s="3">
        <v>1</v>
      </c>
      <c r="D52" s="4">
        <v>375130.25210084033</v>
      </c>
      <c r="E52" s="4">
        <f t="shared" si="7"/>
        <v>375130.25210084033</v>
      </c>
      <c r="F52" s="4">
        <v>485000</v>
      </c>
      <c r="G52" s="4">
        <f t="shared" si="8"/>
        <v>485000</v>
      </c>
      <c r="H52" s="4">
        <v>0</v>
      </c>
      <c r="I52" s="4">
        <f t="shared" si="9"/>
        <v>0</v>
      </c>
      <c r="J52" s="7">
        <v>476134</v>
      </c>
      <c r="K52" s="4">
        <f t="shared" si="10"/>
        <v>476134</v>
      </c>
      <c r="L52" s="7">
        <v>309178.99159663869</v>
      </c>
      <c r="M52" s="4">
        <f t="shared" si="11"/>
        <v>309178.99159663869</v>
      </c>
      <c r="N52" s="7">
        <v>0</v>
      </c>
      <c r="O52" s="4">
        <f t="shared" si="12"/>
        <v>0</v>
      </c>
      <c r="P52" s="7">
        <v>316170</v>
      </c>
      <c r="Q52" s="58">
        <f t="shared" si="13"/>
        <v>316170</v>
      </c>
    </row>
    <row r="53" spans="1:17" ht="17.100000000000001" customHeight="1" x14ac:dyDescent="0.25">
      <c r="A53" s="57" t="s">
        <v>44</v>
      </c>
      <c r="B53" s="2" t="s">
        <v>97</v>
      </c>
      <c r="C53" s="3">
        <v>1</v>
      </c>
      <c r="D53" s="4">
        <v>0</v>
      </c>
      <c r="E53" s="4">
        <f t="shared" si="7"/>
        <v>0</v>
      </c>
      <c r="F53" s="4">
        <v>0</v>
      </c>
      <c r="G53" s="4">
        <f t="shared" si="8"/>
        <v>0</v>
      </c>
      <c r="H53" s="4">
        <v>0</v>
      </c>
      <c r="I53" s="4">
        <f t="shared" si="9"/>
        <v>0</v>
      </c>
      <c r="J53" s="4">
        <v>0</v>
      </c>
      <c r="K53" s="4">
        <f t="shared" si="10"/>
        <v>0</v>
      </c>
      <c r="L53" s="4">
        <v>309747.89915966388</v>
      </c>
      <c r="M53" s="4">
        <f t="shared" si="11"/>
        <v>309747.89915966388</v>
      </c>
      <c r="N53" s="4">
        <v>0</v>
      </c>
      <c r="O53" s="4">
        <f t="shared" si="12"/>
        <v>0</v>
      </c>
      <c r="P53" s="4">
        <v>423750</v>
      </c>
      <c r="Q53" s="58">
        <f t="shared" si="13"/>
        <v>423750</v>
      </c>
    </row>
    <row r="54" spans="1:17" ht="17.100000000000001" customHeight="1" x14ac:dyDescent="0.25">
      <c r="A54" s="57" t="s">
        <v>110</v>
      </c>
      <c r="B54" s="2" t="s">
        <v>51</v>
      </c>
      <c r="C54" s="3">
        <v>1</v>
      </c>
      <c r="D54" s="4">
        <v>49495.798319327732</v>
      </c>
      <c r="E54" s="4">
        <f t="shared" si="7"/>
        <v>49495.798319327732</v>
      </c>
      <c r="F54" s="4">
        <v>62000</v>
      </c>
      <c r="G54" s="4">
        <f t="shared" si="8"/>
        <v>62000</v>
      </c>
      <c r="H54" s="4">
        <v>0</v>
      </c>
      <c r="I54" s="4">
        <f t="shared" si="9"/>
        <v>0</v>
      </c>
      <c r="J54" s="7">
        <v>60445</v>
      </c>
      <c r="K54" s="4">
        <f t="shared" si="10"/>
        <v>60445</v>
      </c>
      <c r="L54" s="7">
        <v>39249.579831932773</v>
      </c>
      <c r="M54" s="4">
        <f t="shared" si="11"/>
        <v>39249.579831932773</v>
      </c>
      <c r="N54" s="7">
        <v>0</v>
      </c>
      <c r="O54" s="4">
        <f t="shared" si="12"/>
        <v>0</v>
      </c>
      <c r="P54" s="7">
        <v>56074</v>
      </c>
      <c r="Q54" s="58">
        <f t="shared" si="13"/>
        <v>56074</v>
      </c>
    </row>
    <row r="55" spans="1:17" ht="17.100000000000001" customHeight="1" x14ac:dyDescent="0.25">
      <c r="A55" s="57" t="s">
        <v>43</v>
      </c>
      <c r="B55" s="2" t="s">
        <v>51</v>
      </c>
      <c r="C55" s="3">
        <v>1</v>
      </c>
      <c r="D55" s="4">
        <v>0</v>
      </c>
      <c r="E55" s="4">
        <f t="shared" si="7"/>
        <v>0</v>
      </c>
      <c r="F55" s="4">
        <v>0</v>
      </c>
      <c r="G55" s="4">
        <f t="shared" si="8"/>
        <v>0</v>
      </c>
      <c r="H55" s="4">
        <v>0</v>
      </c>
      <c r="I55" s="4">
        <f t="shared" si="9"/>
        <v>0</v>
      </c>
      <c r="J55" s="4">
        <v>0</v>
      </c>
      <c r="K55" s="4">
        <f t="shared" si="10"/>
        <v>0</v>
      </c>
      <c r="L55" s="4">
        <v>1008403.3613445378</v>
      </c>
      <c r="M55" s="4">
        <f t="shared" si="11"/>
        <v>1008403.3613445378</v>
      </c>
      <c r="N55" s="4">
        <v>0</v>
      </c>
      <c r="O55" s="4">
        <f t="shared" si="12"/>
        <v>0</v>
      </c>
      <c r="P55" s="4">
        <v>1488487</v>
      </c>
      <c r="Q55" s="58">
        <f t="shared" si="13"/>
        <v>1488487</v>
      </c>
    </row>
    <row r="56" spans="1:17" ht="17.100000000000001" customHeight="1" x14ac:dyDescent="0.25">
      <c r="A56" s="57" t="s">
        <v>31</v>
      </c>
      <c r="B56" s="2" t="s">
        <v>51</v>
      </c>
      <c r="C56" s="3">
        <v>1</v>
      </c>
      <c r="D56" s="4">
        <v>0</v>
      </c>
      <c r="E56" s="4">
        <f t="shared" si="7"/>
        <v>0</v>
      </c>
      <c r="F56" s="4">
        <v>0</v>
      </c>
      <c r="G56" s="4">
        <f t="shared" si="8"/>
        <v>0</v>
      </c>
      <c r="H56" s="4">
        <v>0</v>
      </c>
      <c r="I56" s="4">
        <f t="shared" si="9"/>
        <v>0</v>
      </c>
      <c r="J56" s="4">
        <v>0</v>
      </c>
      <c r="K56" s="4">
        <f t="shared" si="10"/>
        <v>0</v>
      </c>
      <c r="L56" s="4">
        <v>582700</v>
      </c>
      <c r="M56" s="4">
        <f t="shared" si="11"/>
        <v>582700</v>
      </c>
      <c r="N56" s="4">
        <v>0</v>
      </c>
      <c r="O56" s="4">
        <f t="shared" si="12"/>
        <v>0</v>
      </c>
      <c r="P56" s="4">
        <v>471438</v>
      </c>
      <c r="Q56" s="58">
        <f t="shared" si="13"/>
        <v>471438</v>
      </c>
    </row>
    <row r="57" spans="1:17" ht="17.100000000000001" customHeight="1" x14ac:dyDescent="0.25">
      <c r="A57" s="57" t="s">
        <v>49</v>
      </c>
      <c r="B57" s="2" t="s">
        <v>51</v>
      </c>
      <c r="C57" s="3">
        <v>1</v>
      </c>
      <c r="D57" s="4">
        <v>0</v>
      </c>
      <c r="E57" s="4">
        <f t="shared" si="7"/>
        <v>0</v>
      </c>
      <c r="F57" s="4">
        <v>16500</v>
      </c>
      <c r="G57" s="4">
        <f t="shared" si="8"/>
        <v>16500</v>
      </c>
      <c r="H57" s="4">
        <v>22000</v>
      </c>
      <c r="I57" s="4">
        <f t="shared" si="9"/>
        <v>22000</v>
      </c>
      <c r="J57" s="7">
        <v>17434</v>
      </c>
      <c r="K57" s="4">
        <f t="shared" si="10"/>
        <v>17434</v>
      </c>
      <c r="L57" s="7">
        <v>11321.848739495799</v>
      </c>
      <c r="M57" s="4">
        <f t="shared" si="11"/>
        <v>11321.848739495799</v>
      </c>
      <c r="N57" s="7">
        <v>0</v>
      </c>
      <c r="O57" s="4">
        <f t="shared" si="12"/>
        <v>0</v>
      </c>
      <c r="P57" s="7">
        <v>15504</v>
      </c>
      <c r="Q57" s="58">
        <f t="shared" si="13"/>
        <v>15504</v>
      </c>
    </row>
    <row r="58" spans="1:17" ht="17.100000000000001" customHeight="1" x14ac:dyDescent="0.25">
      <c r="A58" s="57" t="s">
        <v>50</v>
      </c>
      <c r="B58" s="2" t="s">
        <v>51</v>
      </c>
      <c r="C58" s="3">
        <v>1</v>
      </c>
      <c r="D58" s="4">
        <v>0</v>
      </c>
      <c r="E58" s="4">
        <f t="shared" si="7"/>
        <v>0</v>
      </c>
      <c r="F58" s="4">
        <v>44000</v>
      </c>
      <c r="G58" s="4">
        <f t="shared" si="8"/>
        <v>44000</v>
      </c>
      <c r="H58" s="4">
        <v>0</v>
      </c>
      <c r="I58" s="4">
        <f t="shared" si="9"/>
        <v>0</v>
      </c>
      <c r="J58" s="7">
        <v>43229</v>
      </c>
      <c r="K58" s="4">
        <f t="shared" si="10"/>
        <v>43229</v>
      </c>
      <c r="L58" s="7">
        <v>28071.428571428572</v>
      </c>
      <c r="M58" s="4">
        <f t="shared" si="11"/>
        <v>28071.428571428572</v>
      </c>
      <c r="N58" s="7">
        <v>0</v>
      </c>
      <c r="O58" s="4">
        <f t="shared" si="12"/>
        <v>0</v>
      </c>
      <c r="P58" s="7">
        <v>45801</v>
      </c>
      <c r="Q58" s="58">
        <f t="shared" si="13"/>
        <v>45801</v>
      </c>
    </row>
    <row r="59" spans="1:17" ht="17.100000000000001" customHeight="1" x14ac:dyDescent="0.25">
      <c r="A59" s="57" t="s">
        <v>133</v>
      </c>
      <c r="B59" s="2" t="s">
        <v>104</v>
      </c>
      <c r="C59" s="3">
        <v>1</v>
      </c>
      <c r="D59" s="4">
        <v>0</v>
      </c>
      <c r="E59" s="4">
        <f t="shared" si="7"/>
        <v>0</v>
      </c>
      <c r="F59" s="4">
        <v>0</v>
      </c>
      <c r="G59" s="4">
        <f t="shared" si="8"/>
        <v>0</v>
      </c>
      <c r="H59" s="4">
        <v>21000</v>
      </c>
      <c r="I59" s="4">
        <f t="shared" si="9"/>
        <v>21000</v>
      </c>
      <c r="J59" s="7">
        <v>25540</v>
      </c>
      <c r="K59" s="4">
        <f t="shared" si="10"/>
        <v>25540</v>
      </c>
      <c r="L59" s="7">
        <v>36235.294117647063</v>
      </c>
      <c r="M59" s="4">
        <f t="shared" si="11"/>
        <v>36235.294117647063</v>
      </c>
      <c r="N59" s="7">
        <f>26500/1.19</f>
        <v>22268.907563025212</v>
      </c>
      <c r="O59" s="4">
        <f t="shared" si="12"/>
        <v>22268.907563025212</v>
      </c>
      <c r="P59" s="7">
        <v>24160</v>
      </c>
      <c r="Q59" s="58">
        <f t="shared" si="13"/>
        <v>24160</v>
      </c>
    </row>
    <row r="60" spans="1:17" ht="17.100000000000001" customHeight="1" x14ac:dyDescent="0.25">
      <c r="A60" s="57" t="s">
        <v>32</v>
      </c>
      <c r="B60" s="2" t="s">
        <v>51</v>
      </c>
      <c r="C60" s="3">
        <v>1</v>
      </c>
      <c r="D60" s="4">
        <v>20084.033613445379</v>
      </c>
      <c r="E60" s="4">
        <f t="shared" si="7"/>
        <v>20084.033613445379</v>
      </c>
      <c r="F60" s="4">
        <v>0</v>
      </c>
      <c r="G60" s="4">
        <f t="shared" si="8"/>
        <v>0</v>
      </c>
      <c r="H60" s="4">
        <v>50</v>
      </c>
      <c r="I60" s="4">
        <f t="shared" si="9"/>
        <v>50</v>
      </c>
      <c r="J60" s="7">
        <v>25</v>
      </c>
      <c r="K60" s="4">
        <f t="shared" si="10"/>
        <v>25</v>
      </c>
      <c r="L60" s="7">
        <v>0</v>
      </c>
      <c r="M60" s="4">
        <f t="shared" si="11"/>
        <v>0</v>
      </c>
      <c r="N60" s="7">
        <v>0</v>
      </c>
      <c r="O60" s="4">
        <f t="shared" si="12"/>
        <v>0</v>
      </c>
      <c r="P60" s="7">
        <v>0</v>
      </c>
      <c r="Q60" s="58">
        <f t="shared" si="13"/>
        <v>0</v>
      </c>
    </row>
    <row r="61" spans="1:17" ht="17.100000000000001" customHeight="1" x14ac:dyDescent="0.25">
      <c r="A61" s="57" t="s">
        <v>33</v>
      </c>
      <c r="B61" s="2" t="s">
        <v>51</v>
      </c>
      <c r="C61" s="3">
        <v>1</v>
      </c>
      <c r="D61" s="4">
        <v>31848.73949579832</v>
      </c>
      <c r="E61" s="4">
        <f t="shared" si="7"/>
        <v>31848.73949579832</v>
      </c>
      <c r="F61" s="4">
        <v>0</v>
      </c>
      <c r="G61" s="4">
        <f t="shared" si="8"/>
        <v>0</v>
      </c>
      <c r="H61" s="4">
        <v>50</v>
      </c>
      <c r="I61" s="4">
        <f t="shared" si="9"/>
        <v>50</v>
      </c>
      <c r="J61" s="7">
        <v>49</v>
      </c>
      <c r="K61" s="4">
        <f t="shared" si="10"/>
        <v>49</v>
      </c>
      <c r="L61" s="7">
        <v>0</v>
      </c>
      <c r="M61" s="4">
        <f t="shared" si="11"/>
        <v>0</v>
      </c>
      <c r="N61" s="7">
        <v>0</v>
      </c>
      <c r="O61" s="4">
        <f t="shared" si="12"/>
        <v>0</v>
      </c>
      <c r="P61" s="7">
        <v>0</v>
      </c>
      <c r="Q61" s="58">
        <f t="shared" si="13"/>
        <v>0</v>
      </c>
    </row>
    <row r="62" spans="1:17" ht="17.100000000000001" customHeight="1" x14ac:dyDescent="0.25">
      <c r="A62" s="57" t="s">
        <v>34</v>
      </c>
      <c r="B62" s="2" t="s">
        <v>51</v>
      </c>
      <c r="C62" s="3">
        <v>1</v>
      </c>
      <c r="D62" s="4">
        <v>25125.799159663868</v>
      </c>
      <c r="E62" s="4">
        <f t="shared" si="7"/>
        <v>25125.799159663868</v>
      </c>
      <c r="F62" s="4">
        <v>0</v>
      </c>
      <c r="G62" s="4">
        <f t="shared" si="8"/>
        <v>0</v>
      </c>
      <c r="H62" s="4">
        <v>0</v>
      </c>
      <c r="I62" s="4">
        <f t="shared" si="9"/>
        <v>0</v>
      </c>
      <c r="J62" s="7">
        <v>68</v>
      </c>
      <c r="K62" s="4">
        <f t="shared" si="10"/>
        <v>68</v>
      </c>
      <c r="L62" s="7">
        <v>0</v>
      </c>
      <c r="M62" s="4">
        <f t="shared" si="11"/>
        <v>0</v>
      </c>
      <c r="N62" s="7">
        <v>0</v>
      </c>
      <c r="O62" s="4">
        <f t="shared" si="12"/>
        <v>0</v>
      </c>
      <c r="P62" s="7">
        <v>0</v>
      </c>
      <c r="Q62" s="58">
        <f t="shared" si="13"/>
        <v>0</v>
      </c>
    </row>
    <row r="63" spans="1:17" ht="17.100000000000001" customHeight="1" x14ac:dyDescent="0.25">
      <c r="A63" s="57" t="s">
        <v>56</v>
      </c>
      <c r="B63" s="2" t="s">
        <v>142</v>
      </c>
      <c r="C63" s="3">
        <v>1</v>
      </c>
      <c r="D63" s="4">
        <v>0</v>
      </c>
      <c r="E63" s="4">
        <f t="shared" si="7"/>
        <v>0</v>
      </c>
      <c r="F63" s="4">
        <v>0</v>
      </c>
      <c r="G63" s="4">
        <f t="shared" si="8"/>
        <v>0</v>
      </c>
      <c r="H63" s="4">
        <v>0</v>
      </c>
      <c r="I63" s="4">
        <f t="shared" si="9"/>
        <v>0</v>
      </c>
      <c r="J63" s="7">
        <v>5889</v>
      </c>
      <c r="K63" s="4">
        <f t="shared" si="10"/>
        <v>5889</v>
      </c>
      <c r="L63" s="7">
        <v>0</v>
      </c>
      <c r="M63" s="4">
        <f t="shared" si="11"/>
        <v>0</v>
      </c>
      <c r="N63" s="7">
        <f>3500/1.19</f>
        <v>2941.1764705882356</v>
      </c>
      <c r="O63" s="4">
        <f t="shared" si="12"/>
        <v>2941.1764705882356</v>
      </c>
      <c r="P63" s="7">
        <v>0</v>
      </c>
      <c r="Q63" s="58">
        <f t="shared" si="13"/>
        <v>0</v>
      </c>
    </row>
    <row r="64" spans="1:17" ht="17.100000000000001" customHeight="1" x14ac:dyDescent="0.25">
      <c r="A64" s="57" t="s">
        <v>38</v>
      </c>
      <c r="B64" s="2" t="s">
        <v>51</v>
      </c>
      <c r="C64" s="3">
        <v>1</v>
      </c>
      <c r="D64" s="4">
        <v>20630.252100840338</v>
      </c>
      <c r="E64" s="4">
        <f t="shared" si="7"/>
        <v>20630.252100840338</v>
      </c>
      <c r="F64" s="4">
        <v>120000</v>
      </c>
      <c r="G64" s="4">
        <f t="shared" si="8"/>
        <v>120000</v>
      </c>
      <c r="H64" s="4">
        <v>27000</v>
      </c>
      <c r="I64" s="4">
        <f t="shared" si="9"/>
        <v>27000</v>
      </c>
      <c r="J64" s="7">
        <v>27431</v>
      </c>
      <c r="K64" s="4">
        <f t="shared" si="10"/>
        <v>27431</v>
      </c>
      <c r="L64" s="7">
        <v>19560.504201680673</v>
      </c>
      <c r="M64" s="4">
        <f t="shared" si="11"/>
        <v>19560.504201680673</v>
      </c>
      <c r="N64" s="7">
        <f>26000/1.19</f>
        <v>21848.73949579832</v>
      </c>
      <c r="O64" s="4">
        <f t="shared" si="12"/>
        <v>21848.73949579832</v>
      </c>
      <c r="P64" s="7">
        <v>31666</v>
      </c>
      <c r="Q64" s="58">
        <f t="shared" si="13"/>
        <v>31666</v>
      </c>
    </row>
    <row r="65" spans="1:17" ht="17.100000000000001" customHeight="1" x14ac:dyDescent="0.25">
      <c r="A65" s="57" t="s">
        <v>39</v>
      </c>
      <c r="B65" s="2" t="s">
        <v>51</v>
      </c>
      <c r="C65" s="3">
        <v>1</v>
      </c>
      <c r="D65" s="4">
        <v>11638.655462184874</v>
      </c>
      <c r="E65" s="4">
        <f t="shared" si="7"/>
        <v>11638.655462184874</v>
      </c>
      <c r="F65" s="4">
        <v>15000</v>
      </c>
      <c r="G65" s="4">
        <f t="shared" si="8"/>
        <v>15000</v>
      </c>
      <c r="H65" s="4">
        <v>17000</v>
      </c>
      <c r="I65" s="4">
        <f t="shared" si="9"/>
        <v>17000</v>
      </c>
      <c r="J65" s="7">
        <v>15387</v>
      </c>
      <c r="K65" s="4">
        <f t="shared" si="10"/>
        <v>15387</v>
      </c>
      <c r="L65" s="7">
        <v>11405.042016806723</v>
      </c>
      <c r="M65" s="4">
        <f t="shared" si="11"/>
        <v>11405.042016806723</v>
      </c>
      <c r="N65" s="7">
        <f>15000/1.19</f>
        <v>12605.042016806723</v>
      </c>
      <c r="O65" s="4">
        <f t="shared" si="12"/>
        <v>12605.042016806723</v>
      </c>
      <c r="P65" s="7">
        <v>17250</v>
      </c>
      <c r="Q65" s="58">
        <f t="shared" si="13"/>
        <v>17250</v>
      </c>
    </row>
    <row r="66" spans="1:17" ht="17.100000000000001" customHeight="1" x14ac:dyDescent="0.25">
      <c r="A66" s="57" t="s">
        <v>62</v>
      </c>
      <c r="B66" s="2" t="s">
        <v>104</v>
      </c>
      <c r="C66" s="3">
        <v>1</v>
      </c>
      <c r="D66" s="4">
        <v>78067.226890756312</v>
      </c>
      <c r="E66" s="4">
        <f t="shared" si="7"/>
        <v>78067.226890756312</v>
      </c>
      <c r="F66" s="4">
        <v>0</v>
      </c>
      <c r="G66" s="4">
        <f t="shared" si="8"/>
        <v>0</v>
      </c>
      <c r="H66" s="4">
        <v>0</v>
      </c>
      <c r="I66" s="4">
        <f t="shared" si="9"/>
        <v>0</v>
      </c>
      <c r="J66" s="7">
        <v>83110</v>
      </c>
      <c r="K66" s="4">
        <f t="shared" si="10"/>
        <v>83110</v>
      </c>
      <c r="L66" s="7">
        <v>67744.537815126052</v>
      </c>
      <c r="M66" s="4">
        <f t="shared" si="11"/>
        <v>67744.537815126052</v>
      </c>
      <c r="N66" s="7">
        <v>0</v>
      </c>
      <c r="O66" s="4">
        <f t="shared" si="12"/>
        <v>0</v>
      </c>
      <c r="P66" s="7">
        <v>131303</v>
      </c>
      <c r="Q66" s="58">
        <f t="shared" si="13"/>
        <v>131303</v>
      </c>
    </row>
    <row r="67" spans="1:17" ht="17.100000000000001" customHeight="1" x14ac:dyDescent="0.25">
      <c r="A67" s="57" t="s">
        <v>62</v>
      </c>
      <c r="B67" s="2" t="s">
        <v>101</v>
      </c>
      <c r="C67" s="3">
        <v>1</v>
      </c>
      <c r="D67" s="4">
        <v>325126.05042016809</v>
      </c>
      <c r="E67" s="4">
        <f t="shared" si="7"/>
        <v>325126.05042016809</v>
      </c>
      <c r="F67" s="4">
        <v>0</v>
      </c>
      <c r="G67" s="4">
        <f t="shared" si="8"/>
        <v>0</v>
      </c>
      <c r="H67" s="4">
        <v>380000</v>
      </c>
      <c r="I67" s="4">
        <f t="shared" si="9"/>
        <v>380000</v>
      </c>
      <c r="J67" s="7">
        <v>346134</v>
      </c>
      <c r="K67" s="4">
        <f t="shared" si="10"/>
        <v>346134</v>
      </c>
      <c r="L67" s="7">
        <v>282142.01680672268</v>
      </c>
      <c r="M67" s="4">
        <f t="shared" si="11"/>
        <v>282142.01680672268</v>
      </c>
      <c r="N67" s="7">
        <v>0</v>
      </c>
      <c r="O67" s="4">
        <f t="shared" si="12"/>
        <v>0</v>
      </c>
      <c r="P67" s="7">
        <v>356068</v>
      </c>
      <c r="Q67" s="58">
        <f t="shared" si="13"/>
        <v>356068</v>
      </c>
    </row>
    <row r="68" spans="1:17" ht="17.100000000000001" customHeight="1" x14ac:dyDescent="0.25">
      <c r="A68" s="57" t="s">
        <v>63</v>
      </c>
      <c r="B68" s="2" t="s">
        <v>104</v>
      </c>
      <c r="C68" s="3">
        <v>1</v>
      </c>
      <c r="D68" s="4">
        <v>0</v>
      </c>
      <c r="E68" s="4">
        <f t="shared" si="7"/>
        <v>0</v>
      </c>
      <c r="F68" s="4">
        <v>0</v>
      </c>
      <c r="G68" s="4">
        <f t="shared" si="8"/>
        <v>0</v>
      </c>
      <c r="H68" s="4">
        <v>0</v>
      </c>
      <c r="I68" s="4">
        <f t="shared" si="9"/>
        <v>0</v>
      </c>
      <c r="J68" s="7">
        <v>41933</v>
      </c>
      <c r="K68" s="4">
        <f t="shared" si="10"/>
        <v>41933</v>
      </c>
      <c r="L68" s="7">
        <v>33123.529411764706</v>
      </c>
      <c r="M68" s="4">
        <f t="shared" si="11"/>
        <v>33123.529411764706</v>
      </c>
      <c r="N68" s="7">
        <v>0</v>
      </c>
      <c r="O68" s="4">
        <f t="shared" si="12"/>
        <v>0</v>
      </c>
      <c r="P68" s="7">
        <v>0</v>
      </c>
      <c r="Q68" s="58">
        <f t="shared" si="13"/>
        <v>0</v>
      </c>
    </row>
    <row r="69" spans="1:17" ht="17.100000000000001" customHeight="1" thickBot="1" x14ac:dyDescent="0.3">
      <c r="A69" s="59" t="s">
        <v>64</v>
      </c>
      <c r="B69" s="60" t="s">
        <v>104</v>
      </c>
      <c r="C69" s="61">
        <v>1</v>
      </c>
      <c r="D69" s="62">
        <v>53697.478991596639</v>
      </c>
      <c r="E69" s="62">
        <f t="shared" si="7"/>
        <v>53697.478991596639</v>
      </c>
      <c r="F69" s="62">
        <v>0</v>
      </c>
      <c r="G69" s="62">
        <f t="shared" si="8"/>
        <v>0</v>
      </c>
      <c r="H69" s="62">
        <v>0</v>
      </c>
      <c r="I69" s="62">
        <f t="shared" si="9"/>
        <v>0</v>
      </c>
      <c r="J69" s="37">
        <v>0</v>
      </c>
      <c r="K69" s="62">
        <f t="shared" si="10"/>
        <v>0</v>
      </c>
      <c r="L69" s="37">
        <v>0</v>
      </c>
      <c r="M69" s="62">
        <f t="shared" si="11"/>
        <v>0</v>
      </c>
      <c r="N69" s="37">
        <v>0</v>
      </c>
      <c r="O69" s="62">
        <f t="shared" si="12"/>
        <v>0</v>
      </c>
      <c r="P69" s="37">
        <v>0</v>
      </c>
      <c r="Q69" s="63">
        <f t="shared" si="13"/>
        <v>0</v>
      </c>
    </row>
    <row r="70" spans="1:17" x14ac:dyDescent="0.25">
      <c r="C70" s="76" t="s">
        <v>300</v>
      </c>
      <c r="D70" s="77"/>
      <c r="E70" s="77">
        <f>SUM(E7:E68)</f>
        <v>2638744.8025210081</v>
      </c>
      <c r="F70" s="78"/>
      <c r="G70" s="77">
        <f>SUM(G7:G68)</f>
        <v>1197300</v>
      </c>
      <c r="H70" s="78"/>
      <c r="I70" s="77">
        <f>SUM(I7:I68)</f>
        <v>1141660</v>
      </c>
      <c r="J70" s="78"/>
      <c r="K70" s="77">
        <f>SUM(K7:K68)</f>
        <v>2328931</v>
      </c>
      <c r="L70" s="78"/>
      <c r="M70" s="77">
        <f>SUM(M7:M68)</f>
        <v>3652294.1176470593</v>
      </c>
      <c r="N70" s="78"/>
      <c r="O70" s="77">
        <f>SUM(O7:O68)</f>
        <v>816428.57142857159</v>
      </c>
      <c r="P70" s="78"/>
      <c r="Q70" s="79">
        <f>SUM(Q7:Q68)</f>
        <v>5310959</v>
      </c>
    </row>
    <row r="71" spans="1:17" x14ac:dyDescent="0.25">
      <c r="C71" s="80" t="s">
        <v>41</v>
      </c>
      <c r="D71" s="74"/>
      <c r="E71" s="74">
        <f>+E70*0.19</f>
        <v>501361.51247899153</v>
      </c>
      <c r="F71" s="75"/>
      <c r="G71" s="74">
        <f>+G70*0.19</f>
        <v>227487</v>
      </c>
      <c r="H71" s="75"/>
      <c r="I71" s="74">
        <f>+I70*0.19</f>
        <v>216915.4</v>
      </c>
      <c r="J71" s="75"/>
      <c r="K71" s="74">
        <f>+K70*0.19</f>
        <v>442496.89</v>
      </c>
      <c r="L71" s="75"/>
      <c r="M71" s="74">
        <f>+M70*0.19</f>
        <v>693935.88235294132</v>
      </c>
      <c r="N71" s="75"/>
      <c r="O71" s="74">
        <f>+O70*0.19</f>
        <v>155121.42857142861</v>
      </c>
      <c r="P71" s="75"/>
      <c r="Q71" s="81">
        <f>+Q70*0.19</f>
        <v>1009082.21</v>
      </c>
    </row>
    <row r="72" spans="1:17" ht="14.4" thickBot="1" x14ac:dyDescent="0.3">
      <c r="C72" s="82" t="s">
        <v>42</v>
      </c>
      <c r="D72" s="83"/>
      <c r="E72" s="83">
        <f>+E71+E70</f>
        <v>3140106.3149999995</v>
      </c>
      <c r="F72" s="84"/>
      <c r="G72" s="83">
        <f>+G71+G70</f>
        <v>1424787</v>
      </c>
      <c r="H72" s="84"/>
      <c r="I72" s="83">
        <f>+I71+I70</f>
        <v>1358575.4</v>
      </c>
      <c r="J72" s="84"/>
      <c r="K72" s="83">
        <f>+K71+K70</f>
        <v>2771427.89</v>
      </c>
      <c r="L72" s="84"/>
      <c r="M72" s="83">
        <f>+M71+M70</f>
        <v>4346230.0000000009</v>
      </c>
      <c r="N72" s="84"/>
      <c r="O72" s="83">
        <f>+O71+O70</f>
        <v>971550.00000000023</v>
      </c>
      <c r="P72" s="84"/>
      <c r="Q72" s="85">
        <f>+Q71+Q70</f>
        <v>6320041.21</v>
      </c>
    </row>
  </sheetData>
  <mergeCells count="19">
    <mergeCell ref="A2:C3"/>
    <mergeCell ref="L4:M4"/>
    <mergeCell ref="L3:M3"/>
    <mergeCell ref="N3:O3"/>
    <mergeCell ref="P3:Q3"/>
    <mergeCell ref="N4:O4"/>
    <mergeCell ref="P4:Q4"/>
    <mergeCell ref="D3:E3"/>
    <mergeCell ref="F3:G3"/>
    <mergeCell ref="H3:I3"/>
    <mergeCell ref="J3:K3"/>
    <mergeCell ref="D2:Q2"/>
    <mergeCell ref="J4:K4"/>
    <mergeCell ref="A4:A5"/>
    <mergeCell ref="B4:B5"/>
    <mergeCell ref="C4:C5"/>
    <mergeCell ref="D4:E4"/>
    <mergeCell ref="F4:G4"/>
    <mergeCell ref="H4:I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6624-D385-4471-AF8B-A5F530DAB1DE}">
  <dimension ref="A1:S35"/>
  <sheetViews>
    <sheetView zoomScale="85" zoomScaleNormal="85" workbookViewId="0">
      <selection activeCell="E8" sqref="E8"/>
    </sheetView>
  </sheetViews>
  <sheetFormatPr baseColWidth="10" defaultColWidth="11.44140625" defaultRowHeight="13.8" x14ac:dyDescent="0.25"/>
  <cols>
    <col min="1" max="1" width="24.77734375" style="1" bestFit="1" customWidth="1"/>
    <col min="2" max="3" width="11.44140625" style="1"/>
    <col min="4" max="8" width="12" style="1" customWidth="1"/>
    <col min="9" max="9" width="14.21875" style="1" customWidth="1"/>
    <col min="10" max="10" width="11.44140625" style="1" customWidth="1"/>
    <col min="11" max="11" width="15.5546875" style="1" customWidth="1"/>
    <col min="12" max="12" width="11.44140625" style="1" customWidth="1"/>
    <col min="13" max="13" width="15.21875" style="1" customWidth="1"/>
    <col min="14" max="19" width="11.44140625" style="1" customWidth="1"/>
    <col min="20" max="16384" width="11.44140625" style="1"/>
  </cols>
  <sheetData>
    <row r="1" spans="1:19" ht="53.55" customHeight="1" thickBot="1" x14ac:dyDescent="0.3">
      <c r="A1" s="187"/>
      <c r="B1" s="188"/>
      <c r="C1" s="189"/>
      <c r="D1" s="177" t="s">
        <v>286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9"/>
    </row>
    <row r="2" spans="1:19" ht="14.4" thickBot="1" x14ac:dyDescent="0.3">
      <c r="A2" s="190"/>
      <c r="B2" s="191"/>
      <c r="C2" s="192"/>
      <c r="D2" s="195" t="s">
        <v>273</v>
      </c>
      <c r="E2" s="196"/>
      <c r="F2" s="196" t="s">
        <v>273</v>
      </c>
      <c r="G2" s="196"/>
      <c r="H2" s="196" t="s">
        <v>273</v>
      </c>
      <c r="I2" s="196"/>
      <c r="J2" s="197" t="s">
        <v>278</v>
      </c>
      <c r="K2" s="197"/>
      <c r="L2" s="197" t="s">
        <v>283</v>
      </c>
      <c r="M2" s="197"/>
      <c r="N2" s="197" t="s">
        <v>284</v>
      </c>
      <c r="O2" s="197"/>
      <c r="P2" s="197" t="s">
        <v>282</v>
      </c>
      <c r="Q2" s="197"/>
      <c r="R2" s="198" t="s">
        <v>280</v>
      </c>
      <c r="S2" s="199"/>
    </row>
    <row r="3" spans="1:19" ht="32.25" customHeight="1" x14ac:dyDescent="0.25">
      <c r="A3" s="163" t="s">
        <v>0</v>
      </c>
      <c r="B3" s="165" t="s">
        <v>1</v>
      </c>
      <c r="C3" s="167" t="s">
        <v>2</v>
      </c>
      <c r="D3" s="193" t="s">
        <v>143</v>
      </c>
      <c r="E3" s="162"/>
      <c r="F3" s="162" t="s">
        <v>140</v>
      </c>
      <c r="G3" s="162"/>
      <c r="H3" s="194" t="s">
        <v>141</v>
      </c>
      <c r="I3" s="194"/>
      <c r="J3" s="162" t="s">
        <v>144</v>
      </c>
      <c r="K3" s="162"/>
      <c r="L3" s="162" t="s">
        <v>45</v>
      </c>
      <c r="M3" s="162"/>
      <c r="N3" s="162" t="s">
        <v>289</v>
      </c>
      <c r="O3" s="162"/>
      <c r="P3" s="162" t="s">
        <v>288</v>
      </c>
      <c r="Q3" s="162"/>
      <c r="R3" s="162" t="s">
        <v>145</v>
      </c>
      <c r="S3" s="186"/>
    </row>
    <row r="4" spans="1:19" ht="14.4" thickBot="1" x14ac:dyDescent="0.3">
      <c r="A4" s="164"/>
      <c r="B4" s="166"/>
      <c r="C4" s="168"/>
      <c r="D4" s="67" t="s">
        <v>3</v>
      </c>
      <c r="E4" s="68" t="s">
        <v>4</v>
      </c>
      <c r="F4" s="68" t="s">
        <v>3</v>
      </c>
      <c r="G4" s="68" t="s">
        <v>4</v>
      </c>
      <c r="H4" s="69" t="s">
        <v>3</v>
      </c>
      <c r="I4" s="69" t="s">
        <v>4</v>
      </c>
      <c r="J4" s="68" t="s">
        <v>3</v>
      </c>
      <c r="K4" s="68" t="s">
        <v>4</v>
      </c>
      <c r="L4" s="68" t="s">
        <v>3</v>
      </c>
      <c r="M4" s="68" t="s">
        <v>4</v>
      </c>
      <c r="N4" s="68" t="s">
        <v>3</v>
      </c>
      <c r="O4" s="68" t="s">
        <v>4</v>
      </c>
      <c r="P4" s="68" t="s">
        <v>3</v>
      </c>
      <c r="Q4" s="68" t="s">
        <v>4</v>
      </c>
      <c r="R4" s="68" t="s">
        <v>3</v>
      </c>
      <c r="S4" s="70" t="s">
        <v>4</v>
      </c>
    </row>
    <row r="5" spans="1:19" x14ac:dyDescent="0.25">
      <c r="A5" s="105" t="s">
        <v>87</v>
      </c>
      <c r="B5" s="106" t="s">
        <v>92</v>
      </c>
      <c r="C5" s="107">
        <v>1</v>
      </c>
      <c r="D5" s="64">
        <v>1500</v>
      </c>
      <c r="E5" s="64">
        <f>$C5*D5</f>
        <v>1500</v>
      </c>
      <c r="F5" s="64">
        <v>0</v>
      </c>
      <c r="G5" s="64">
        <f>$C5*F5</f>
        <v>0</v>
      </c>
      <c r="H5" s="64">
        <v>0</v>
      </c>
      <c r="I5" s="64">
        <f>$C5*H5</f>
        <v>0</v>
      </c>
      <c r="J5" s="30">
        <v>1470</v>
      </c>
      <c r="K5" s="64">
        <f>$C5*J5</f>
        <v>1470</v>
      </c>
      <c r="L5" s="30">
        <v>0</v>
      </c>
      <c r="M5" s="64">
        <f>$C5*L5</f>
        <v>0</v>
      </c>
      <c r="N5" s="30">
        <f>2700/1.19</f>
        <v>2268.90756302521</v>
      </c>
      <c r="O5" s="64">
        <f>$C5*N5</f>
        <v>2268.90756302521</v>
      </c>
      <c r="P5" s="30">
        <v>0</v>
      </c>
      <c r="Q5" s="64">
        <f>$C5*P5</f>
        <v>0</v>
      </c>
      <c r="R5" s="30">
        <v>1400</v>
      </c>
      <c r="S5" s="66">
        <f>$C5*R5</f>
        <v>1400</v>
      </c>
    </row>
    <row r="6" spans="1:19" x14ac:dyDescent="0.25">
      <c r="A6" s="57" t="s">
        <v>83</v>
      </c>
      <c r="B6" s="11" t="s">
        <v>51</v>
      </c>
      <c r="C6" s="3">
        <v>1</v>
      </c>
      <c r="D6" s="4">
        <v>7000</v>
      </c>
      <c r="E6" s="4">
        <f t="shared" ref="E6:E32" si="0">$C6*D6</f>
        <v>7000</v>
      </c>
      <c r="F6" s="4">
        <v>0</v>
      </c>
      <c r="G6" s="4">
        <f t="shared" ref="G6:G32" si="1">$C6*F6</f>
        <v>0</v>
      </c>
      <c r="H6" s="4">
        <v>5700</v>
      </c>
      <c r="I6" s="4">
        <f t="shared" ref="I6:I32" si="2">$C6*H6</f>
        <v>5700</v>
      </c>
      <c r="J6" s="7">
        <v>4900</v>
      </c>
      <c r="K6" s="4">
        <f t="shared" ref="K6:K32" si="3">$C6*J6</f>
        <v>4900</v>
      </c>
      <c r="L6" s="7">
        <v>19243.697478991598</v>
      </c>
      <c r="M6" s="4">
        <f t="shared" ref="M6:M32" si="4">$C6*L6</f>
        <v>19243.697478991598</v>
      </c>
      <c r="N6" s="7">
        <v>0</v>
      </c>
      <c r="O6" s="4">
        <f t="shared" ref="O6:O32" si="5">$C6*N6</f>
        <v>0</v>
      </c>
      <c r="P6" s="7">
        <v>0</v>
      </c>
      <c r="Q6" s="4">
        <f t="shared" ref="Q6:Q32" si="6">$C6*P6</f>
        <v>0</v>
      </c>
      <c r="R6" s="7">
        <v>4500</v>
      </c>
      <c r="S6" s="58">
        <f t="shared" ref="S6:S32" si="7">$C6*R6</f>
        <v>4500</v>
      </c>
    </row>
    <row r="7" spans="1:19" ht="17.100000000000001" customHeight="1" x14ac:dyDescent="0.25">
      <c r="A7" s="101" t="s">
        <v>58</v>
      </c>
      <c r="B7" s="10" t="s">
        <v>92</v>
      </c>
      <c r="C7" s="6">
        <v>1</v>
      </c>
      <c r="D7" s="7">
        <v>3000</v>
      </c>
      <c r="E7" s="4">
        <f t="shared" si="0"/>
        <v>3000</v>
      </c>
      <c r="F7" s="4">
        <v>20000</v>
      </c>
      <c r="G7" s="4">
        <f t="shared" si="1"/>
        <v>20000</v>
      </c>
      <c r="H7" s="4">
        <v>3500</v>
      </c>
      <c r="I7" s="4">
        <f t="shared" si="2"/>
        <v>3500</v>
      </c>
      <c r="J7" s="7">
        <v>2044</v>
      </c>
      <c r="K7" s="4">
        <f t="shared" si="3"/>
        <v>2044</v>
      </c>
      <c r="L7" s="7">
        <v>5378.1512605042017</v>
      </c>
      <c r="M7" s="4">
        <f t="shared" si="4"/>
        <v>5378.1512605042017</v>
      </c>
      <c r="N7" s="7">
        <v>0</v>
      </c>
      <c r="O7" s="4">
        <f t="shared" si="5"/>
        <v>0</v>
      </c>
      <c r="P7" s="7">
        <v>2435</v>
      </c>
      <c r="Q7" s="4">
        <f t="shared" si="6"/>
        <v>2435</v>
      </c>
      <c r="R7" s="7">
        <v>2449.5798319327732</v>
      </c>
      <c r="S7" s="58">
        <f t="shared" si="7"/>
        <v>2449.5798319327732</v>
      </c>
    </row>
    <row r="8" spans="1:19" ht="17.100000000000001" customHeight="1" x14ac:dyDescent="0.25">
      <c r="A8" s="57" t="s">
        <v>120</v>
      </c>
      <c r="B8" s="11" t="s">
        <v>92</v>
      </c>
      <c r="C8" s="3">
        <v>1</v>
      </c>
      <c r="D8" s="4">
        <v>2200</v>
      </c>
      <c r="E8" s="4">
        <f t="shared" si="0"/>
        <v>2200</v>
      </c>
      <c r="F8" s="4">
        <v>0</v>
      </c>
      <c r="G8" s="4">
        <f t="shared" si="1"/>
        <v>0</v>
      </c>
      <c r="H8" s="4">
        <v>2500</v>
      </c>
      <c r="I8" s="4">
        <f t="shared" si="2"/>
        <v>2500</v>
      </c>
      <c r="J8" s="7">
        <v>1507</v>
      </c>
      <c r="K8" s="4">
        <f t="shared" si="3"/>
        <v>1507</v>
      </c>
      <c r="L8" s="7">
        <v>3865.546218487395</v>
      </c>
      <c r="M8" s="4">
        <f t="shared" si="4"/>
        <v>3865.546218487395</v>
      </c>
      <c r="N8" s="7">
        <v>0</v>
      </c>
      <c r="O8" s="4">
        <f t="shared" si="5"/>
        <v>0</v>
      </c>
      <c r="P8" s="7">
        <v>1688</v>
      </c>
      <c r="Q8" s="4">
        <f t="shared" si="6"/>
        <v>1688</v>
      </c>
      <c r="R8" s="7">
        <v>1749.5798319327732</v>
      </c>
      <c r="S8" s="58">
        <f t="shared" si="7"/>
        <v>1749.5798319327732</v>
      </c>
    </row>
    <row r="9" spans="1:19" ht="17.100000000000001" customHeight="1" x14ac:dyDescent="0.25">
      <c r="A9" s="57" t="s">
        <v>59</v>
      </c>
      <c r="B9" s="11" t="s">
        <v>92</v>
      </c>
      <c r="C9" s="3">
        <v>1</v>
      </c>
      <c r="D9" s="4">
        <v>9000</v>
      </c>
      <c r="E9" s="4">
        <f t="shared" si="0"/>
        <v>9000</v>
      </c>
      <c r="F9" s="4">
        <v>6000</v>
      </c>
      <c r="G9" s="4">
        <f t="shared" si="1"/>
        <v>6000</v>
      </c>
      <c r="H9" s="4">
        <v>0</v>
      </c>
      <c r="I9" s="4">
        <f t="shared" si="2"/>
        <v>0</v>
      </c>
      <c r="J9" s="7">
        <v>8850</v>
      </c>
      <c r="K9" s="4">
        <f t="shared" si="3"/>
        <v>8850</v>
      </c>
      <c r="L9" s="7">
        <v>2521.0084033613448</v>
      </c>
      <c r="M9" s="4">
        <f t="shared" si="4"/>
        <v>2521.0084033613448</v>
      </c>
      <c r="N9" s="7">
        <v>0</v>
      </c>
      <c r="O9" s="4">
        <f t="shared" si="5"/>
        <v>0</v>
      </c>
      <c r="P9" s="7">
        <v>6800</v>
      </c>
      <c r="Q9" s="4">
        <f t="shared" si="6"/>
        <v>6800</v>
      </c>
      <c r="R9" s="7">
        <v>7500</v>
      </c>
      <c r="S9" s="58">
        <f t="shared" si="7"/>
        <v>7500</v>
      </c>
    </row>
    <row r="10" spans="1:19" ht="17.100000000000001" customHeight="1" x14ac:dyDescent="0.25">
      <c r="A10" s="57" t="s">
        <v>88</v>
      </c>
      <c r="B10" s="2" t="s">
        <v>51</v>
      </c>
      <c r="C10" s="3">
        <v>1</v>
      </c>
      <c r="D10" s="4">
        <v>14000</v>
      </c>
      <c r="E10" s="4">
        <f t="shared" si="0"/>
        <v>14000</v>
      </c>
      <c r="F10" s="4">
        <v>0</v>
      </c>
      <c r="G10" s="4">
        <f t="shared" si="1"/>
        <v>0</v>
      </c>
      <c r="H10" s="4">
        <v>0</v>
      </c>
      <c r="I10" s="4">
        <f t="shared" si="2"/>
        <v>0</v>
      </c>
      <c r="J10" s="7">
        <v>14150</v>
      </c>
      <c r="K10" s="4">
        <f t="shared" si="3"/>
        <v>14150</v>
      </c>
      <c r="L10" s="7">
        <v>27151.260504201684</v>
      </c>
      <c r="M10" s="4">
        <f t="shared" si="4"/>
        <v>27151.260504201684</v>
      </c>
      <c r="N10" s="7">
        <v>0</v>
      </c>
      <c r="O10" s="4">
        <f t="shared" si="5"/>
        <v>0</v>
      </c>
      <c r="P10" s="7">
        <v>10084</v>
      </c>
      <c r="Q10" s="4">
        <f t="shared" si="6"/>
        <v>10084</v>
      </c>
      <c r="R10" s="7">
        <v>11000</v>
      </c>
      <c r="S10" s="58">
        <f t="shared" si="7"/>
        <v>11000</v>
      </c>
    </row>
    <row r="11" spans="1:19" ht="17.100000000000001" customHeight="1" x14ac:dyDescent="0.25">
      <c r="A11" s="57" t="s">
        <v>112</v>
      </c>
      <c r="B11" s="2" t="s">
        <v>51</v>
      </c>
      <c r="C11" s="3">
        <v>1</v>
      </c>
      <c r="D11" s="4">
        <v>11000</v>
      </c>
      <c r="E11" s="4">
        <f t="shared" si="0"/>
        <v>11000</v>
      </c>
      <c r="F11" s="4">
        <v>10500</v>
      </c>
      <c r="G11" s="4">
        <f t="shared" si="1"/>
        <v>10500</v>
      </c>
      <c r="H11" s="4">
        <v>10500</v>
      </c>
      <c r="I11" s="4">
        <f t="shared" si="2"/>
        <v>10500</v>
      </c>
      <c r="J11" s="7">
        <v>4704</v>
      </c>
      <c r="K11" s="4">
        <f t="shared" si="3"/>
        <v>4704</v>
      </c>
      <c r="L11" s="7">
        <v>14214.285714285714</v>
      </c>
      <c r="M11" s="4">
        <f t="shared" si="4"/>
        <v>14214.285714285714</v>
      </c>
      <c r="N11" s="7">
        <v>0</v>
      </c>
      <c r="O11" s="4">
        <f t="shared" si="5"/>
        <v>0</v>
      </c>
      <c r="P11" s="7">
        <v>15042</v>
      </c>
      <c r="Q11" s="4">
        <f t="shared" si="6"/>
        <v>15042</v>
      </c>
      <c r="R11" s="7">
        <v>5300</v>
      </c>
      <c r="S11" s="58">
        <f t="shared" si="7"/>
        <v>5300</v>
      </c>
    </row>
    <row r="12" spans="1:19" ht="17.100000000000001" customHeight="1" x14ac:dyDescent="0.25">
      <c r="A12" s="57" t="s">
        <v>111</v>
      </c>
      <c r="B12" s="2" t="s">
        <v>98</v>
      </c>
      <c r="C12" s="3">
        <v>1</v>
      </c>
      <c r="D12" s="4">
        <v>7500</v>
      </c>
      <c r="E12" s="4">
        <f t="shared" si="0"/>
        <v>7500</v>
      </c>
      <c r="F12" s="4">
        <v>0</v>
      </c>
      <c r="G12" s="4">
        <f t="shared" si="1"/>
        <v>0</v>
      </c>
      <c r="H12" s="4">
        <v>6500</v>
      </c>
      <c r="I12" s="4">
        <f t="shared" si="2"/>
        <v>6500</v>
      </c>
      <c r="J12" s="7">
        <v>6490</v>
      </c>
      <c r="K12" s="4">
        <f t="shared" si="3"/>
        <v>6490</v>
      </c>
      <c r="L12" s="7">
        <v>4348.7394957983197</v>
      </c>
      <c r="M12" s="4">
        <f t="shared" si="4"/>
        <v>4348.7394957983197</v>
      </c>
      <c r="N12" s="7">
        <f>4500/1.19</f>
        <v>3781.5126050420172</v>
      </c>
      <c r="O12" s="4">
        <f t="shared" si="5"/>
        <v>3781.5126050420172</v>
      </c>
      <c r="P12" s="7">
        <v>7310</v>
      </c>
      <c r="Q12" s="4">
        <f t="shared" si="6"/>
        <v>7310</v>
      </c>
      <c r="R12" s="7">
        <v>2500</v>
      </c>
      <c r="S12" s="58">
        <f t="shared" si="7"/>
        <v>2500</v>
      </c>
    </row>
    <row r="13" spans="1:19" ht="17.100000000000001" customHeight="1" x14ac:dyDescent="0.25">
      <c r="A13" s="57" t="s">
        <v>113</v>
      </c>
      <c r="B13" s="2" t="s">
        <v>51</v>
      </c>
      <c r="C13" s="3">
        <v>1</v>
      </c>
      <c r="D13" s="4">
        <v>2000</v>
      </c>
      <c r="E13" s="4">
        <f t="shared" si="0"/>
        <v>2000</v>
      </c>
      <c r="F13" s="4">
        <v>600</v>
      </c>
      <c r="G13" s="4">
        <f t="shared" si="1"/>
        <v>600</v>
      </c>
      <c r="H13" s="4">
        <v>900</v>
      </c>
      <c r="I13" s="4">
        <f t="shared" si="2"/>
        <v>900</v>
      </c>
      <c r="J13" s="7">
        <v>386</v>
      </c>
      <c r="K13" s="4">
        <f t="shared" si="3"/>
        <v>386</v>
      </c>
      <c r="L13" s="7">
        <v>756.30252100840335</v>
      </c>
      <c r="M13" s="4">
        <f t="shared" si="4"/>
        <v>756.30252100840335</v>
      </c>
      <c r="N13" s="7">
        <f>800/1.19</f>
        <v>672.26890756302521</v>
      </c>
      <c r="O13" s="4">
        <f t="shared" si="5"/>
        <v>672.26890756302521</v>
      </c>
      <c r="P13" s="7">
        <v>714</v>
      </c>
      <c r="Q13" s="4">
        <f t="shared" si="6"/>
        <v>714</v>
      </c>
      <c r="R13" s="7">
        <v>600</v>
      </c>
      <c r="S13" s="58">
        <f t="shared" si="7"/>
        <v>600</v>
      </c>
    </row>
    <row r="14" spans="1:19" ht="17.100000000000001" customHeight="1" x14ac:dyDescent="0.25">
      <c r="A14" s="57" t="s">
        <v>77</v>
      </c>
      <c r="B14" s="2" t="s">
        <v>51</v>
      </c>
      <c r="C14" s="3">
        <v>1</v>
      </c>
      <c r="D14" s="4">
        <v>3000</v>
      </c>
      <c r="E14" s="4">
        <f t="shared" si="0"/>
        <v>3000</v>
      </c>
      <c r="F14" s="4">
        <v>800</v>
      </c>
      <c r="G14" s="4">
        <f t="shared" si="1"/>
        <v>800</v>
      </c>
      <c r="H14" s="4">
        <v>1000</v>
      </c>
      <c r="I14" s="4">
        <f t="shared" si="2"/>
        <v>1000</v>
      </c>
      <c r="J14" s="7">
        <v>550</v>
      </c>
      <c r="K14" s="4">
        <f t="shared" si="3"/>
        <v>550</v>
      </c>
      <c r="L14" s="7">
        <v>3739.4957983193281</v>
      </c>
      <c r="M14" s="4">
        <f t="shared" si="4"/>
        <v>3739.4957983193281</v>
      </c>
      <c r="N14" s="7">
        <f>1200/1.19</f>
        <v>1008.4033613445379</v>
      </c>
      <c r="O14" s="4">
        <f t="shared" si="5"/>
        <v>1008.4033613445379</v>
      </c>
      <c r="P14" s="7">
        <v>1060</v>
      </c>
      <c r="Q14" s="4">
        <f t="shared" si="6"/>
        <v>1060</v>
      </c>
      <c r="R14" s="7">
        <v>700</v>
      </c>
      <c r="S14" s="58">
        <f t="shared" si="7"/>
        <v>700</v>
      </c>
    </row>
    <row r="15" spans="1:19" ht="17.100000000000001" customHeight="1" x14ac:dyDescent="0.25">
      <c r="A15" s="57" t="s">
        <v>78</v>
      </c>
      <c r="B15" s="2" t="s">
        <v>51</v>
      </c>
      <c r="C15" s="3">
        <v>1</v>
      </c>
      <c r="D15" s="4">
        <v>400</v>
      </c>
      <c r="E15" s="4">
        <f t="shared" si="0"/>
        <v>400</v>
      </c>
      <c r="F15" s="4">
        <v>0</v>
      </c>
      <c r="G15" s="4">
        <f t="shared" si="1"/>
        <v>0</v>
      </c>
      <c r="H15" s="4">
        <v>500</v>
      </c>
      <c r="I15" s="4">
        <f t="shared" si="2"/>
        <v>500</v>
      </c>
      <c r="J15" s="7">
        <v>220</v>
      </c>
      <c r="K15" s="4">
        <f t="shared" si="3"/>
        <v>220</v>
      </c>
      <c r="L15" s="7">
        <v>4117.6470588235297</v>
      </c>
      <c r="M15" s="4">
        <f t="shared" si="4"/>
        <v>4117.6470588235297</v>
      </c>
      <c r="N15" s="7">
        <f>600/1.19</f>
        <v>504.20168067226894</v>
      </c>
      <c r="O15" s="4">
        <f t="shared" si="5"/>
        <v>504.20168067226894</v>
      </c>
      <c r="P15" s="7">
        <v>210</v>
      </c>
      <c r="Q15" s="4">
        <f t="shared" si="6"/>
        <v>210</v>
      </c>
      <c r="R15" s="7">
        <v>302.52100840336135</v>
      </c>
      <c r="S15" s="58">
        <f t="shared" si="7"/>
        <v>302.52100840336135</v>
      </c>
    </row>
    <row r="16" spans="1:19" ht="17.100000000000001" customHeight="1" x14ac:dyDescent="0.25">
      <c r="A16" s="57" t="s">
        <v>114</v>
      </c>
      <c r="B16" s="2" t="s">
        <v>51</v>
      </c>
      <c r="C16" s="3">
        <v>1</v>
      </c>
      <c r="D16" s="4">
        <v>500</v>
      </c>
      <c r="E16" s="4">
        <f t="shared" si="0"/>
        <v>500</v>
      </c>
      <c r="F16" s="4">
        <v>0</v>
      </c>
      <c r="G16" s="4">
        <f t="shared" si="1"/>
        <v>0</v>
      </c>
      <c r="H16" s="4">
        <v>600</v>
      </c>
      <c r="I16" s="4">
        <f t="shared" si="2"/>
        <v>600</v>
      </c>
      <c r="J16" s="7">
        <v>350</v>
      </c>
      <c r="K16" s="4">
        <f t="shared" si="3"/>
        <v>350</v>
      </c>
      <c r="L16" s="7">
        <v>5126.0504201680678</v>
      </c>
      <c r="M16" s="4">
        <f t="shared" si="4"/>
        <v>5126.0504201680678</v>
      </c>
      <c r="N16" s="7">
        <f>750/1.19</f>
        <v>630.2521008403362</v>
      </c>
      <c r="O16" s="4">
        <f t="shared" si="5"/>
        <v>630.2521008403362</v>
      </c>
      <c r="P16" s="7">
        <v>302</v>
      </c>
      <c r="Q16" s="4">
        <f t="shared" si="6"/>
        <v>302</v>
      </c>
      <c r="R16" s="7">
        <v>403.36134453781517</v>
      </c>
      <c r="S16" s="58">
        <f t="shared" si="7"/>
        <v>403.36134453781517</v>
      </c>
    </row>
    <row r="17" spans="1:19" ht="17.100000000000001" customHeight="1" x14ac:dyDescent="0.25">
      <c r="A17" s="57" t="s">
        <v>85</v>
      </c>
      <c r="B17" s="2" t="s">
        <v>51</v>
      </c>
      <c r="C17" s="3">
        <v>1</v>
      </c>
      <c r="D17" s="4">
        <v>7500</v>
      </c>
      <c r="E17" s="4">
        <f t="shared" si="0"/>
        <v>7500</v>
      </c>
      <c r="F17" s="4">
        <v>11500</v>
      </c>
      <c r="G17" s="4">
        <f t="shared" si="1"/>
        <v>11500</v>
      </c>
      <c r="H17" s="4">
        <v>5000</v>
      </c>
      <c r="I17" s="4">
        <f t="shared" si="2"/>
        <v>5000</v>
      </c>
      <c r="J17" s="7">
        <v>6731</v>
      </c>
      <c r="K17" s="4">
        <f t="shared" si="3"/>
        <v>6731</v>
      </c>
      <c r="L17" s="7">
        <v>3500</v>
      </c>
      <c r="M17" s="4">
        <f t="shared" si="4"/>
        <v>3500</v>
      </c>
      <c r="N17" s="7">
        <f>10000/1.19</f>
        <v>8403.361344537816</v>
      </c>
      <c r="O17" s="4">
        <f t="shared" si="5"/>
        <v>8403.361344537816</v>
      </c>
      <c r="P17" s="7">
        <v>6471</v>
      </c>
      <c r="Q17" s="4">
        <f t="shared" si="6"/>
        <v>6471</v>
      </c>
      <c r="R17" s="7">
        <v>5000</v>
      </c>
      <c r="S17" s="58">
        <f t="shared" si="7"/>
        <v>5000</v>
      </c>
    </row>
    <row r="18" spans="1:19" ht="17.100000000000001" customHeight="1" x14ac:dyDescent="0.25">
      <c r="A18" s="101" t="s">
        <v>86</v>
      </c>
      <c r="B18" s="5" t="s">
        <v>51</v>
      </c>
      <c r="C18" s="6">
        <v>1</v>
      </c>
      <c r="D18" s="7">
        <v>11000</v>
      </c>
      <c r="E18" s="4">
        <f t="shared" si="0"/>
        <v>11000</v>
      </c>
      <c r="F18" s="4">
        <v>17500</v>
      </c>
      <c r="G18" s="4">
        <f t="shared" si="1"/>
        <v>17500</v>
      </c>
      <c r="H18" s="4">
        <v>7000</v>
      </c>
      <c r="I18" s="4">
        <f t="shared" si="2"/>
        <v>7000</v>
      </c>
      <c r="J18" s="7">
        <v>9310</v>
      </c>
      <c r="K18" s="4">
        <f t="shared" si="3"/>
        <v>9310</v>
      </c>
      <c r="L18" s="7">
        <v>4214.2857142857147</v>
      </c>
      <c r="M18" s="4">
        <f t="shared" si="4"/>
        <v>4214.2857142857147</v>
      </c>
      <c r="N18" s="7">
        <f>15500/1.19</f>
        <v>13025.210084033613</v>
      </c>
      <c r="O18" s="4">
        <f t="shared" si="5"/>
        <v>13025.210084033613</v>
      </c>
      <c r="P18" s="7">
        <v>9496</v>
      </c>
      <c r="Q18" s="4">
        <f t="shared" si="6"/>
        <v>9496</v>
      </c>
      <c r="R18" s="7">
        <v>7500</v>
      </c>
      <c r="S18" s="58">
        <f t="shared" si="7"/>
        <v>7500</v>
      </c>
    </row>
    <row r="19" spans="1:19" ht="17.100000000000001" customHeight="1" x14ac:dyDescent="0.25">
      <c r="A19" s="57" t="s">
        <v>82</v>
      </c>
      <c r="B19" s="2" t="s">
        <v>51</v>
      </c>
      <c r="C19" s="3">
        <v>1</v>
      </c>
      <c r="D19" s="4">
        <v>12000</v>
      </c>
      <c r="E19" s="4">
        <f t="shared" si="0"/>
        <v>12000</v>
      </c>
      <c r="F19" s="4">
        <v>0</v>
      </c>
      <c r="G19" s="4">
        <f t="shared" si="1"/>
        <v>0</v>
      </c>
      <c r="H19" s="4">
        <v>12000</v>
      </c>
      <c r="I19" s="4">
        <f t="shared" si="2"/>
        <v>12000</v>
      </c>
      <c r="J19" s="4">
        <v>12353</v>
      </c>
      <c r="K19" s="4">
        <f t="shared" si="3"/>
        <v>12353</v>
      </c>
      <c r="L19" s="7">
        <v>15882.352941176472</v>
      </c>
      <c r="M19" s="4">
        <f t="shared" si="4"/>
        <v>15882.352941176472</v>
      </c>
      <c r="N19" s="7">
        <f>12500/1.19</f>
        <v>10504.20168067227</v>
      </c>
      <c r="O19" s="4">
        <f t="shared" si="5"/>
        <v>10504.20168067227</v>
      </c>
      <c r="P19" s="7">
        <v>6555</v>
      </c>
      <c r="Q19" s="4">
        <f t="shared" si="6"/>
        <v>6555</v>
      </c>
      <c r="R19" s="7">
        <v>6200</v>
      </c>
      <c r="S19" s="58">
        <f t="shared" si="7"/>
        <v>6200</v>
      </c>
    </row>
    <row r="20" spans="1:19" ht="17.100000000000001" customHeight="1" x14ac:dyDescent="0.25">
      <c r="A20" s="57" t="s">
        <v>81</v>
      </c>
      <c r="B20" s="2" t="s">
        <v>51</v>
      </c>
      <c r="C20" s="3">
        <v>1</v>
      </c>
      <c r="D20" s="4">
        <v>18000</v>
      </c>
      <c r="E20" s="4">
        <f t="shared" si="0"/>
        <v>18000</v>
      </c>
      <c r="F20" s="4">
        <v>0</v>
      </c>
      <c r="G20" s="4">
        <f t="shared" si="1"/>
        <v>0</v>
      </c>
      <c r="H20" s="4">
        <v>19000</v>
      </c>
      <c r="I20" s="4">
        <f t="shared" si="2"/>
        <v>19000</v>
      </c>
      <c r="J20" s="4">
        <v>19490</v>
      </c>
      <c r="K20" s="4">
        <f t="shared" si="3"/>
        <v>19490</v>
      </c>
      <c r="L20" s="7">
        <v>21764.705882352941</v>
      </c>
      <c r="M20" s="4">
        <f t="shared" si="4"/>
        <v>21764.705882352941</v>
      </c>
      <c r="N20" s="7">
        <f>16500/1.19</f>
        <v>13865.546218487396</v>
      </c>
      <c r="O20" s="4">
        <f t="shared" si="5"/>
        <v>13865.546218487396</v>
      </c>
      <c r="P20" s="7">
        <v>11765</v>
      </c>
      <c r="Q20" s="4">
        <f t="shared" si="6"/>
        <v>11765</v>
      </c>
      <c r="R20" s="7">
        <v>10500</v>
      </c>
      <c r="S20" s="58">
        <f t="shared" si="7"/>
        <v>10500</v>
      </c>
    </row>
    <row r="21" spans="1:19" ht="17.100000000000001" customHeight="1" x14ac:dyDescent="0.25">
      <c r="A21" s="57" t="s">
        <v>117</v>
      </c>
      <c r="B21" s="2" t="s">
        <v>51</v>
      </c>
      <c r="C21" s="3">
        <v>1</v>
      </c>
      <c r="D21" s="4">
        <v>80000</v>
      </c>
      <c r="E21" s="4">
        <f t="shared" si="0"/>
        <v>80000</v>
      </c>
      <c r="F21" s="4">
        <v>0</v>
      </c>
      <c r="G21" s="4">
        <f t="shared" si="1"/>
        <v>0</v>
      </c>
      <c r="H21" s="4">
        <v>0</v>
      </c>
      <c r="I21" s="4">
        <f t="shared" si="2"/>
        <v>0</v>
      </c>
      <c r="J21" s="4">
        <v>78405</v>
      </c>
      <c r="K21" s="4">
        <f t="shared" si="3"/>
        <v>78405</v>
      </c>
      <c r="L21" s="7">
        <v>75546.218487394959</v>
      </c>
      <c r="M21" s="4">
        <f t="shared" si="4"/>
        <v>75546.218487394959</v>
      </c>
      <c r="N21" s="7">
        <v>0</v>
      </c>
      <c r="O21" s="4">
        <f t="shared" si="5"/>
        <v>0</v>
      </c>
      <c r="P21" s="7">
        <v>76471</v>
      </c>
      <c r="Q21" s="4">
        <f t="shared" si="6"/>
        <v>76471</v>
      </c>
      <c r="R21" s="7">
        <v>41522.689075630253</v>
      </c>
      <c r="S21" s="58">
        <f t="shared" si="7"/>
        <v>41522.689075630253</v>
      </c>
    </row>
    <row r="22" spans="1:19" ht="17.100000000000001" customHeight="1" x14ac:dyDescent="0.25">
      <c r="A22" s="57" t="s">
        <v>116</v>
      </c>
      <c r="B22" s="2" t="s">
        <v>51</v>
      </c>
      <c r="C22" s="3">
        <v>1</v>
      </c>
      <c r="D22" s="4">
        <v>600</v>
      </c>
      <c r="E22" s="4">
        <f t="shared" si="0"/>
        <v>600</v>
      </c>
      <c r="F22" s="4">
        <v>500</v>
      </c>
      <c r="G22" s="4">
        <f t="shared" si="1"/>
        <v>500</v>
      </c>
      <c r="H22" s="4">
        <v>800</v>
      </c>
      <c r="I22" s="4">
        <f t="shared" si="2"/>
        <v>800</v>
      </c>
      <c r="J22" s="4">
        <v>4376</v>
      </c>
      <c r="K22" s="4">
        <f t="shared" si="3"/>
        <v>4376</v>
      </c>
      <c r="L22" s="7">
        <v>3214.2857142857147</v>
      </c>
      <c r="M22" s="4">
        <f t="shared" si="4"/>
        <v>3214.2857142857147</v>
      </c>
      <c r="N22" s="7">
        <f>600/1.19</f>
        <v>504.20168067226894</v>
      </c>
      <c r="O22" s="4">
        <f t="shared" si="5"/>
        <v>504.20168067226894</v>
      </c>
      <c r="P22" s="7">
        <v>462</v>
      </c>
      <c r="Q22" s="4">
        <f t="shared" si="6"/>
        <v>462</v>
      </c>
      <c r="R22" s="7">
        <v>3000</v>
      </c>
      <c r="S22" s="58">
        <f t="shared" si="7"/>
        <v>3000</v>
      </c>
    </row>
    <row r="23" spans="1:19" ht="17.100000000000001" customHeight="1" x14ac:dyDescent="0.25">
      <c r="A23" s="57" t="s">
        <v>115</v>
      </c>
      <c r="B23" s="2" t="s">
        <v>51</v>
      </c>
      <c r="C23" s="3">
        <v>1</v>
      </c>
      <c r="D23" s="4">
        <v>2000</v>
      </c>
      <c r="E23" s="4">
        <f t="shared" si="0"/>
        <v>2000</v>
      </c>
      <c r="F23" s="4">
        <v>0</v>
      </c>
      <c r="G23" s="4">
        <f t="shared" si="1"/>
        <v>0</v>
      </c>
      <c r="H23" s="4">
        <v>0</v>
      </c>
      <c r="I23" s="4">
        <f t="shared" si="2"/>
        <v>0</v>
      </c>
      <c r="J23" s="4">
        <v>1601</v>
      </c>
      <c r="K23" s="4">
        <f t="shared" si="3"/>
        <v>1601</v>
      </c>
      <c r="L23" s="7">
        <v>1596.6386554621849</v>
      </c>
      <c r="M23" s="4">
        <f t="shared" si="4"/>
        <v>1596.6386554621849</v>
      </c>
      <c r="N23" s="7">
        <v>0</v>
      </c>
      <c r="O23" s="4">
        <f t="shared" si="5"/>
        <v>0</v>
      </c>
      <c r="P23" s="7">
        <v>4621</v>
      </c>
      <c r="Q23" s="4">
        <f t="shared" si="6"/>
        <v>4621</v>
      </c>
      <c r="R23" s="7">
        <v>700</v>
      </c>
      <c r="S23" s="58">
        <f t="shared" si="7"/>
        <v>700</v>
      </c>
    </row>
    <row r="24" spans="1:19" ht="17.100000000000001" customHeight="1" x14ac:dyDescent="0.25">
      <c r="A24" s="57" t="s">
        <v>84</v>
      </c>
      <c r="B24" s="2" t="s">
        <v>51</v>
      </c>
      <c r="C24" s="3">
        <v>1</v>
      </c>
      <c r="D24" s="4">
        <v>10000</v>
      </c>
      <c r="E24" s="4">
        <f t="shared" si="0"/>
        <v>10000</v>
      </c>
      <c r="F24" s="4">
        <v>0</v>
      </c>
      <c r="G24" s="4">
        <f t="shared" si="1"/>
        <v>0</v>
      </c>
      <c r="H24" s="4">
        <v>0</v>
      </c>
      <c r="I24" s="4">
        <f t="shared" si="2"/>
        <v>0</v>
      </c>
      <c r="J24" s="4">
        <v>3527</v>
      </c>
      <c r="K24" s="4">
        <f t="shared" si="3"/>
        <v>3527</v>
      </c>
      <c r="L24" s="7">
        <v>15882.352941176472</v>
      </c>
      <c r="M24" s="4">
        <f t="shared" si="4"/>
        <v>15882.352941176472</v>
      </c>
      <c r="N24" s="7">
        <f>5500/1.19</f>
        <v>4621.8487394957983</v>
      </c>
      <c r="O24" s="4">
        <f t="shared" si="5"/>
        <v>4621.8487394957983</v>
      </c>
      <c r="P24" s="7">
        <v>744</v>
      </c>
      <c r="Q24" s="4">
        <f t="shared" si="6"/>
        <v>744</v>
      </c>
      <c r="R24" s="7">
        <v>6000</v>
      </c>
      <c r="S24" s="58">
        <f t="shared" si="7"/>
        <v>6000</v>
      </c>
    </row>
    <row r="25" spans="1:19" ht="17.100000000000001" customHeight="1" x14ac:dyDescent="0.25">
      <c r="A25" s="57" t="s">
        <v>136</v>
      </c>
      <c r="B25" s="2" t="s">
        <v>51</v>
      </c>
      <c r="C25" s="3">
        <v>1</v>
      </c>
      <c r="D25" s="4">
        <v>25000</v>
      </c>
      <c r="E25" s="4">
        <f t="shared" si="0"/>
        <v>25000</v>
      </c>
      <c r="F25" s="4">
        <v>1800</v>
      </c>
      <c r="G25" s="4">
        <f t="shared" si="1"/>
        <v>1800</v>
      </c>
      <c r="H25" s="4">
        <v>45000</v>
      </c>
      <c r="I25" s="4">
        <f t="shared" si="2"/>
        <v>45000</v>
      </c>
      <c r="J25" s="4">
        <v>26400</v>
      </c>
      <c r="K25" s="4">
        <f t="shared" si="3"/>
        <v>26400</v>
      </c>
      <c r="L25" s="7">
        <v>18403.361344537814</v>
      </c>
      <c r="M25" s="4">
        <f t="shared" si="4"/>
        <v>18403.361344537814</v>
      </c>
      <c r="N25" s="7">
        <f>27000/1.19</f>
        <v>22689.0756302521</v>
      </c>
      <c r="O25" s="4">
        <f t="shared" si="5"/>
        <v>22689.0756302521</v>
      </c>
      <c r="P25" s="7">
        <v>16807</v>
      </c>
      <c r="Q25" s="4">
        <f t="shared" si="6"/>
        <v>16807</v>
      </c>
      <c r="R25" s="7">
        <v>18000</v>
      </c>
      <c r="S25" s="58">
        <f t="shared" si="7"/>
        <v>18000</v>
      </c>
    </row>
    <row r="26" spans="1:19" ht="17.100000000000001" customHeight="1" x14ac:dyDescent="0.25">
      <c r="A26" s="57" t="s">
        <v>137</v>
      </c>
      <c r="B26" s="2" t="s">
        <v>51</v>
      </c>
      <c r="C26" s="3">
        <v>1</v>
      </c>
      <c r="D26" s="4">
        <v>15000</v>
      </c>
      <c r="E26" s="4">
        <f t="shared" si="0"/>
        <v>15000</v>
      </c>
      <c r="F26" s="4">
        <v>1500</v>
      </c>
      <c r="G26" s="4">
        <f t="shared" si="1"/>
        <v>1500</v>
      </c>
      <c r="H26" s="4">
        <v>17000</v>
      </c>
      <c r="I26" s="4">
        <f t="shared" si="2"/>
        <v>17000</v>
      </c>
      <c r="J26" s="4">
        <v>18420</v>
      </c>
      <c r="K26" s="4">
        <f t="shared" si="3"/>
        <v>18420</v>
      </c>
      <c r="L26" s="7">
        <v>11680.672268907563</v>
      </c>
      <c r="M26" s="4">
        <f t="shared" si="4"/>
        <v>11680.672268907563</v>
      </c>
      <c r="N26" s="7">
        <f>25000/1.19</f>
        <v>21008.403361344539</v>
      </c>
      <c r="O26" s="4">
        <f t="shared" si="5"/>
        <v>21008.403361344539</v>
      </c>
      <c r="P26" s="7">
        <v>10925</v>
      </c>
      <c r="Q26" s="4">
        <f t="shared" si="6"/>
        <v>10925</v>
      </c>
      <c r="R26" s="7">
        <v>13000</v>
      </c>
      <c r="S26" s="58">
        <f t="shared" si="7"/>
        <v>13000</v>
      </c>
    </row>
    <row r="27" spans="1:19" ht="17.100000000000001" customHeight="1" x14ac:dyDescent="0.25">
      <c r="A27" s="57" t="s">
        <v>79</v>
      </c>
      <c r="B27" s="2" t="s">
        <v>51</v>
      </c>
      <c r="C27" s="3">
        <v>1</v>
      </c>
      <c r="D27" s="4">
        <v>2000</v>
      </c>
      <c r="E27" s="4">
        <f t="shared" si="0"/>
        <v>2000</v>
      </c>
      <c r="F27" s="4">
        <v>0</v>
      </c>
      <c r="G27" s="4">
        <f t="shared" si="1"/>
        <v>0</v>
      </c>
      <c r="H27" s="4">
        <v>700</v>
      </c>
      <c r="I27" s="4">
        <f t="shared" si="2"/>
        <v>700</v>
      </c>
      <c r="J27" s="4">
        <v>1115</v>
      </c>
      <c r="K27" s="4">
        <f t="shared" si="3"/>
        <v>1115</v>
      </c>
      <c r="L27" s="7">
        <v>1816.8067226890755</v>
      </c>
      <c r="M27" s="4">
        <f t="shared" si="4"/>
        <v>1816.8067226890755</v>
      </c>
      <c r="N27" s="7">
        <f>2600/1.19</f>
        <v>2184.8739495798322</v>
      </c>
      <c r="O27" s="4">
        <f t="shared" si="5"/>
        <v>2184.8739495798322</v>
      </c>
      <c r="P27" s="7">
        <v>1092</v>
      </c>
      <c r="Q27" s="4">
        <f t="shared" si="6"/>
        <v>1092</v>
      </c>
      <c r="R27" s="7">
        <v>1218.4873949579833</v>
      </c>
      <c r="S27" s="58">
        <f t="shared" si="7"/>
        <v>1218.4873949579833</v>
      </c>
    </row>
    <row r="28" spans="1:19" ht="17.100000000000001" customHeight="1" x14ac:dyDescent="0.25">
      <c r="A28" s="57" t="s">
        <v>80</v>
      </c>
      <c r="B28" s="2" t="s">
        <v>51</v>
      </c>
      <c r="C28" s="3">
        <v>1</v>
      </c>
      <c r="D28" s="4">
        <v>1500</v>
      </c>
      <c r="E28" s="4">
        <f t="shared" si="0"/>
        <v>1500</v>
      </c>
      <c r="F28" s="4">
        <v>250</v>
      </c>
      <c r="G28" s="4">
        <f t="shared" si="1"/>
        <v>250</v>
      </c>
      <c r="H28" s="4">
        <v>900</v>
      </c>
      <c r="I28" s="4">
        <f t="shared" si="2"/>
        <v>900</v>
      </c>
      <c r="J28" s="4">
        <v>846</v>
      </c>
      <c r="K28" s="4">
        <f t="shared" si="3"/>
        <v>846</v>
      </c>
      <c r="L28" s="7">
        <v>1421.8487394957981</v>
      </c>
      <c r="M28" s="4">
        <f t="shared" si="4"/>
        <v>1421.8487394957981</v>
      </c>
      <c r="N28" s="7">
        <f>1300/1.19</f>
        <v>1092.4369747899161</v>
      </c>
      <c r="O28" s="4">
        <f t="shared" si="5"/>
        <v>1092.4369747899161</v>
      </c>
      <c r="P28" s="7">
        <v>756</v>
      </c>
      <c r="Q28" s="4">
        <f t="shared" si="6"/>
        <v>756</v>
      </c>
      <c r="R28" s="7">
        <v>1008.4033613445379</v>
      </c>
      <c r="S28" s="58">
        <f t="shared" si="7"/>
        <v>1008.4033613445379</v>
      </c>
    </row>
    <row r="29" spans="1:19" ht="17.100000000000001" customHeight="1" x14ac:dyDescent="0.25">
      <c r="A29" s="57" t="s">
        <v>60</v>
      </c>
      <c r="B29" s="2" t="s">
        <v>51</v>
      </c>
      <c r="C29" s="3">
        <v>1</v>
      </c>
      <c r="D29" s="4">
        <v>9000</v>
      </c>
      <c r="E29" s="4">
        <f t="shared" si="0"/>
        <v>9000</v>
      </c>
      <c r="F29" s="4">
        <v>0</v>
      </c>
      <c r="G29" s="4">
        <f t="shared" si="1"/>
        <v>0</v>
      </c>
      <c r="H29" s="4">
        <v>0</v>
      </c>
      <c r="I29" s="4">
        <f t="shared" si="2"/>
        <v>0</v>
      </c>
      <c r="J29" s="4">
        <v>6255</v>
      </c>
      <c r="K29" s="4">
        <f t="shared" si="3"/>
        <v>6255</v>
      </c>
      <c r="L29" s="7">
        <v>6638.6554621848745</v>
      </c>
      <c r="M29" s="4">
        <f t="shared" si="4"/>
        <v>6638.6554621848745</v>
      </c>
      <c r="N29" s="7">
        <v>0</v>
      </c>
      <c r="O29" s="4">
        <f t="shared" si="5"/>
        <v>0</v>
      </c>
      <c r="P29" s="7">
        <v>11500</v>
      </c>
      <c r="Q29" s="4">
        <f t="shared" si="6"/>
        <v>11500</v>
      </c>
      <c r="R29" s="7">
        <v>5000</v>
      </c>
      <c r="S29" s="58">
        <f t="shared" si="7"/>
        <v>5000</v>
      </c>
    </row>
    <row r="30" spans="1:19" ht="17.100000000000001" customHeight="1" x14ac:dyDescent="0.25">
      <c r="A30" s="57" t="s">
        <v>61</v>
      </c>
      <c r="B30" s="2" t="s">
        <v>51</v>
      </c>
      <c r="C30" s="3">
        <v>1</v>
      </c>
      <c r="D30" s="4">
        <v>7000</v>
      </c>
      <c r="E30" s="4">
        <f t="shared" si="0"/>
        <v>7000</v>
      </c>
      <c r="F30" s="4">
        <v>0</v>
      </c>
      <c r="G30" s="4">
        <f t="shared" si="1"/>
        <v>0</v>
      </c>
      <c r="H30" s="4">
        <v>0</v>
      </c>
      <c r="I30" s="4">
        <f t="shared" si="2"/>
        <v>0</v>
      </c>
      <c r="J30" s="4">
        <v>5882</v>
      </c>
      <c r="K30" s="4">
        <f t="shared" si="3"/>
        <v>5882</v>
      </c>
      <c r="L30" s="7">
        <v>5462.1848739495799</v>
      </c>
      <c r="M30" s="4">
        <f t="shared" si="4"/>
        <v>5462.1848739495799</v>
      </c>
      <c r="N30" s="7">
        <v>0</v>
      </c>
      <c r="O30" s="4">
        <f t="shared" si="5"/>
        <v>0</v>
      </c>
      <c r="P30" s="7">
        <v>5210</v>
      </c>
      <c r="Q30" s="4">
        <f t="shared" si="6"/>
        <v>5210</v>
      </c>
      <c r="R30" s="7">
        <v>5000</v>
      </c>
      <c r="S30" s="58">
        <f t="shared" si="7"/>
        <v>5000</v>
      </c>
    </row>
    <row r="31" spans="1:19" ht="17.100000000000001" customHeight="1" x14ac:dyDescent="0.25">
      <c r="A31" s="57" t="s">
        <v>75</v>
      </c>
      <c r="B31" s="2" t="s">
        <v>51</v>
      </c>
      <c r="C31" s="3">
        <v>1</v>
      </c>
      <c r="D31" s="4">
        <v>1800</v>
      </c>
      <c r="E31" s="4">
        <f t="shared" si="0"/>
        <v>1800</v>
      </c>
      <c r="F31" s="4">
        <v>1800</v>
      </c>
      <c r="G31" s="4">
        <f t="shared" si="1"/>
        <v>1800</v>
      </c>
      <c r="H31" s="4">
        <v>2000</v>
      </c>
      <c r="I31" s="4">
        <f t="shared" si="2"/>
        <v>2000</v>
      </c>
      <c r="J31" s="4">
        <v>940</v>
      </c>
      <c r="K31" s="4">
        <f t="shared" si="3"/>
        <v>940</v>
      </c>
      <c r="L31" s="7">
        <v>1816.8067226890755</v>
      </c>
      <c r="M31" s="4">
        <f t="shared" si="4"/>
        <v>1816.8067226890755</v>
      </c>
      <c r="N31" s="7">
        <f>2000/1.19</f>
        <v>1680.6722689075632</v>
      </c>
      <c r="O31" s="4">
        <f t="shared" si="5"/>
        <v>1680.6722689075632</v>
      </c>
      <c r="P31" s="7">
        <v>1050</v>
      </c>
      <c r="Q31" s="4">
        <f t="shared" si="6"/>
        <v>1050</v>
      </c>
      <c r="R31" s="7">
        <v>1218.4873949579833</v>
      </c>
      <c r="S31" s="58">
        <f t="shared" si="7"/>
        <v>1218.4873949579833</v>
      </c>
    </row>
    <row r="32" spans="1:19" ht="17.100000000000001" customHeight="1" thickBot="1" x14ac:dyDescent="0.3">
      <c r="A32" s="102" t="s">
        <v>76</v>
      </c>
      <c r="B32" s="103" t="s">
        <v>51</v>
      </c>
      <c r="C32" s="104">
        <v>1</v>
      </c>
      <c r="D32" s="37">
        <v>1500</v>
      </c>
      <c r="E32" s="62">
        <f t="shared" si="0"/>
        <v>1500</v>
      </c>
      <c r="F32" s="62">
        <v>1500</v>
      </c>
      <c r="G32" s="62">
        <f t="shared" si="1"/>
        <v>1500</v>
      </c>
      <c r="H32" s="62">
        <v>1700</v>
      </c>
      <c r="I32" s="62">
        <f t="shared" si="2"/>
        <v>1700</v>
      </c>
      <c r="J32" s="37">
        <v>840</v>
      </c>
      <c r="K32" s="62">
        <f t="shared" si="3"/>
        <v>840</v>
      </c>
      <c r="L32" s="37">
        <v>1263.8655462184872</v>
      </c>
      <c r="M32" s="62">
        <f t="shared" si="4"/>
        <v>1263.8655462184872</v>
      </c>
      <c r="N32" s="37">
        <f>1700/1.19</f>
        <v>1428.5714285714287</v>
      </c>
      <c r="O32" s="62">
        <f t="shared" si="5"/>
        <v>1428.5714285714287</v>
      </c>
      <c r="P32" s="37">
        <v>840</v>
      </c>
      <c r="Q32" s="62">
        <f t="shared" si="6"/>
        <v>840</v>
      </c>
      <c r="R32" s="37">
        <v>1008.4033613445379</v>
      </c>
      <c r="S32" s="63">
        <f t="shared" si="7"/>
        <v>1008.4033613445379</v>
      </c>
    </row>
    <row r="33" spans="3:19" x14ac:dyDescent="0.25">
      <c r="C33" s="97" t="s">
        <v>40</v>
      </c>
      <c r="D33" s="98"/>
      <c r="E33" s="64">
        <f>SUM(E5:E32)</f>
        <v>265000</v>
      </c>
      <c r="F33" s="99"/>
      <c r="G33" s="100">
        <f>SUM(G5:G32)</f>
        <v>74250</v>
      </c>
      <c r="H33" s="99"/>
      <c r="I33" s="100">
        <f>SUM(I5:I32)</f>
        <v>142800</v>
      </c>
      <c r="J33" s="99"/>
      <c r="K33" s="100">
        <f>SUM(K5:K32)</f>
        <v>242112</v>
      </c>
      <c r="L33" s="99"/>
      <c r="M33" s="64">
        <f>SUM(M5:M32)</f>
        <v>280567.22689075622</v>
      </c>
      <c r="N33" s="99"/>
      <c r="O33" s="64">
        <f>SUM(O5:O32)</f>
        <v>109873.94957983195</v>
      </c>
      <c r="P33" s="99"/>
      <c r="Q33" s="64">
        <f>SUM(Q5:Q32)</f>
        <v>210410</v>
      </c>
      <c r="R33" s="99"/>
      <c r="S33" s="66">
        <f>SUM(S5:S32)</f>
        <v>164281.51260504199</v>
      </c>
    </row>
    <row r="34" spans="3:19" x14ac:dyDescent="0.25">
      <c r="C34" s="80" t="s">
        <v>41</v>
      </c>
      <c r="D34" s="95"/>
      <c r="E34" s="4">
        <f>E33*0.19</f>
        <v>50350</v>
      </c>
      <c r="F34" s="91"/>
      <c r="G34" s="92">
        <f>+G33*0.19</f>
        <v>14107.5</v>
      </c>
      <c r="H34" s="91"/>
      <c r="I34" s="92">
        <f>+I33*0.19</f>
        <v>27132</v>
      </c>
      <c r="J34" s="91"/>
      <c r="K34" s="92">
        <f>+K33*0.19</f>
        <v>46001.279999999999</v>
      </c>
      <c r="L34" s="91"/>
      <c r="M34" s="4">
        <f>M33*0.19</f>
        <v>53307.773109243681</v>
      </c>
      <c r="N34" s="91"/>
      <c r="O34" s="4">
        <f>O33*0.19</f>
        <v>20876.050420168071</v>
      </c>
      <c r="P34" s="91"/>
      <c r="Q34" s="4">
        <f>Q33*0.19</f>
        <v>39977.9</v>
      </c>
      <c r="R34" s="91"/>
      <c r="S34" s="58">
        <f>S33*0.19</f>
        <v>31213.487394957978</v>
      </c>
    </row>
    <row r="35" spans="3:19" ht="14.4" thickBot="1" x14ac:dyDescent="0.3">
      <c r="C35" s="82" t="s">
        <v>42</v>
      </c>
      <c r="D35" s="96"/>
      <c r="E35" s="62">
        <f>SUM(E33:E34)</f>
        <v>315350</v>
      </c>
      <c r="F35" s="93"/>
      <c r="G35" s="94">
        <f>+G34+G33</f>
        <v>88357.5</v>
      </c>
      <c r="H35" s="93"/>
      <c r="I35" s="94">
        <f>+I34+I33</f>
        <v>169932</v>
      </c>
      <c r="J35" s="93"/>
      <c r="K35" s="94">
        <f>+K34+K33</f>
        <v>288113.28000000003</v>
      </c>
      <c r="L35" s="93"/>
      <c r="M35" s="62">
        <f>SUM(M33:M34)</f>
        <v>333874.99999999988</v>
      </c>
      <c r="N35" s="93"/>
      <c r="O35" s="62">
        <f>SUM(O33:O34)</f>
        <v>130750.00000000003</v>
      </c>
      <c r="P35" s="93"/>
      <c r="Q35" s="62">
        <f>SUM(Q33:Q34)</f>
        <v>250387.9</v>
      </c>
      <c r="R35" s="93"/>
      <c r="S35" s="63">
        <f>SUM(S33:S34)</f>
        <v>195494.99999999997</v>
      </c>
    </row>
  </sheetData>
  <mergeCells count="21">
    <mergeCell ref="N3:O3"/>
    <mergeCell ref="P2:Q2"/>
    <mergeCell ref="P3:Q3"/>
    <mergeCell ref="R2:S2"/>
    <mergeCell ref="R3:S3"/>
    <mergeCell ref="D1:S1"/>
    <mergeCell ref="A1:C2"/>
    <mergeCell ref="L3:M3"/>
    <mergeCell ref="J3:K3"/>
    <mergeCell ref="A3:A4"/>
    <mergeCell ref="B3:B4"/>
    <mergeCell ref="C3:C4"/>
    <mergeCell ref="D3:E3"/>
    <mergeCell ref="F3:G3"/>
    <mergeCell ref="H3:I3"/>
    <mergeCell ref="D2:E2"/>
    <mergeCell ref="F2:G2"/>
    <mergeCell ref="H2:I2"/>
    <mergeCell ref="J2:K2"/>
    <mergeCell ref="L2:M2"/>
    <mergeCell ref="N2:O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953F9-3396-4046-B5F5-99048B55ADBD}">
  <dimension ref="A1:Q71"/>
  <sheetViews>
    <sheetView zoomScale="80" zoomScaleNormal="80" workbookViewId="0">
      <selection activeCell="D1" sqref="D1:Q1"/>
    </sheetView>
  </sheetViews>
  <sheetFormatPr baseColWidth="10" defaultColWidth="11.44140625" defaultRowHeight="13.8" x14ac:dyDescent="0.25"/>
  <cols>
    <col min="1" max="1" width="25.21875" style="1" bestFit="1" customWidth="1"/>
    <col min="2" max="2" width="11.44140625" style="1"/>
    <col min="3" max="3" width="11.44140625" style="1" customWidth="1"/>
    <col min="4" max="8" width="12" style="1" customWidth="1"/>
    <col min="9" max="9" width="14" style="1" customWidth="1"/>
    <col min="10" max="17" width="11.44140625" style="1" customWidth="1"/>
    <col min="18" max="16384" width="11.44140625" style="1"/>
  </cols>
  <sheetData>
    <row r="1" spans="1:17" ht="63" customHeight="1" thickBot="1" x14ac:dyDescent="0.3">
      <c r="A1" s="206"/>
      <c r="B1" s="207"/>
      <c r="C1" s="207"/>
      <c r="D1" s="203" t="s">
        <v>286</v>
      </c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5"/>
    </row>
    <row r="2" spans="1:17" ht="45.45" customHeight="1" thickBot="1" x14ac:dyDescent="0.3">
      <c r="A2" s="208"/>
      <c r="B2" s="209"/>
      <c r="C2" s="209"/>
      <c r="D2" s="174" t="s">
        <v>277</v>
      </c>
      <c r="E2" s="175"/>
      <c r="F2" s="176" t="s">
        <v>273</v>
      </c>
      <c r="G2" s="175"/>
      <c r="H2" s="176" t="s">
        <v>273</v>
      </c>
      <c r="I2" s="175"/>
      <c r="J2" s="176" t="s">
        <v>285</v>
      </c>
      <c r="K2" s="175"/>
      <c r="L2" s="165" t="s">
        <v>280</v>
      </c>
      <c r="M2" s="165"/>
      <c r="N2" s="165" t="s">
        <v>281</v>
      </c>
      <c r="O2" s="165"/>
      <c r="P2" s="165" t="s">
        <v>282</v>
      </c>
      <c r="Q2" s="167"/>
    </row>
    <row r="3" spans="1:17" ht="36" customHeight="1" x14ac:dyDescent="0.25">
      <c r="A3" s="163" t="s">
        <v>0</v>
      </c>
      <c r="B3" s="165" t="s">
        <v>1</v>
      </c>
      <c r="C3" s="167" t="s">
        <v>2</v>
      </c>
      <c r="D3" s="193" t="s">
        <v>45</v>
      </c>
      <c r="E3" s="162"/>
      <c r="F3" s="162" t="s">
        <v>140</v>
      </c>
      <c r="G3" s="162"/>
      <c r="H3" s="194" t="s">
        <v>141</v>
      </c>
      <c r="I3" s="194"/>
      <c r="J3" s="162" t="s">
        <v>145</v>
      </c>
      <c r="K3" s="162"/>
      <c r="L3" s="162" t="s">
        <v>279</v>
      </c>
      <c r="M3" s="162"/>
      <c r="N3" s="162" t="s">
        <v>289</v>
      </c>
      <c r="O3" s="162"/>
      <c r="P3" s="162" t="s">
        <v>288</v>
      </c>
      <c r="Q3" s="186"/>
    </row>
    <row r="4" spans="1:17" ht="14.4" thickBot="1" x14ac:dyDescent="0.3">
      <c r="A4" s="200"/>
      <c r="B4" s="201"/>
      <c r="C4" s="202"/>
      <c r="D4" s="110" t="s">
        <v>3</v>
      </c>
      <c r="E4" s="108" t="s">
        <v>4</v>
      </c>
      <c r="F4" s="108" t="s">
        <v>3</v>
      </c>
      <c r="G4" s="108" t="s">
        <v>4</v>
      </c>
      <c r="H4" s="111" t="s">
        <v>3</v>
      </c>
      <c r="I4" s="111" t="s">
        <v>4</v>
      </c>
      <c r="J4" s="108" t="s">
        <v>3</v>
      </c>
      <c r="K4" s="108" t="s">
        <v>4</v>
      </c>
      <c r="L4" s="108" t="s">
        <v>3</v>
      </c>
      <c r="M4" s="108" t="s">
        <v>4</v>
      </c>
      <c r="N4" s="108" t="s">
        <v>3</v>
      </c>
      <c r="O4" s="108" t="s">
        <v>4</v>
      </c>
      <c r="P4" s="108" t="s">
        <v>3</v>
      </c>
      <c r="Q4" s="109" t="s">
        <v>4</v>
      </c>
    </row>
    <row r="5" spans="1:17" ht="17.100000000000001" customHeight="1" x14ac:dyDescent="0.25">
      <c r="A5" s="112" t="s">
        <v>6</v>
      </c>
      <c r="B5" s="113" t="s">
        <v>51</v>
      </c>
      <c r="C5" s="114">
        <v>1</v>
      </c>
      <c r="D5" s="88">
        <v>491.59663865546224</v>
      </c>
      <c r="E5" s="88">
        <f>$C5*D5</f>
        <v>491.59663865546224</v>
      </c>
      <c r="F5" s="88">
        <v>0</v>
      </c>
      <c r="G5" s="88">
        <f>$C5*F5</f>
        <v>0</v>
      </c>
      <c r="H5" s="88">
        <v>800</v>
      </c>
      <c r="I5" s="88">
        <f>$C5*H5</f>
        <v>800</v>
      </c>
      <c r="J5" s="32">
        <v>321.00840336134456</v>
      </c>
      <c r="K5" s="88">
        <f>$C5*J5</f>
        <v>321.00840336134456</v>
      </c>
      <c r="L5" s="88">
        <v>258</v>
      </c>
      <c r="M5" s="88">
        <f>$C5*L5</f>
        <v>258</v>
      </c>
      <c r="N5" s="115">
        <v>504</v>
      </c>
      <c r="O5" s="88">
        <f>$C5*N5</f>
        <v>504</v>
      </c>
      <c r="P5" s="32">
        <v>0</v>
      </c>
      <c r="Q5" s="90">
        <f>$C5*P5</f>
        <v>0</v>
      </c>
    </row>
    <row r="6" spans="1:17" ht="17.100000000000001" customHeight="1" x14ac:dyDescent="0.25">
      <c r="A6" s="57" t="s">
        <v>121</v>
      </c>
      <c r="B6" s="2" t="s">
        <v>51</v>
      </c>
      <c r="C6" s="3">
        <v>1</v>
      </c>
      <c r="D6" s="4">
        <v>869.74789915966392</v>
      </c>
      <c r="E6" s="4">
        <f t="shared" ref="E6:E36" si="0">$C6*D6</f>
        <v>869.74789915966392</v>
      </c>
      <c r="F6" s="4">
        <v>0</v>
      </c>
      <c r="G6" s="4">
        <f t="shared" ref="G6:G36" si="1">$C6*F6</f>
        <v>0</v>
      </c>
      <c r="H6" s="4">
        <v>1300</v>
      </c>
      <c r="I6" s="4">
        <f t="shared" ref="I6:I36" si="2">$C6*H6</f>
        <v>1300</v>
      </c>
      <c r="J6" s="7">
        <v>578.15126050420167</v>
      </c>
      <c r="K6" s="4">
        <f t="shared" ref="K6:K36" si="3">$C6*J6</f>
        <v>578.15126050420167</v>
      </c>
      <c r="L6" s="4">
        <v>471</v>
      </c>
      <c r="M6" s="4">
        <f t="shared" ref="M6:M36" si="4">$C6*L6</f>
        <v>471</v>
      </c>
      <c r="N6" s="54">
        <f>1200/1.19</f>
        <v>1008.4033613445379</v>
      </c>
      <c r="O6" s="4">
        <f t="shared" ref="O6:O36" si="5">$C6*N6</f>
        <v>1008.4033613445379</v>
      </c>
      <c r="P6" s="7">
        <v>0</v>
      </c>
      <c r="Q6" s="58">
        <f t="shared" ref="Q6:Q36" si="6">$C6*P6</f>
        <v>0</v>
      </c>
    </row>
    <row r="7" spans="1:17" ht="17.100000000000001" customHeight="1" x14ac:dyDescent="0.25">
      <c r="A7" s="57" t="s">
        <v>5</v>
      </c>
      <c r="B7" s="2" t="s">
        <v>51</v>
      </c>
      <c r="C7" s="3">
        <v>1</v>
      </c>
      <c r="D7" s="4">
        <v>2382.3529411764707</v>
      </c>
      <c r="E7" s="4">
        <f t="shared" si="0"/>
        <v>2382.3529411764707</v>
      </c>
      <c r="F7" s="4">
        <v>0</v>
      </c>
      <c r="G7" s="4">
        <f t="shared" si="1"/>
        <v>0</v>
      </c>
      <c r="H7" s="4">
        <v>2000</v>
      </c>
      <c r="I7" s="4">
        <f t="shared" si="2"/>
        <v>2000</v>
      </c>
      <c r="J7" s="7">
        <v>1289.0756302521008</v>
      </c>
      <c r="K7" s="4">
        <f t="shared" si="3"/>
        <v>1289.0756302521008</v>
      </c>
      <c r="L7" s="4">
        <v>1044</v>
      </c>
      <c r="M7" s="4">
        <f t="shared" si="4"/>
        <v>1044</v>
      </c>
      <c r="N7" s="54">
        <f>2000/1.19</f>
        <v>1680.6722689075632</v>
      </c>
      <c r="O7" s="4">
        <f t="shared" si="5"/>
        <v>1680.6722689075632</v>
      </c>
      <c r="P7" s="7">
        <v>0</v>
      </c>
      <c r="Q7" s="58">
        <f t="shared" si="6"/>
        <v>0</v>
      </c>
    </row>
    <row r="8" spans="1:17" ht="17.100000000000001" customHeight="1" x14ac:dyDescent="0.25">
      <c r="A8" s="57" t="s">
        <v>123</v>
      </c>
      <c r="B8" s="2" t="s">
        <v>51</v>
      </c>
      <c r="C8" s="3">
        <v>1</v>
      </c>
      <c r="D8" s="4">
        <v>4878.1512605042026</v>
      </c>
      <c r="E8" s="4">
        <f t="shared" si="0"/>
        <v>4878.1512605042026</v>
      </c>
      <c r="F8" s="4">
        <v>0</v>
      </c>
      <c r="G8" s="4">
        <f t="shared" si="1"/>
        <v>0</v>
      </c>
      <c r="H8" s="4">
        <v>6000</v>
      </c>
      <c r="I8" s="4">
        <f t="shared" si="2"/>
        <v>6000</v>
      </c>
      <c r="J8" s="7">
        <v>3563.0252100840339</v>
      </c>
      <c r="K8" s="4">
        <f t="shared" si="3"/>
        <v>3563.0252100840339</v>
      </c>
      <c r="L8" s="4">
        <v>2888</v>
      </c>
      <c r="M8" s="4">
        <f t="shared" si="4"/>
        <v>2888</v>
      </c>
      <c r="N8" s="54">
        <f>4700/1.19</f>
        <v>3949.5798319327732</v>
      </c>
      <c r="O8" s="4">
        <f t="shared" si="5"/>
        <v>3949.5798319327732</v>
      </c>
      <c r="P8" s="7">
        <v>0</v>
      </c>
      <c r="Q8" s="58">
        <f t="shared" si="6"/>
        <v>0</v>
      </c>
    </row>
    <row r="9" spans="1:17" ht="17.100000000000001" customHeight="1" x14ac:dyDescent="0.25">
      <c r="A9" s="57" t="s">
        <v>8</v>
      </c>
      <c r="B9" s="2" t="s">
        <v>51</v>
      </c>
      <c r="C9" s="3">
        <v>1</v>
      </c>
      <c r="D9" s="4">
        <v>252.10084033613447</v>
      </c>
      <c r="E9" s="4">
        <f t="shared" si="0"/>
        <v>252.10084033613447</v>
      </c>
      <c r="F9" s="4">
        <v>0</v>
      </c>
      <c r="G9" s="4">
        <f t="shared" si="1"/>
        <v>0</v>
      </c>
      <c r="H9" s="4">
        <v>700</v>
      </c>
      <c r="I9" s="4">
        <f t="shared" si="2"/>
        <v>700</v>
      </c>
      <c r="J9" s="7">
        <v>284.03361344537814</v>
      </c>
      <c r="K9" s="4">
        <f t="shared" si="3"/>
        <v>284.03361344537814</v>
      </c>
      <c r="L9" s="4">
        <v>229</v>
      </c>
      <c r="M9" s="4">
        <f t="shared" si="4"/>
        <v>229</v>
      </c>
      <c r="N9" s="54">
        <f>500/1.19</f>
        <v>420.1680672268908</v>
      </c>
      <c r="O9" s="4">
        <f t="shared" si="5"/>
        <v>420.1680672268908</v>
      </c>
      <c r="P9" s="7">
        <v>0</v>
      </c>
      <c r="Q9" s="58">
        <f t="shared" si="6"/>
        <v>0</v>
      </c>
    </row>
    <row r="10" spans="1:17" ht="17.100000000000001" customHeight="1" x14ac:dyDescent="0.25">
      <c r="A10" s="57" t="s">
        <v>122</v>
      </c>
      <c r="B10" s="2" t="s">
        <v>51</v>
      </c>
      <c r="C10" s="3">
        <v>1</v>
      </c>
      <c r="D10" s="4">
        <v>869.74789915966392</v>
      </c>
      <c r="E10" s="4">
        <f t="shared" si="0"/>
        <v>869.74789915966392</v>
      </c>
      <c r="F10" s="4">
        <v>0</v>
      </c>
      <c r="G10" s="4">
        <f t="shared" si="1"/>
        <v>0</v>
      </c>
      <c r="H10" s="4">
        <v>1200</v>
      </c>
      <c r="I10" s="4">
        <f t="shared" si="2"/>
        <v>1200</v>
      </c>
      <c r="J10" s="7">
        <v>515.1260504201681</v>
      </c>
      <c r="K10" s="4">
        <f t="shared" si="3"/>
        <v>515.1260504201681</v>
      </c>
      <c r="L10" s="4">
        <v>418</v>
      </c>
      <c r="M10" s="4">
        <f t="shared" si="4"/>
        <v>418</v>
      </c>
      <c r="N10" s="54">
        <f>700/1.19</f>
        <v>588.23529411764707</v>
      </c>
      <c r="O10" s="4">
        <f t="shared" si="5"/>
        <v>588.23529411764707</v>
      </c>
      <c r="P10" s="7">
        <v>0</v>
      </c>
      <c r="Q10" s="58">
        <f t="shared" si="6"/>
        <v>0</v>
      </c>
    </row>
    <row r="11" spans="1:17" ht="17.100000000000001" customHeight="1" x14ac:dyDescent="0.25">
      <c r="A11" s="57" t="s">
        <v>7</v>
      </c>
      <c r="B11" s="2" t="s">
        <v>51</v>
      </c>
      <c r="C11" s="3">
        <v>1</v>
      </c>
      <c r="D11" s="4">
        <v>1626.0504201680674</v>
      </c>
      <c r="E11" s="4">
        <f t="shared" si="0"/>
        <v>1626.0504201680674</v>
      </c>
      <c r="F11" s="4">
        <v>0</v>
      </c>
      <c r="G11" s="4">
        <f t="shared" si="1"/>
        <v>0</v>
      </c>
      <c r="H11" s="4">
        <v>1800</v>
      </c>
      <c r="I11" s="4">
        <f t="shared" si="2"/>
        <v>1800</v>
      </c>
      <c r="J11" s="7">
        <v>1075.6302521008404</v>
      </c>
      <c r="K11" s="4">
        <f t="shared" si="3"/>
        <v>1075.6302521008404</v>
      </c>
      <c r="L11" s="4">
        <v>874</v>
      </c>
      <c r="M11" s="4">
        <f t="shared" si="4"/>
        <v>874</v>
      </c>
      <c r="N11" s="54">
        <f>1500/1.19</f>
        <v>1260.5042016806724</v>
      </c>
      <c r="O11" s="4">
        <f t="shared" si="5"/>
        <v>1260.5042016806724</v>
      </c>
      <c r="P11" s="7">
        <v>0</v>
      </c>
      <c r="Q11" s="58">
        <f t="shared" si="6"/>
        <v>0</v>
      </c>
    </row>
    <row r="12" spans="1:17" ht="17.100000000000001" customHeight="1" x14ac:dyDescent="0.25">
      <c r="A12" s="57" t="s">
        <v>124</v>
      </c>
      <c r="B12" s="2" t="s">
        <v>51</v>
      </c>
      <c r="C12" s="3">
        <v>1</v>
      </c>
      <c r="D12" s="4">
        <v>4348.7394957983197</v>
      </c>
      <c r="E12" s="4">
        <f t="shared" si="0"/>
        <v>4348.7394957983197</v>
      </c>
      <c r="F12" s="4">
        <v>0</v>
      </c>
      <c r="G12" s="4">
        <f t="shared" si="1"/>
        <v>0</v>
      </c>
      <c r="H12" s="4">
        <v>3300</v>
      </c>
      <c r="I12" s="4">
        <f t="shared" si="2"/>
        <v>3300</v>
      </c>
      <c r="J12" s="7">
        <v>2653.7815126050423</v>
      </c>
      <c r="K12" s="4">
        <f t="shared" si="3"/>
        <v>2653.7815126050423</v>
      </c>
      <c r="L12" s="4">
        <v>2155</v>
      </c>
      <c r="M12" s="4">
        <f t="shared" si="4"/>
        <v>2155</v>
      </c>
      <c r="N12" s="54">
        <f>4000/1.19</f>
        <v>3361.3445378151264</v>
      </c>
      <c r="O12" s="4">
        <f t="shared" si="5"/>
        <v>3361.3445378151264</v>
      </c>
      <c r="P12" s="7">
        <v>0</v>
      </c>
      <c r="Q12" s="58">
        <f t="shared" si="6"/>
        <v>0</v>
      </c>
    </row>
    <row r="13" spans="1:17" ht="17.100000000000001" customHeight="1" x14ac:dyDescent="0.25">
      <c r="A13" s="57" t="s">
        <v>126</v>
      </c>
      <c r="B13" s="2" t="s">
        <v>98</v>
      </c>
      <c r="C13" s="3">
        <v>1</v>
      </c>
      <c r="D13" s="4">
        <v>2193.2773109243699</v>
      </c>
      <c r="E13" s="4">
        <f t="shared" si="0"/>
        <v>2193.2773109243699</v>
      </c>
      <c r="F13" s="4">
        <v>0</v>
      </c>
      <c r="G13" s="4">
        <f t="shared" si="1"/>
        <v>0</v>
      </c>
      <c r="H13" s="4">
        <v>1300</v>
      </c>
      <c r="I13" s="4">
        <f t="shared" si="2"/>
        <v>1300</v>
      </c>
      <c r="J13" s="7">
        <v>2310.0840336134456</v>
      </c>
      <c r="K13" s="4">
        <f t="shared" si="3"/>
        <v>2310.0840336134456</v>
      </c>
      <c r="L13" s="4">
        <v>0</v>
      </c>
      <c r="M13" s="4">
        <f t="shared" si="4"/>
        <v>0</v>
      </c>
      <c r="N13" s="54">
        <f>3000/1.19</f>
        <v>2521.0084033613448</v>
      </c>
      <c r="O13" s="4">
        <f t="shared" si="5"/>
        <v>2521.0084033613448</v>
      </c>
      <c r="P13" s="7">
        <v>0</v>
      </c>
      <c r="Q13" s="58">
        <f t="shared" si="6"/>
        <v>0</v>
      </c>
    </row>
    <row r="14" spans="1:17" ht="17.100000000000001" customHeight="1" x14ac:dyDescent="0.25">
      <c r="A14" s="57" t="s">
        <v>16</v>
      </c>
      <c r="B14" s="2" t="s">
        <v>51</v>
      </c>
      <c r="C14" s="3">
        <v>1</v>
      </c>
      <c r="D14" s="4">
        <v>336.1344537815126</v>
      </c>
      <c r="E14" s="4">
        <f t="shared" si="0"/>
        <v>336.1344537815126</v>
      </c>
      <c r="F14" s="4">
        <v>400</v>
      </c>
      <c r="G14" s="4">
        <f t="shared" si="1"/>
        <v>400</v>
      </c>
      <c r="H14" s="4">
        <v>900</v>
      </c>
      <c r="I14" s="4">
        <f t="shared" si="2"/>
        <v>900</v>
      </c>
      <c r="J14" s="7">
        <v>412.60504201680675</v>
      </c>
      <c r="K14" s="4">
        <f t="shared" si="3"/>
        <v>412.60504201680675</v>
      </c>
      <c r="L14" s="4">
        <v>334</v>
      </c>
      <c r="M14" s="4">
        <f t="shared" si="4"/>
        <v>334</v>
      </c>
      <c r="N14" s="54">
        <f>800/1.19</f>
        <v>672.26890756302521</v>
      </c>
      <c r="O14" s="4">
        <f t="shared" si="5"/>
        <v>672.26890756302521</v>
      </c>
      <c r="P14" s="7">
        <v>0</v>
      </c>
      <c r="Q14" s="58">
        <f t="shared" si="6"/>
        <v>0</v>
      </c>
    </row>
    <row r="15" spans="1:17" ht="17.100000000000001" customHeight="1" x14ac:dyDescent="0.25">
      <c r="A15" s="57" t="s">
        <v>17</v>
      </c>
      <c r="B15" s="2" t="s">
        <v>51</v>
      </c>
      <c r="C15" s="3">
        <v>1</v>
      </c>
      <c r="D15" s="4">
        <v>945.3781512605043</v>
      </c>
      <c r="E15" s="4">
        <f t="shared" si="0"/>
        <v>945.3781512605043</v>
      </c>
      <c r="F15" s="4">
        <v>700</v>
      </c>
      <c r="G15" s="4">
        <f t="shared" si="1"/>
        <v>700</v>
      </c>
      <c r="H15" s="4">
        <v>1200</v>
      </c>
      <c r="I15" s="4">
        <f t="shared" si="2"/>
        <v>1200</v>
      </c>
      <c r="J15" s="7">
        <v>674.78991596638662</v>
      </c>
      <c r="K15" s="4">
        <f t="shared" si="3"/>
        <v>674.78991596638662</v>
      </c>
      <c r="L15" s="4">
        <v>534</v>
      </c>
      <c r="M15" s="4">
        <f t="shared" si="4"/>
        <v>534</v>
      </c>
      <c r="N15" s="54">
        <f>1000/1.19</f>
        <v>840.3361344537816</v>
      </c>
      <c r="O15" s="4">
        <f t="shared" si="5"/>
        <v>840.3361344537816</v>
      </c>
      <c r="P15" s="7">
        <v>0</v>
      </c>
      <c r="Q15" s="58">
        <f t="shared" si="6"/>
        <v>0</v>
      </c>
    </row>
    <row r="16" spans="1:17" ht="17.100000000000001" customHeight="1" x14ac:dyDescent="0.25">
      <c r="A16" s="57" t="s">
        <v>125</v>
      </c>
      <c r="B16" s="2" t="s">
        <v>51</v>
      </c>
      <c r="C16" s="3">
        <v>1</v>
      </c>
      <c r="D16" s="4">
        <v>1399.1596638655462</v>
      </c>
      <c r="E16" s="4">
        <f t="shared" si="0"/>
        <v>1399.1596638655462</v>
      </c>
      <c r="F16" s="4">
        <v>1300</v>
      </c>
      <c r="G16" s="4">
        <f t="shared" si="1"/>
        <v>1300</v>
      </c>
      <c r="H16" s="4">
        <v>2000</v>
      </c>
      <c r="I16" s="4">
        <f t="shared" si="2"/>
        <v>2000</v>
      </c>
      <c r="J16" s="7">
        <v>1290.7563025210084</v>
      </c>
      <c r="K16" s="4">
        <f t="shared" si="3"/>
        <v>1290.7563025210084</v>
      </c>
      <c r="L16" s="4">
        <v>1048</v>
      </c>
      <c r="M16" s="4">
        <f t="shared" si="4"/>
        <v>1048</v>
      </c>
      <c r="N16" s="54">
        <f>2000/1.19</f>
        <v>1680.6722689075632</v>
      </c>
      <c r="O16" s="4">
        <f t="shared" si="5"/>
        <v>1680.6722689075632</v>
      </c>
      <c r="P16" s="7">
        <v>0</v>
      </c>
      <c r="Q16" s="58">
        <f t="shared" si="6"/>
        <v>0</v>
      </c>
    </row>
    <row r="17" spans="1:17" ht="17.100000000000001" customHeight="1" x14ac:dyDescent="0.25">
      <c r="A17" s="57" t="s">
        <v>127</v>
      </c>
      <c r="B17" s="2" t="s">
        <v>51</v>
      </c>
      <c r="C17" s="3">
        <v>1</v>
      </c>
      <c r="D17" s="4">
        <v>6655.4621848739498</v>
      </c>
      <c r="E17" s="4">
        <f t="shared" si="0"/>
        <v>6655.4621848739498</v>
      </c>
      <c r="F17" s="4">
        <v>3600</v>
      </c>
      <c r="G17" s="4">
        <f t="shared" si="1"/>
        <v>3600</v>
      </c>
      <c r="H17" s="4">
        <v>19000</v>
      </c>
      <c r="I17" s="4">
        <f t="shared" si="2"/>
        <v>19000</v>
      </c>
      <c r="J17" s="7">
        <v>3529.4117647058824</v>
      </c>
      <c r="K17" s="4">
        <f t="shared" si="3"/>
        <v>3529.4117647058824</v>
      </c>
      <c r="L17" s="4">
        <v>2863</v>
      </c>
      <c r="M17" s="4">
        <f t="shared" si="4"/>
        <v>2863</v>
      </c>
      <c r="N17" s="54">
        <f>4000/1.19</f>
        <v>3361.3445378151264</v>
      </c>
      <c r="O17" s="4">
        <f t="shared" si="5"/>
        <v>3361.3445378151264</v>
      </c>
      <c r="P17" s="7">
        <v>0</v>
      </c>
      <c r="Q17" s="58">
        <f t="shared" si="6"/>
        <v>0</v>
      </c>
    </row>
    <row r="18" spans="1:17" ht="17.100000000000001" customHeight="1" x14ac:dyDescent="0.25">
      <c r="A18" s="57" t="s">
        <v>128</v>
      </c>
      <c r="B18" s="2" t="s">
        <v>51</v>
      </c>
      <c r="C18" s="3">
        <v>1</v>
      </c>
      <c r="D18" s="4">
        <v>11268.907563025212</v>
      </c>
      <c r="E18" s="4">
        <f t="shared" si="0"/>
        <v>11268.907563025212</v>
      </c>
      <c r="F18" s="4">
        <v>5600</v>
      </c>
      <c r="G18" s="4">
        <f t="shared" si="1"/>
        <v>5600</v>
      </c>
      <c r="H18" s="4">
        <v>0</v>
      </c>
      <c r="I18" s="4">
        <f t="shared" si="2"/>
        <v>0</v>
      </c>
      <c r="J18" s="7">
        <v>5500.8403361344544</v>
      </c>
      <c r="K18" s="4">
        <f t="shared" si="3"/>
        <v>5500.8403361344544</v>
      </c>
      <c r="L18" s="4">
        <v>4463</v>
      </c>
      <c r="M18" s="4">
        <f t="shared" si="4"/>
        <v>4463</v>
      </c>
      <c r="N18" s="54">
        <f>6500/1.19</f>
        <v>5462.1848739495799</v>
      </c>
      <c r="O18" s="4">
        <f t="shared" si="5"/>
        <v>5462.1848739495799</v>
      </c>
      <c r="P18" s="7">
        <v>0</v>
      </c>
      <c r="Q18" s="58">
        <f t="shared" si="6"/>
        <v>0</v>
      </c>
    </row>
    <row r="19" spans="1:17" ht="17.100000000000001" customHeight="1" x14ac:dyDescent="0.25">
      <c r="A19" s="57" t="s">
        <v>129</v>
      </c>
      <c r="B19" s="2" t="s">
        <v>51</v>
      </c>
      <c r="C19" s="3">
        <v>1</v>
      </c>
      <c r="D19" s="4">
        <v>0</v>
      </c>
      <c r="E19" s="4">
        <f t="shared" si="0"/>
        <v>0</v>
      </c>
      <c r="F19" s="4">
        <v>0</v>
      </c>
      <c r="G19" s="4">
        <f t="shared" si="1"/>
        <v>0</v>
      </c>
      <c r="H19" s="4">
        <v>0</v>
      </c>
      <c r="I19" s="4">
        <f t="shared" si="2"/>
        <v>0</v>
      </c>
      <c r="J19" s="7">
        <v>17141.176470588238</v>
      </c>
      <c r="K19" s="4">
        <f t="shared" si="3"/>
        <v>17141.176470588238</v>
      </c>
      <c r="L19" s="4">
        <v>13909</v>
      </c>
      <c r="M19" s="4">
        <f t="shared" si="4"/>
        <v>13909</v>
      </c>
      <c r="N19" s="54">
        <f>20000/1.19</f>
        <v>16806.722689075632</v>
      </c>
      <c r="O19" s="4">
        <f t="shared" si="5"/>
        <v>16806.722689075632</v>
      </c>
      <c r="P19" s="7">
        <v>0</v>
      </c>
      <c r="Q19" s="58">
        <f t="shared" si="6"/>
        <v>0</v>
      </c>
    </row>
    <row r="20" spans="1:17" ht="17.100000000000001" customHeight="1" x14ac:dyDescent="0.25">
      <c r="A20" s="57" t="s">
        <v>68</v>
      </c>
      <c r="B20" s="2" t="s">
        <v>51</v>
      </c>
      <c r="C20" s="3">
        <v>1</v>
      </c>
      <c r="D20" s="4">
        <v>34288.23529411765</v>
      </c>
      <c r="E20" s="4">
        <f t="shared" si="0"/>
        <v>34288.23529411765</v>
      </c>
      <c r="F20" s="4">
        <v>0</v>
      </c>
      <c r="G20" s="4">
        <f t="shared" si="1"/>
        <v>0</v>
      </c>
      <c r="H20" s="4">
        <v>17000</v>
      </c>
      <c r="I20" s="4">
        <f t="shared" si="2"/>
        <v>17000</v>
      </c>
      <c r="J20" s="7">
        <v>31336.974789915967</v>
      </c>
      <c r="K20" s="4">
        <f t="shared" si="3"/>
        <v>31336.974789915967</v>
      </c>
      <c r="L20" s="4">
        <v>26071</v>
      </c>
      <c r="M20" s="4">
        <f t="shared" si="4"/>
        <v>26071</v>
      </c>
      <c r="N20" s="54">
        <f>10000/1.19</f>
        <v>8403.361344537816</v>
      </c>
      <c r="O20" s="4">
        <f t="shared" si="5"/>
        <v>8403.361344537816</v>
      </c>
      <c r="P20" s="7">
        <v>0</v>
      </c>
      <c r="Q20" s="58">
        <f t="shared" si="6"/>
        <v>0</v>
      </c>
    </row>
    <row r="21" spans="1:17" ht="17.100000000000001" customHeight="1" x14ac:dyDescent="0.25">
      <c r="A21" s="57" t="s">
        <v>130</v>
      </c>
      <c r="B21" s="2" t="s">
        <v>51</v>
      </c>
      <c r="C21" s="3">
        <v>1</v>
      </c>
      <c r="D21" s="4">
        <v>9756.3025210084052</v>
      </c>
      <c r="E21" s="4">
        <f t="shared" si="0"/>
        <v>9756.3025210084052</v>
      </c>
      <c r="F21" s="4">
        <v>0</v>
      </c>
      <c r="G21" s="4">
        <f t="shared" si="1"/>
        <v>0</v>
      </c>
      <c r="H21" s="4">
        <v>10500</v>
      </c>
      <c r="I21" s="4">
        <f t="shared" si="2"/>
        <v>10500</v>
      </c>
      <c r="J21" s="7">
        <v>7274.7899159663866</v>
      </c>
      <c r="K21" s="4">
        <f t="shared" si="3"/>
        <v>7274.7899159663866</v>
      </c>
      <c r="L21" s="4">
        <v>5903</v>
      </c>
      <c r="M21" s="4">
        <f t="shared" si="4"/>
        <v>5903</v>
      </c>
      <c r="N21" s="54">
        <f>8500/1.19</f>
        <v>7142.8571428571431</v>
      </c>
      <c r="O21" s="4">
        <f t="shared" si="5"/>
        <v>7142.8571428571431</v>
      </c>
      <c r="P21" s="7">
        <v>0</v>
      </c>
      <c r="Q21" s="58">
        <f t="shared" si="6"/>
        <v>0</v>
      </c>
    </row>
    <row r="22" spans="1:17" ht="17.100000000000001" customHeight="1" x14ac:dyDescent="0.25">
      <c r="A22" s="57" t="s">
        <v>131</v>
      </c>
      <c r="B22" s="2" t="s">
        <v>51</v>
      </c>
      <c r="C22" s="3">
        <v>1</v>
      </c>
      <c r="D22" s="4">
        <v>18831.932773109245</v>
      </c>
      <c r="E22" s="4">
        <f t="shared" si="0"/>
        <v>18831.932773109245</v>
      </c>
      <c r="F22" s="4">
        <v>0</v>
      </c>
      <c r="G22" s="4">
        <f t="shared" si="1"/>
        <v>0</v>
      </c>
      <c r="H22" s="4">
        <v>17500</v>
      </c>
      <c r="I22" s="4">
        <f t="shared" si="2"/>
        <v>17500</v>
      </c>
      <c r="J22" s="7">
        <v>12456.302521008403</v>
      </c>
      <c r="K22" s="4">
        <f t="shared" si="3"/>
        <v>12456.302521008403</v>
      </c>
      <c r="L22" s="4">
        <v>10108</v>
      </c>
      <c r="M22" s="4">
        <f t="shared" si="4"/>
        <v>10108</v>
      </c>
      <c r="N22" s="54">
        <f>12000/1.19</f>
        <v>10084.033613445379</v>
      </c>
      <c r="O22" s="4">
        <f t="shared" si="5"/>
        <v>10084.033613445379</v>
      </c>
      <c r="P22" s="7">
        <v>13866</v>
      </c>
      <c r="Q22" s="58">
        <f t="shared" si="6"/>
        <v>13866</v>
      </c>
    </row>
    <row r="23" spans="1:17" ht="17.100000000000001" customHeight="1" x14ac:dyDescent="0.25">
      <c r="A23" s="57" t="s">
        <v>132</v>
      </c>
      <c r="B23" s="2" t="s">
        <v>51</v>
      </c>
      <c r="C23" s="3">
        <v>1</v>
      </c>
      <c r="D23" s="4">
        <v>43789.915966386558</v>
      </c>
      <c r="E23" s="4">
        <f t="shared" si="0"/>
        <v>43789.915966386558</v>
      </c>
      <c r="F23" s="4">
        <v>0</v>
      </c>
      <c r="G23" s="4">
        <f t="shared" si="1"/>
        <v>0</v>
      </c>
      <c r="H23" s="4">
        <v>44000</v>
      </c>
      <c r="I23" s="4">
        <f t="shared" si="2"/>
        <v>44000</v>
      </c>
      <c r="J23" s="7">
        <v>34366.386554621851</v>
      </c>
      <c r="K23" s="4">
        <f t="shared" si="3"/>
        <v>34366.386554621851</v>
      </c>
      <c r="L23" s="4">
        <v>27424</v>
      </c>
      <c r="M23" s="4">
        <f t="shared" si="4"/>
        <v>27424</v>
      </c>
      <c r="N23" s="54">
        <f>30500/1.19</f>
        <v>25630.252100840338</v>
      </c>
      <c r="O23" s="4">
        <f t="shared" si="5"/>
        <v>25630.252100840338</v>
      </c>
      <c r="P23" s="7">
        <v>37815</v>
      </c>
      <c r="Q23" s="58">
        <f t="shared" si="6"/>
        <v>37815</v>
      </c>
    </row>
    <row r="24" spans="1:17" ht="17.100000000000001" customHeight="1" x14ac:dyDescent="0.25">
      <c r="A24" s="57" t="s">
        <v>65</v>
      </c>
      <c r="B24" s="2" t="s">
        <v>51</v>
      </c>
      <c r="C24" s="3">
        <v>1</v>
      </c>
      <c r="D24" s="4">
        <v>12268.90756302521</v>
      </c>
      <c r="E24" s="4">
        <f t="shared" si="0"/>
        <v>12268.90756302521</v>
      </c>
      <c r="F24" s="4">
        <v>5000</v>
      </c>
      <c r="G24" s="4">
        <f t="shared" si="1"/>
        <v>5000</v>
      </c>
      <c r="H24" s="4">
        <v>3500</v>
      </c>
      <c r="I24" s="4">
        <f t="shared" si="2"/>
        <v>3500</v>
      </c>
      <c r="J24" s="7">
        <v>2390.7563025210084</v>
      </c>
      <c r="K24" s="4">
        <f t="shared" si="3"/>
        <v>2390.7563025210084</v>
      </c>
      <c r="L24" s="4">
        <v>2022</v>
      </c>
      <c r="M24" s="4">
        <f t="shared" si="4"/>
        <v>2022</v>
      </c>
      <c r="N24" s="54">
        <f>10000/1.19</f>
        <v>8403.361344537816</v>
      </c>
      <c r="O24" s="4">
        <f t="shared" si="5"/>
        <v>8403.361344537816</v>
      </c>
      <c r="P24" s="7">
        <v>3613</v>
      </c>
      <c r="Q24" s="58">
        <f t="shared" si="6"/>
        <v>3613</v>
      </c>
    </row>
    <row r="25" spans="1:17" ht="17.100000000000001" customHeight="1" x14ac:dyDescent="0.25">
      <c r="A25" s="57" t="s">
        <v>36</v>
      </c>
      <c r="B25" s="2" t="s">
        <v>51</v>
      </c>
      <c r="C25" s="3">
        <v>1</v>
      </c>
      <c r="D25" s="4">
        <v>23657.142857142859</v>
      </c>
      <c r="E25" s="4">
        <f t="shared" si="0"/>
        <v>23657.142857142859</v>
      </c>
      <c r="F25" s="4">
        <v>20000</v>
      </c>
      <c r="G25" s="4">
        <f t="shared" si="1"/>
        <v>20000</v>
      </c>
      <c r="H25" s="4">
        <v>3600</v>
      </c>
      <c r="I25" s="4">
        <f t="shared" si="2"/>
        <v>3600</v>
      </c>
      <c r="J25" s="7">
        <v>31755.462184873952</v>
      </c>
      <c r="K25" s="4">
        <f t="shared" si="3"/>
        <v>31755.462184873952</v>
      </c>
      <c r="L25" s="4">
        <v>2692</v>
      </c>
      <c r="M25" s="4">
        <f t="shared" si="4"/>
        <v>2692</v>
      </c>
      <c r="N25" s="54">
        <f>12000/1.19</f>
        <v>10084.033613445379</v>
      </c>
      <c r="O25" s="4">
        <f t="shared" si="5"/>
        <v>10084.033613445379</v>
      </c>
      <c r="P25" s="7">
        <v>4789</v>
      </c>
      <c r="Q25" s="58">
        <f t="shared" si="6"/>
        <v>4789</v>
      </c>
    </row>
    <row r="26" spans="1:17" ht="17.100000000000001" customHeight="1" x14ac:dyDescent="0.25">
      <c r="A26" s="57" t="s">
        <v>66</v>
      </c>
      <c r="B26" s="2" t="s">
        <v>51</v>
      </c>
      <c r="C26" s="3">
        <v>1</v>
      </c>
      <c r="D26" s="4">
        <v>26981.512605042022</v>
      </c>
      <c r="E26" s="4">
        <f t="shared" si="0"/>
        <v>26981.512605042022</v>
      </c>
      <c r="F26" s="4">
        <v>27000</v>
      </c>
      <c r="G26" s="4">
        <f t="shared" si="1"/>
        <v>27000</v>
      </c>
      <c r="H26" s="4">
        <v>5900</v>
      </c>
      <c r="I26" s="4">
        <f t="shared" si="2"/>
        <v>5900</v>
      </c>
      <c r="J26" s="7">
        <v>4294.9579831932779</v>
      </c>
      <c r="K26" s="4">
        <f t="shared" si="3"/>
        <v>4294.9579831932779</v>
      </c>
      <c r="L26" s="4">
        <v>15043</v>
      </c>
      <c r="M26" s="4">
        <f t="shared" si="4"/>
        <v>15043</v>
      </c>
      <c r="N26" s="54">
        <f>18000/1.19</f>
        <v>15126.050420168069</v>
      </c>
      <c r="O26" s="4">
        <f t="shared" si="5"/>
        <v>15126.050420168069</v>
      </c>
      <c r="P26" s="7">
        <v>6218</v>
      </c>
      <c r="Q26" s="58">
        <f t="shared" si="6"/>
        <v>6218</v>
      </c>
    </row>
    <row r="27" spans="1:17" ht="17.100000000000001" customHeight="1" x14ac:dyDescent="0.25">
      <c r="A27" s="57" t="s">
        <v>69</v>
      </c>
      <c r="B27" s="2" t="s">
        <v>51</v>
      </c>
      <c r="C27" s="3">
        <v>1</v>
      </c>
      <c r="D27" s="4">
        <v>46309.243697478996</v>
      </c>
      <c r="E27" s="4">
        <f t="shared" si="0"/>
        <v>46309.243697478996</v>
      </c>
      <c r="F27" s="4">
        <v>41000</v>
      </c>
      <c r="G27" s="4">
        <f t="shared" si="1"/>
        <v>41000</v>
      </c>
      <c r="H27" s="4">
        <v>7000</v>
      </c>
      <c r="I27" s="4">
        <f t="shared" si="2"/>
        <v>7000</v>
      </c>
      <c r="J27" s="7">
        <v>6977.3109243697481</v>
      </c>
      <c r="K27" s="4">
        <f t="shared" si="3"/>
        <v>6977.3109243697481</v>
      </c>
      <c r="L27" s="4">
        <v>5897</v>
      </c>
      <c r="M27" s="4">
        <f t="shared" si="4"/>
        <v>5897</v>
      </c>
      <c r="N27" s="54">
        <f>42000/1.19</f>
        <v>35294.117647058825</v>
      </c>
      <c r="O27" s="4">
        <f t="shared" si="5"/>
        <v>35294.117647058825</v>
      </c>
      <c r="P27" s="7">
        <v>11345</v>
      </c>
      <c r="Q27" s="58">
        <f t="shared" si="6"/>
        <v>11345</v>
      </c>
    </row>
    <row r="28" spans="1:17" ht="17.100000000000001" customHeight="1" x14ac:dyDescent="0.25">
      <c r="A28" s="57" t="s">
        <v>35</v>
      </c>
      <c r="B28" s="2" t="s">
        <v>51</v>
      </c>
      <c r="C28" s="3">
        <v>1</v>
      </c>
      <c r="D28" s="4">
        <v>77233.613445378156</v>
      </c>
      <c r="E28" s="4">
        <f t="shared" si="0"/>
        <v>77233.613445378156</v>
      </c>
      <c r="F28" s="4">
        <v>62000</v>
      </c>
      <c r="G28" s="4">
        <f t="shared" si="1"/>
        <v>62000</v>
      </c>
      <c r="H28" s="4">
        <v>9500</v>
      </c>
      <c r="I28" s="4">
        <f t="shared" si="2"/>
        <v>9500</v>
      </c>
      <c r="J28" s="7">
        <v>10699.159663865546</v>
      </c>
      <c r="K28" s="4">
        <f t="shared" si="3"/>
        <v>10699.159663865546</v>
      </c>
      <c r="L28" s="4">
        <v>9045</v>
      </c>
      <c r="M28" s="4">
        <f t="shared" si="4"/>
        <v>9045</v>
      </c>
      <c r="N28" s="54">
        <f>63000/1.19</f>
        <v>52941.176470588238</v>
      </c>
      <c r="O28" s="4">
        <f t="shared" si="5"/>
        <v>52941.176470588238</v>
      </c>
      <c r="P28" s="7">
        <v>13865</v>
      </c>
      <c r="Q28" s="58">
        <f t="shared" si="6"/>
        <v>13865</v>
      </c>
    </row>
    <row r="29" spans="1:17" ht="17.100000000000001" customHeight="1" x14ac:dyDescent="0.25">
      <c r="A29" s="57" t="s">
        <v>67</v>
      </c>
      <c r="B29" s="2" t="s">
        <v>51</v>
      </c>
      <c r="C29" s="3">
        <v>1</v>
      </c>
      <c r="D29" s="4">
        <v>171552.9411764706</v>
      </c>
      <c r="E29" s="4">
        <f t="shared" si="0"/>
        <v>171552.9411764706</v>
      </c>
      <c r="F29" s="4">
        <v>162000</v>
      </c>
      <c r="G29" s="4">
        <f t="shared" si="1"/>
        <v>162000</v>
      </c>
      <c r="H29" s="4">
        <v>0</v>
      </c>
      <c r="I29" s="4">
        <f t="shared" si="2"/>
        <v>0</v>
      </c>
      <c r="J29" s="7">
        <v>24076.470588235294</v>
      </c>
      <c r="K29" s="4">
        <f t="shared" si="3"/>
        <v>24076.470588235294</v>
      </c>
      <c r="L29" s="4">
        <v>20350</v>
      </c>
      <c r="M29" s="4">
        <f t="shared" si="4"/>
        <v>20350</v>
      </c>
      <c r="N29" s="54">
        <f>140000/1.19</f>
        <v>117647.05882352941</v>
      </c>
      <c r="O29" s="4">
        <f t="shared" si="5"/>
        <v>117647.05882352941</v>
      </c>
      <c r="P29" s="7">
        <v>30672</v>
      </c>
      <c r="Q29" s="58">
        <f t="shared" si="6"/>
        <v>30672</v>
      </c>
    </row>
    <row r="30" spans="1:17" ht="17.100000000000001" customHeight="1" x14ac:dyDescent="0.25">
      <c r="A30" s="57" t="s">
        <v>37</v>
      </c>
      <c r="B30" s="2" t="s">
        <v>51</v>
      </c>
      <c r="C30" s="3">
        <v>1</v>
      </c>
      <c r="D30" s="4">
        <v>252.10084033613447</v>
      </c>
      <c r="E30" s="4">
        <f t="shared" si="0"/>
        <v>252.10084033613447</v>
      </c>
      <c r="F30" s="4">
        <v>900</v>
      </c>
      <c r="G30" s="4">
        <f t="shared" si="1"/>
        <v>900</v>
      </c>
      <c r="H30" s="4">
        <v>900</v>
      </c>
      <c r="I30" s="4">
        <f t="shared" si="2"/>
        <v>900</v>
      </c>
      <c r="J30" s="7">
        <v>263.8655462184874</v>
      </c>
      <c r="K30" s="4">
        <f t="shared" si="3"/>
        <v>263.8655462184874</v>
      </c>
      <c r="L30" s="4">
        <v>213</v>
      </c>
      <c r="M30" s="4">
        <f t="shared" si="4"/>
        <v>213</v>
      </c>
      <c r="N30" s="54">
        <f>500/1.19</f>
        <v>420.1680672268908</v>
      </c>
      <c r="O30" s="4">
        <f t="shared" si="5"/>
        <v>420.1680672268908</v>
      </c>
      <c r="P30" s="7">
        <v>462</v>
      </c>
      <c r="Q30" s="58">
        <f t="shared" si="6"/>
        <v>462</v>
      </c>
    </row>
    <row r="31" spans="1:17" ht="17.100000000000001" customHeight="1" x14ac:dyDescent="0.25">
      <c r="A31" s="57" t="s">
        <v>57</v>
      </c>
      <c r="B31" s="2" t="s">
        <v>51</v>
      </c>
      <c r="C31" s="3">
        <v>1</v>
      </c>
      <c r="D31" s="4">
        <v>794.11764705882354</v>
      </c>
      <c r="E31" s="4">
        <f t="shared" si="0"/>
        <v>794.11764705882354</v>
      </c>
      <c r="F31" s="4">
        <v>500</v>
      </c>
      <c r="G31" s="4">
        <f t="shared" si="1"/>
        <v>500</v>
      </c>
      <c r="H31" s="4">
        <v>1200</v>
      </c>
      <c r="I31" s="4">
        <f t="shared" si="2"/>
        <v>1200</v>
      </c>
      <c r="J31" s="7">
        <v>415.96638655462186</v>
      </c>
      <c r="K31" s="4">
        <f t="shared" si="3"/>
        <v>415.96638655462186</v>
      </c>
      <c r="L31" s="4">
        <v>338</v>
      </c>
      <c r="M31" s="4">
        <f t="shared" si="4"/>
        <v>338</v>
      </c>
      <c r="N31" s="54">
        <f>700/1.19</f>
        <v>588.23529411764707</v>
      </c>
      <c r="O31" s="4">
        <f t="shared" si="5"/>
        <v>588.23529411764707</v>
      </c>
      <c r="P31" s="7">
        <v>672</v>
      </c>
      <c r="Q31" s="58">
        <f t="shared" si="6"/>
        <v>672</v>
      </c>
    </row>
    <row r="32" spans="1:17" ht="17.100000000000001" customHeight="1" x14ac:dyDescent="0.25">
      <c r="A32" s="57" t="s">
        <v>70</v>
      </c>
      <c r="B32" s="2" t="s">
        <v>51</v>
      </c>
      <c r="C32" s="3">
        <v>1</v>
      </c>
      <c r="D32" s="4">
        <v>945.3781512605043</v>
      </c>
      <c r="E32" s="4">
        <f t="shared" si="0"/>
        <v>945.3781512605043</v>
      </c>
      <c r="F32" s="4">
        <v>800</v>
      </c>
      <c r="G32" s="4">
        <f t="shared" si="1"/>
        <v>800</v>
      </c>
      <c r="H32" s="4">
        <v>1200</v>
      </c>
      <c r="I32" s="4">
        <f t="shared" si="2"/>
        <v>1200</v>
      </c>
      <c r="J32" s="7">
        <v>681.51260504201684</v>
      </c>
      <c r="K32" s="4">
        <f t="shared" si="3"/>
        <v>681.51260504201684</v>
      </c>
      <c r="L32" s="4">
        <v>555</v>
      </c>
      <c r="M32" s="4">
        <f t="shared" si="4"/>
        <v>555</v>
      </c>
      <c r="N32" s="54">
        <f>1000/1.19</f>
        <v>840.3361344537816</v>
      </c>
      <c r="O32" s="4">
        <f t="shared" si="5"/>
        <v>840.3361344537816</v>
      </c>
      <c r="P32" s="7">
        <v>1680</v>
      </c>
      <c r="Q32" s="58">
        <f t="shared" si="6"/>
        <v>1680</v>
      </c>
    </row>
    <row r="33" spans="1:17" ht="17.100000000000001" customHeight="1" x14ac:dyDescent="0.25">
      <c r="A33" s="57" t="s">
        <v>71</v>
      </c>
      <c r="B33" s="2" t="s">
        <v>51</v>
      </c>
      <c r="C33" s="3">
        <v>1</v>
      </c>
      <c r="D33" s="4">
        <v>2533.6134453781515</v>
      </c>
      <c r="E33" s="4">
        <f t="shared" si="0"/>
        <v>2533.6134453781515</v>
      </c>
      <c r="F33" s="4">
        <v>1800</v>
      </c>
      <c r="G33" s="4">
        <f t="shared" si="1"/>
        <v>1800</v>
      </c>
      <c r="H33" s="4">
        <v>2700</v>
      </c>
      <c r="I33" s="4">
        <f t="shared" si="2"/>
        <v>2700</v>
      </c>
      <c r="J33" s="7">
        <v>1703.3613445378153</v>
      </c>
      <c r="K33" s="4">
        <f t="shared" si="3"/>
        <v>1703.3613445378153</v>
      </c>
      <c r="L33" s="4">
        <v>1382</v>
      </c>
      <c r="M33" s="4">
        <f t="shared" si="4"/>
        <v>1382</v>
      </c>
      <c r="N33" s="54">
        <f>2500/1.19</f>
        <v>2100.840336134454</v>
      </c>
      <c r="O33" s="4">
        <f t="shared" si="5"/>
        <v>2100.840336134454</v>
      </c>
      <c r="P33" s="7">
        <v>3361</v>
      </c>
      <c r="Q33" s="58">
        <f t="shared" si="6"/>
        <v>3361</v>
      </c>
    </row>
    <row r="34" spans="1:17" x14ac:dyDescent="0.25">
      <c r="A34" s="101" t="s">
        <v>72</v>
      </c>
      <c r="B34" s="5" t="s">
        <v>51</v>
      </c>
      <c r="C34" s="6">
        <v>1</v>
      </c>
      <c r="D34" s="4">
        <v>10034.716399777839</v>
      </c>
      <c r="E34" s="4">
        <f t="shared" si="0"/>
        <v>10034.716399777839</v>
      </c>
      <c r="F34" s="4">
        <v>9500</v>
      </c>
      <c r="G34" s="4">
        <f t="shared" si="1"/>
        <v>9500</v>
      </c>
      <c r="H34" s="4">
        <v>0</v>
      </c>
      <c r="I34" s="4">
        <f t="shared" si="2"/>
        <v>0</v>
      </c>
      <c r="J34" s="7">
        <v>0</v>
      </c>
      <c r="K34" s="4">
        <f t="shared" si="3"/>
        <v>0</v>
      </c>
      <c r="L34" s="4">
        <v>7745</v>
      </c>
      <c r="M34" s="4">
        <f t="shared" si="4"/>
        <v>7745</v>
      </c>
      <c r="N34" s="54">
        <f>25000/1.19</f>
        <v>21008.403361344539</v>
      </c>
      <c r="O34" s="4">
        <f t="shared" si="5"/>
        <v>21008.403361344539</v>
      </c>
      <c r="P34" s="7">
        <v>0</v>
      </c>
      <c r="Q34" s="58">
        <f t="shared" si="6"/>
        <v>0</v>
      </c>
    </row>
    <row r="35" spans="1:17" x14ac:dyDescent="0.25">
      <c r="A35" s="101" t="s">
        <v>74</v>
      </c>
      <c r="B35" s="5" t="s">
        <v>51</v>
      </c>
      <c r="C35" s="6">
        <v>1</v>
      </c>
      <c r="D35" s="4">
        <v>18827.777251976881</v>
      </c>
      <c r="E35" s="4">
        <f t="shared" si="0"/>
        <v>18827.777251976881</v>
      </c>
      <c r="F35" s="4">
        <v>20000</v>
      </c>
      <c r="G35" s="4">
        <f t="shared" si="1"/>
        <v>20000</v>
      </c>
      <c r="H35" s="4">
        <v>0</v>
      </c>
      <c r="I35" s="4">
        <f t="shared" si="2"/>
        <v>0</v>
      </c>
      <c r="J35" s="7">
        <v>0</v>
      </c>
      <c r="K35" s="4">
        <f t="shared" si="3"/>
        <v>0</v>
      </c>
      <c r="L35" s="4">
        <v>7745</v>
      </c>
      <c r="M35" s="4">
        <f t="shared" si="4"/>
        <v>7745</v>
      </c>
      <c r="N35" s="54">
        <f>19000/1.19</f>
        <v>15966.386554621849</v>
      </c>
      <c r="O35" s="4">
        <f t="shared" si="5"/>
        <v>15966.386554621849</v>
      </c>
      <c r="P35" s="7">
        <v>0</v>
      </c>
      <c r="Q35" s="58">
        <f t="shared" si="6"/>
        <v>0</v>
      </c>
    </row>
    <row r="36" spans="1:17" ht="14.4" thickBot="1" x14ac:dyDescent="0.3">
      <c r="A36" s="102" t="s">
        <v>73</v>
      </c>
      <c r="B36" s="103" t="s">
        <v>51</v>
      </c>
      <c r="C36" s="104">
        <v>1</v>
      </c>
      <c r="D36" s="62">
        <v>41932.773109243702</v>
      </c>
      <c r="E36" s="62">
        <f t="shared" si="0"/>
        <v>41932.773109243702</v>
      </c>
      <c r="F36" s="62">
        <v>0</v>
      </c>
      <c r="G36" s="62">
        <f t="shared" si="1"/>
        <v>0</v>
      </c>
      <c r="H36" s="62">
        <v>0</v>
      </c>
      <c r="I36" s="62">
        <f t="shared" si="2"/>
        <v>0</v>
      </c>
      <c r="J36" s="37">
        <v>0</v>
      </c>
      <c r="K36" s="62">
        <f t="shared" si="3"/>
        <v>0</v>
      </c>
      <c r="L36" s="62">
        <v>30295</v>
      </c>
      <c r="M36" s="62">
        <f t="shared" si="4"/>
        <v>30295</v>
      </c>
      <c r="N36" s="116">
        <v>0</v>
      </c>
      <c r="O36" s="62">
        <f t="shared" si="5"/>
        <v>0</v>
      </c>
      <c r="P36" s="37">
        <v>0</v>
      </c>
      <c r="Q36" s="63">
        <f t="shared" si="6"/>
        <v>0</v>
      </c>
    </row>
    <row r="37" spans="1:17" x14ac:dyDescent="0.25">
      <c r="D37" s="86" t="s">
        <v>40</v>
      </c>
      <c r="E37" s="117">
        <f>SUM(E9:E36)</f>
        <v>569885.18272738496</v>
      </c>
      <c r="F37" s="89"/>
      <c r="G37" s="88">
        <f>SUM(G9:G36)</f>
        <v>362100</v>
      </c>
      <c r="H37" s="89"/>
      <c r="I37" s="88">
        <f>SUM(I9:I36)</f>
        <v>155900</v>
      </c>
      <c r="J37" s="89"/>
      <c r="K37" s="88">
        <f>SUM(K9:K36)</f>
        <v>204081.51260504205</v>
      </c>
      <c r="L37" s="89"/>
      <c r="M37" s="88">
        <f>SUM(M9:M36)</f>
        <v>199655</v>
      </c>
      <c r="N37" s="89"/>
      <c r="O37" s="88">
        <f>SUM(O9:O36)</f>
        <v>368655.46218487399</v>
      </c>
      <c r="P37" s="89"/>
      <c r="Q37" s="90">
        <f>SUM(Q9:Q36)</f>
        <v>128358</v>
      </c>
    </row>
    <row r="38" spans="1:17" x14ac:dyDescent="0.25">
      <c r="D38" s="87" t="s">
        <v>41</v>
      </c>
      <c r="E38" s="118">
        <f>E37*0.19</f>
        <v>108278.18471820315</v>
      </c>
      <c r="F38" s="91"/>
      <c r="G38" s="4">
        <f>G37*0.19</f>
        <v>68799</v>
      </c>
      <c r="H38" s="91"/>
      <c r="I38" s="4">
        <f>I37*0.19</f>
        <v>29621</v>
      </c>
      <c r="J38" s="91"/>
      <c r="K38" s="4">
        <f>K37*0.19</f>
        <v>38775.487394957992</v>
      </c>
      <c r="L38" s="91"/>
      <c r="M38" s="4">
        <f>M37*0.19</f>
        <v>37934.449999999997</v>
      </c>
      <c r="N38" s="91"/>
      <c r="O38" s="4">
        <f>O37*0.19</f>
        <v>70044.537815126052</v>
      </c>
      <c r="P38" s="91"/>
      <c r="Q38" s="58">
        <f>Q37*0.19</f>
        <v>24388.02</v>
      </c>
    </row>
    <row r="39" spans="1:17" ht="14.4" thickBot="1" x14ac:dyDescent="0.3">
      <c r="D39" s="87" t="s">
        <v>42</v>
      </c>
      <c r="E39" s="119">
        <f>SUM(E37:E38)</f>
        <v>678163.36744558811</v>
      </c>
      <c r="F39" s="93"/>
      <c r="G39" s="62">
        <f>SUM(G37:G38)</f>
        <v>430899</v>
      </c>
      <c r="H39" s="93"/>
      <c r="I39" s="62">
        <f>SUM(I37:I38)</f>
        <v>185521</v>
      </c>
      <c r="J39" s="93"/>
      <c r="K39" s="62">
        <f>SUM(K37:K38)</f>
        <v>242857.00000000006</v>
      </c>
      <c r="L39" s="93"/>
      <c r="M39" s="62">
        <f>SUM(M37:M38)</f>
        <v>237589.45</v>
      </c>
      <c r="N39" s="93"/>
      <c r="O39" s="62">
        <f>SUM(O37:O38)</f>
        <v>438700.00000000006</v>
      </c>
      <c r="P39" s="93"/>
      <c r="Q39" s="63">
        <f>SUM(Q37:Q38)</f>
        <v>152746.01999999999</v>
      </c>
    </row>
    <row r="40" spans="1:17" x14ac:dyDescent="0.25">
      <c r="J40" s="51"/>
      <c r="K40" s="51"/>
    </row>
    <row r="41" spans="1:17" x14ac:dyDescent="0.25">
      <c r="J41" s="51"/>
      <c r="K41" s="51"/>
    </row>
    <row r="42" spans="1:17" x14ac:dyDescent="0.25">
      <c r="J42" s="51"/>
      <c r="K42" s="51"/>
    </row>
    <row r="43" spans="1:17" x14ac:dyDescent="0.25">
      <c r="J43" s="51"/>
      <c r="K43" s="51"/>
    </row>
    <row r="44" spans="1:17" x14ac:dyDescent="0.25">
      <c r="J44" s="51"/>
      <c r="K44" s="51"/>
    </row>
    <row r="45" spans="1:17" x14ac:dyDescent="0.25">
      <c r="J45" s="51"/>
      <c r="K45" s="51"/>
    </row>
    <row r="46" spans="1:17" x14ac:dyDescent="0.25">
      <c r="J46" s="51"/>
      <c r="K46" s="51"/>
    </row>
    <row r="47" spans="1:17" x14ac:dyDescent="0.25">
      <c r="J47" s="51"/>
      <c r="K47" s="51"/>
    </row>
    <row r="48" spans="1:17" x14ac:dyDescent="0.25">
      <c r="J48" s="51"/>
      <c r="K48" s="51"/>
    </row>
    <row r="49" spans="10:11" x14ac:dyDescent="0.25">
      <c r="J49" s="51"/>
      <c r="K49" s="51"/>
    </row>
    <row r="50" spans="10:11" x14ac:dyDescent="0.25">
      <c r="J50" s="51"/>
      <c r="K50" s="51"/>
    </row>
    <row r="51" spans="10:11" x14ac:dyDescent="0.25">
      <c r="J51" s="51"/>
      <c r="K51" s="51"/>
    </row>
    <row r="52" spans="10:11" x14ac:dyDescent="0.25">
      <c r="J52" s="51"/>
      <c r="K52" s="51"/>
    </row>
    <row r="53" spans="10:11" x14ac:dyDescent="0.25">
      <c r="J53" s="51"/>
      <c r="K53" s="51"/>
    </row>
    <row r="54" spans="10:11" x14ac:dyDescent="0.25">
      <c r="J54" s="51"/>
      <c r="K54" s="51"/>
    </row>
    <row r="55" spans="10:11" x14ac:dyDescent="0.25">
      <c r="J55" s="51"/>
      <c r="K55" s="51"/>
    </row>
    <row r="56" spans="10:11" x14ac:dyDescent="0.25">
      <c r="J56" s="51"/>
      <c r="K56" s="51"/>
    </row>
    <row r="57" spans="10:11" x14ac:dyDescent="0.25">
      <c r="J57" s="51"/>
      <c r="K57" s="51"/>
    </row>
    <row r="58" spans="10:11" x14ac:dyDescent="0.25">
      <c r="J58" s="51"/>
      <c r="K58" s="51"/>
    </row>
    <row r="59" spans="10:11" x14ac:dyDescent="0.25">
      <c r="J59" s="51"/>
      <c r="K59" s="51"/>
    </row>
    <row r="60" spans="10:11" x14ac:dyDescent="0.25">
      <c r="J60" s="51"/>
      <c r="K60" s="51"/>
    </row>
    <row r="61" spans="10:11" x14ac:dyDescent="0.25">
      <c r="J61" s="51"/>
      <c r="K61" s="51"/>
    </row>
    <row r="62" spans="10:11" x14ac:dyDescent="0.25">
      <c r="J62" s="51"/>
      <c r="K62" s="51"/>
    </row>
    <row r="63" spans="10:11" x14ac:dyDescent="0.25">
      <c r="J63" s="51"/>
      <c r="K63" s="51"/>
    </row>
    <row r="64" spans="10:11" x14ac:dyDescent="0.25">
      <c r="J64" s="51"/>
      <c r="K64" s="51"/>
    </row>
    <row r="65" spans="10:11" x14ac:dyDescent="0.25">
      <c r="J65" s="51"/>
      <c r="K65" s="51"/>
    </row>
    <row r="66" spans="10:11" x14ac:dyDescent="0.25">
      <c r="J66" s="51"/>
      <c r="K66" s="51"/>
    </row>
    <row r="67" spans="10:11" x14ac:dyDescent="0.25">
      <c r="J67" s="51"/>
      <c r="K67" s="51"/>
    </row>
    <row r="68" spans="10:11" x14ac:dyDescent="0.25">
      <c r="J68" s="51"/>
      <c r="K68" s="51"/>
    </row>
    <row r="69" spans="10:11" x14ac:dyDescent="0.25">
      <c r="J69" s="52"/>
      <c r="K69" s="53"/>
    </row>
    <row r="70" spans="10:11" x14ac:dyDescent="0.25">
      <c r="J70" s="52"/>
      <c r="K70" s="53"/>
    </row>
    <row r="71" spans="10:11" x14ac:dyDescent="0.25">
      <c r="J71" s="52"/>
      <c r="K71" s="53"/>
    </row>
  </sheetData>
  <mergeCells count="19">
    <mergeCell ref="A1:C2"/>
    <mergeCell ref="J3:K3"/>
    <mergeCell ref="L2:M2"/>
    <mergeCell ref="N2:O2"/>
    <mergeCell ref="P2:Q2"/>
    <mergeCell ref="L3:M3"/>
    <mergeCell ref="N3:O3"/>
    <mergeCell ref="P3:Q3"/>
    <mergeCell ref="J2:K2"/>
    <mergeCell ref="H3:I3"/>
    <mergeCell ref="D2:E2"/>
    <mergeCell ref="F2:G2"/>
    <mergeCell ref="H2:I2"/>
    <mergeCell ref="D1:Q1"/>
    <mergeCell ref="A3:A4"/>
    <mergeCell ref="B3:B4"/>
    <mergeCell ref="C3:C4"/>
    <mergeCell ref="D3:E3"/>
    <mergeCell ref="F3:G3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47A45-9770-4FF2-A4E1-1B0E8FE35316}">
  <dimension ref="A1:J67"/>
  <sheetViews>
    <sheetView tabSelected="1" workbookViewId="0">
      <selection activeCell="J2" sqref="J2"/>
    </sheetView>
  </sheetViews>
  <sheetFormatPr baseColWidth="10" defaultRowHeight="14.4" x14ac:dyDescent="0.3"/>
  <cols>
    <col min="1" max="1" width="8.77734375" customWidth="1"/>
    <col min="2" max="2" width="43.88671875" customWidth="1"/>
    <col min="3" max="4" width="8.33203125" customWidth="1"/>
    <col min="5" max="5" width="15.44140625" customWidth="1"/>
    <col min="6" max="6" width="14.44140625" customWidth="1"/>
    <col min="7" max="7" width="13.6640625" customWidth="1"/>
    <col min="8" max="8" width="14.77734375" customWidth="1"/>
    <col min="9" max="9" width="13.6640625" customWidth="1"/>
  </cols>
  <sheetData>
    <row r="1" spans="1:10" x14ac:dyDescent="0.3">
      <c r="A1" s="225"/>
      <c r="B1" s="226"/>
      <c r="C1" s="226"/>
      <c r="D1" s="226"/>
      <c r="E1" s="216" t="s">
        <v>301</v>
      </c>
      <c r="F1" s="217"/>
      <c r="G1" s="217"/>
      <c r="H1" s="217"/>
      <c r="I1" s="217"/>
      <c r="J1" s="218"/>
    </row>
    <row r="2" spans="1:10" ht="43.8" thickBot="1" x14ac:dyDescent="0.35">
      <c r="A2" s="227"/>
      <c r="B2" s="228"/>
      <c r="C2" s="228"/>
      <c r="D2" s="228"/>
      <c r="E2" s="155" t="s">
        <v>290</v>
      </c>
      <c r="F2" s="152" t="s">
        <v>291</v>
      </c>
      <c r="G2" s="153" t="s">
        <v>292</v>
      </c>
      <c r="H2" s="153" t="s">
        <v>293</v>
      </c>
      <c r="I2" s="153" t="s">
        <v>294</v>
      </c>
      <c r="J2" s="156"/>
    </row>
    <row r="3" spans="1:10" ht="28.8" x14ac:dyDescent="0.3">
      <c r="A3" s="219" t="s">
        <v>146</v>
      </c>
      <c r="B3" s="221" t="s">
        <v>147</v>
      </c>
      <c r="C3" s="221" t="s">
        <v>1</v>
      </c>
      <c r="D3" s="223" t="s">
        <v>302</v>
      </c>
      <c r="E3" s="157" t="s">
        <v>273</v>
      </c>
      <c r="F3" s="153" t="s">
        <v>295</v>
      </c>
      <c r="G3" s="154" t="s">
        <v>296</v>
      </c>
      <c r="H3" s="154" t="s">
        <v>297</v>
      </c>
      <c r="I3" s="154" t="s">
        <v>298</v>
      </c>
      <c r="J3" s="158"/>
    </row>
    <row r="4" spans="1:10" ht="29.4" thickBot="1" x14ac:dyDescent="0.35">
      <c r="A4" s="220"/>
      <c r="B4" s="222"/>
      <c r="C4" s="222"/>
      <c r="D4" s="224"/>
      <c r="E4" s="159" t="s">
        <v>299</v>
      </c>
      <c r="F4" s="160" t="s">
        <v>299</v>
      </c>
      <c r="G4" s="160" t="s">
        <v>299</v>
      </c>
      <c r="H4" s="160" t="s">
        <v>299</v>
      </c>
      <c r="I4" s="160" t="s">
        <v>299</v>
      </c>
      <c r="J4" s="161" t="s">
        <v>299</v>
      </c>
    </row>
    <row r="5" spans="1:10" x14ac:dyDescent="0.3">
      <c r="A5" s="120" t="s">
        <v>149</v>
      </c>
      <c r="B5" s="121" t="s">
        <v>150</v>
      </c>
      <c r="C5" s="121" t="s">
        <v>151</v>
      </c>
      <c r="D5" s="121">
        <v>1</v>
      </c>
      <c r="E5" s="147">
        <v>21750</v>
      </c>
      <c r="F5" s="148">
        <v>14500</v>
      </c>
      <c r="G5" s="147">
        <v>11000</v>
      </c>
      <c r="H5" s="149">
        <v>16055</v>
      </c>
      <c r="I5" s="150">
        <v>24090.000000000004</v>
      </c>
      <c r="J5" s="151"/>
    </row>
    <row r="6" spans="1:10" x14ac:dyDescent="0.3">
      <c r="A6" s="122" t="s">
        <v>152</v>
      </c>
      <c r="B6" s="123" t="s">
        <v>153</v>
      </c>
      <c r="C6" s="123" t="s">
        <v>151</v>
      </c>
      <c r="D6" s="123">
        <v>1</v>
      </c>
      <c r="E6" s="130"/>
      <c r="F6" s="124">
        <v>17400</v>
      </c>
      <c r="G6" s="130">
        <v>17000</v>
      </c>
      <c r="H6" s="131">
        <v>19142</v>
      </c>
      <c r="I6" s="125">
        <v>28270.000000000004</v>
      </c>
      <c r="J6" s="132"/>
    </row>
    <row r="7" spans="1:10" x14ac:dyDescent="0.3">
      <c r="A7" s="122" t="s">
        <v>154</v>
      </c>
      <c r="B7" s="123" t="s">
        <v>155</v>
      </c>
      <c r="C7" s="123" t="s">
        <v>151</v>
      </c>
      <c r="D7" s="123">
        <v>1</v>
      </c>
      <c r="E7" s="130">
        <v>29000</v>
      </c>
      <c r="F7" s="124">
        <v>21750</v>
      </c>
      <c r="G7" s="130">
        <v>18000</v>
      </c>
      <c r="H7" s="131">
        <v>14449</v>
      </c>
      <c r="I7" s="125">
        <v>22770.000000000004</v>
      </c>
      <c r="J7" s="132"/>
    </row>
    <row r="8" spans="1:10" x14ac:dyDescent="0.3">
      <c r="A8" s="122" t="s">
        <v>156</v>
      </c>
      <c r="B8" s="123" t="s">
        <v>157</v>
      </c>
      <c r="C8" s="123" t="s">
        <v>151</v>
      </c>
      <c r="D8" s="123">
        <v>1</v>
      </c>
      <c r="E8" s="130"/>
      <c r="F8" s="124">
        <v>18125</v>
      </c>
      <c r="G8" s="130">
        <v>26000</v>
      </c>
      <c r="H8" s="131">
        <v>51376</v>
      </c>
      <c r="I8" s="125">
        <v>13750.000000000002</v>
      </c>
      <c r="J8" s="132"/>
    </row>
    <row r="9" spans="1:10" x14ac:dyDescent="0.3">
      <c r="A9" s="122" t="s">
        <v>158</v>
      </c>
      <c r="B9" s="123" t="s">
        <v>159</v>
      </c>
      <c r="C9" s="123" t="s">
        <v>151</v>
      </c>
      <c r="D9" s="123">
        <v>1</v>
      </c>
      <c r="E9" s="130">
        <v>17400</v>
      </c>
      <c r="F9" s="124">
        <v>14500</v>
      </c>
      <c r="G9" s="130">
        <v>15000</v>
      </c>
      <c r="H9" s="131">
        <v>12844</v>
      </c>
      <c r="I9" s="125">
        <v>24750.000000000004</v>
      </c>
      <c r="J9" s="132"/>
    </row>
    <row r="10" spans="1:10" x14ac:dyDescent="0.3">
      <c r="A10" s="122" t="s">
        <v>160</v>
      </c>
      <c r="B10" s="123" t="s">
        <v>161</v>
      </c>
      <c r="C10" s="123" t="s">
        <v>151</v>
      </c>
      <c r="D10" s="123">
        <v>1</v>
      </c>
      <c r="E10" s="130"/>
      <c r="F10" s="124">
        <v>14500</v>
      </c>
      <c r="G10" s="130">
        <v>25000</v>
      </c>
      <c r="H10" s="131">
        <v>15314</v>
      </c>
      <c r="I10" s="125">
        <v>27500.000000000004</v>
      </c>
      <c r="J10" s="132"/>
    </row>
    <row r="11" spans="1:10" x14ac:dyDescent="0.3">
      <c r="A11" s="122" t="s">
        <v>162</v>
      </c>
      <c r="B11" s="123" t="s">
        <v>163</v>
      </c>
      <c r="C11" s="123" t="s">
        <v>151</v>
      </c>
      <c r="D11" s="123">
        <v>1</v>
      </c>
      <c r="E11" s="130">
        <v>23500</v>
      </c>
      <c r="F11" s="124">
        <v>7975</v>
      </c>
      <c r="G11" s="130">
        <v>60000</v>
      </c>
      <c r="H11" s="131">
        <v>16055</v>
      </c>
      <c r="I11" s="125">
        <v>11000</v>
      </c>
      <c r="J11" s="132"/>
    </row>
    <row r="12" spans="1:10" x14ac:dyDescent="0.3">
      <c r="A12" s="122" t="s">
        <v>164</v>
      </c>
      <c r="B12" s="123" t="s">
        <v>165</v>
      </c>
      <c r="C12" s="123" t="s">
        <v>151</v>
      </c>
      <c r="D12" s="123">
        <v>1</v>
      </c>
      <c r="E12" s="130"/>
      <c r="F12" s="124">
        <v>12615</v>
      </c>
      <c r="G12" s="130">
        <v>70000</v>
      </c>
      <c r="H12" s="131">
        <v>19142</v>
      </c>
      <c r="I12" s="125">
        <v>13750.000000000002</v>
      </c>
      <c r="J12" s="132"/>
    </row>
    <row r="13" spans="1:10" x14ac:dyDescent="0.3">
      <c r="A13" s="122" t="s">
        <v>166</v>
      </c>
      <c r="B13" s="123" t="s">
        <v>167</v>
      </c>
      <c r="C13" s="123" t="s">
        <v>151</v>
      </c>
      <c r="D13" s="123">
        <v>1</v>
      </c>
      <c r="E13" s="130">
        <v>36250</v>
      </c>
      <c r="F13" s="124">
        <v>26100</v>
      </c>
      <c r="G13" s="130">
        <v>20000</v>
      </c>
      <c r="H13" s="131">
        <v>24082</v>
      </c>
      <c r="I13" s="125">
        <v>23430.000000000004</v>
      </c>
      <c r="J13" s="132"/>
    </row>
    <row r="14" spans="1:10" x14ac:dyDescent="0.3">
      <c r="A14" s="122" t="s">
        <v>168</v>
      </c>
      <c r="B14" s="123" t="s">
        <v>169</v>
      </c>
      <c r="C14" s="123" t="s">
        <v>151</v>
      </c>
      <c r="D14" s="123">
        <v>1</v>
      </c>
      <c r="E14" s="130">
        <v>56750</v>
      </c>
      <c r="F14" s="124">
        <v>30450</v>
      </c>
      <c r="G14" s="130">
        <v>25000</v>
      </c>
      <c r="H14" s="131">
        <v>32110</v>
      </c>
      <c r="I14" s="125">
        <v>27500.000000000004</v>
      </c>
      <c r="J14" s="132"/>
    </row>
    <row r="15" spans="1:10" x14ac:dyDescent="0.3">
      <c r="A15" s="122" t="s">
        <v>170</v>
      </c>
      <c r="B15" s="123" t="s">
        <v>171</v>
      </c>
      <c r="C15" s="123" t="s">
        <v>172</v>
      </c>
      <c r="D15" s="123">
        <v>1</v>
      </c>
      <c r="E15" s="130">
        <v>30000</v>
      </c>
      <c r="F15" s="124">
        <v>50750</v>
      </c>
      <c r="G15" s="130">
        <v>90000</v>
      </c>
      <c r="H15" s="131">
        <v>96330</v>
      </c>
      <c r="I15" s="125">
        <v>123750.00000000001</v>
      </c>
      <c r="J15" s="132"/>
    </row>
    <row r="16" spans="1:10" x14ac:dyDescent="0.3">
      <c r="A16" s="122" t="s">
        <v>173</v>
      </c>
      <c r="B16" s="123" t="s">
        <v>174</v>
      </c>
      <c r="C16" s="123" t="s">
        <v>172</v>
      </c>
      <c r="D16" s="123">
        <v>1</v>
      </c>
      <c r="E16" s="130">
        <v>30000</v>
      </c>
      <c r="F16" s="124">
        <v>31900</v>
      </c>
      <c r="G16" s="130">
        <v>90000</v>
      </c>
      <c r="H16" s="131">
        <v>144495</v>
      </c>
      <c r="I16" s="125">
        <v>82500</v>
      </c>
      <c r="J16" s="132"/>
    </row>
    <row r="17" spans="1:10" x14ac:dyDescent="0.3">
      <c r="A17" s="122" t="s">
        <v>175</v>
      </c>
      <c r="B17" s="123" t="s">
        <v>176</v>
      </c>
      <c r="C17" s="123" t="s">
        <v>172</v>
      </c>
      <c r="D17" s="123">
        <v>1</v>
      </c>
      <c r="E17" s="130">
        <v>145000</v>
      </c>
      <c r="F17" s="124">
        <v>87000</v>
      </c>
      <c r="G17" s="130"/>
      <c r="H17" s="131">
        <v>176605</v>
      </c>
      <c r="I17" s="125">
        <v>165000</v>
      </c>
      <c r="J17" s="132"/>
    </row>
    <row r="18" spans="1:10" x14ac:dyDescent="0.3">
      <c r="A18" s="122" t="s">
        <v>177</v>
      </c>
      <c r="B18" s="123" t="s">
        <v>178</v>
      </c>
      <c r="C18" s="123" t="s">
        <v>172</v>
      </c>
      <c r="D18" s="123">
        <v>1</v>
      </c>
      <c r="E18" s="130">
        <v>45000</v>
      </c>
      <c r="F18" s="124">
        <v>36250</v>
      </c>
      <c r="G18" s="130">
        <v>40000</v>
      </c>
      <c r="H18" s="131">
        <v>96330</v>
      </c>
      <c r="I18" s="125">
        <v>110000.00000000001</v>
      </c>
      <c r="J18" s="132"/>
    </row>
    <row r="19" spans="1:10" x14ac:dyDescent="0.3">
      <c r="A19" s="122" t="s">
        <v>179</v>
      </c>
      <c r="B19" s="123" t="s">
        <v>180</v>
      </c>
      <c r="C19" s="123" t="s">
        <v>181</v>
      </c>
      <c r="D19" s="123">
        <v>1</v>
      </c>
      <c r="E19" s="130">
        <v>18000</v>
      </c>
      <c r="F19" s="124">
        <v>55100</v>
      </c>
      <c r="G19" s="130"/>
      <c r="H19" s="133">
        <v>180000</v>
      </c>
      <c r="I19" s="55">
        <v>0</v>
      </c>
      <c r="J19" s="132"/>
    </row>
    <row r="20" spans="1:10" x14ac:dyDescent="0.3">
      <c r="A20" s="122" t="s">
        <v>182</v>
      </c>
      <c r="B20" s="123" t="s">
        <v>183</v>
      </c>
      <c r="C20" s="123" t="s">
        <v>181</v>
      </c>
      <c r="D20" s="123">
        <v>1</v>
      </c>
      <c r="E20" s="130">
        <v>65000</v>
      </c>
      <c r="F20" s="124">
        <v>65250</v>
      </c>
      <c r="G20" s="130"/>
      <c r="H20" s="133">
        <v>140000</v>
      </c>
      <c r="I20" s="55">
        <v>0</v>
      </c>
      <c r="J20" s="132"/>
    </row>
    <row r="21" spans="1:10" x14ac:dyDescent="0.3">
      <c r="A21" s="122" t="s">
        <v>184</v>
      </c>
      <c r="B21" s="123" t="s">
        <v>185</v>
      </c>
      <c r="C21" s="123" t="s">
        <v>172</v>
      </c>
      <c r="D21" s="123">
        <v>1</v>
      </c>
      <c r="E21" s="130">
        <v>94250</v>
      </c>
      <c r="F21" s="124">
        <v>108750</v>
      </c>
      <c r="G21" s="130"/>
      <c r="H21" s="131">
        <v>675000</v>
      </c>
      <c r="I21" s="55">
        <v>0</v>
      </c>
      <c r="J21" s="132"/>
    </row>
    <row r="22" spans="1:10" x14ac:dyDescent="0.3">
      <c r="A22" s="122" t="s">
        <v>186</v>
      </c>
      <c r="B22" s="123" t="s">
        <v>187</v>
      </c>
      <c r="C22" s="123" t="s">
        <v>172</v>
      </c>
      <c r="D22" s="123">
        <v>1</v>
      </c>
      <c r="E22" s="130">
        <v>95000</v>
      </c>
      <c r="F22" s="124">
        <v>79750</v>
      </c>
      <c r="G22" s="130"/>
      <c r="H22" s="131">
        <v>405000</v>
      </c>
      <c r="I22" s="55">
        <v>0</v>
      </c>
      <c r="J22" s="132"/>
    </row>
    <row r="23" spans="1:10" x14ac:dyDescent="0.3">
      <c r="A23" s="122" t="s">
        <v>188</v>
      </c>
      <c r="B23" s="123" t="s">
        <v>189</v>
      </c>
      <c r="C23" s="123" t="s">
        <v>172</v>
      </c>
      <c r="D23" s="123">
        <v>1</v>
      </c>
      <c r="E23" s="130">
        <v>40000</v>
      </c>
      <c r="F23" s="124">
        <v>26100</v>
      </c>
      <c r="G23" s="130">
        <v>35000</v>
      </c>
      <c r="H23" s="131">
        <v>136437</v>
      </c>
      <c r="I23" s="125">
        <v>55000.000000000007</v>
      </c>
      <c r="J23" s="132"/>
    </row>
    <row r="24" spans="1:10" x14ac:dyDescent="0.3">
      <c r="A24" s="122" t="s">
        <v>190</v>
      </c>
      <c r="B24" s="123" t="s">
        <v>191</v>
      </c>
      <c r="C24" s="123" t="s">
        <v>151</v>
      </c>
      <c r="D24" s="123">
        <v>1</v>
      </c>
      <c r="E24" s="130">
        <v>40600</v>
      </c>
      <c r="F24" s="124">
        <v>20300</v>
      </c>
      <c r="G24" s="130">
        <v>40000</v>
      </c>
      <c r="H24" s="131">
        <v>28782</v>
      </c>
      <c r="I24" s="55">
        <v>0</v>
      </c>
      <c r="J24" s="132"/>
    </row>
    <row r="25" spans="1:10" x14ac:dyDescent="0.3">
      <c r="A25" s="122" t="s">
        <v>192</v>
      </c>
      <c r="B25" s="123" t="s">
        <v>193</v>
      </c>
      <c r="C25" s="123" t="s">
        <v>151</v>
      </c>
      <c r="D25" s="123">
        <v>1</v>
      </c>
      <c r="E25" s="130">
        <v>20000</v>
      </c>
      <c r="F25" s="124">
        <v>21025</v>
      </c>
      <c r="G25" s="130">
        <v>30000</v>
      </c>
      <c r="H25" s="131">
        <v>51376</v>
      </c>
      <c r="I25" s="125">
        <v>82500</v>
      </c>
      <c r="J25" s="132"/>
    </row>
    <row r="26" spans="1:10" x14ac:dyDescent="0.3">
      <c r="A26" s="122" t="s">
        <v>194</v>
      </c>
      <c r="B26" s="123" t="s">
        <v>195</v>
      </c>
      <c r="C26" s="123" t="s">
        <v>151</v>
      </c>
      <c r="D26" s="123">
        <v>1</v>
      </c>
      <c r="E26" s="130">
        <v>18000</v>
      </c>
      <c r="F26" s="124">
        <v>10150</v>
      </c>
      <c r="G26" s="130">
        <v>15000</v>
      </c>
      <c r="H26" s="131">
        <v>16055</v>
      </c>
      <c r="I26" s="125">
        <v>41250</v>
      </c>
      <c r="J26" s="132"/>
    </row>
    <row r="27" spans="1:10" x14ac:dyDescent="0.3">
      <c r="A27" s="122" t="s">
        <v>196</v>
      </c>
      <c r="B27" s="123" t="s">
        <v>197</v>
      </c>
      <c r="C27" s="123" t="s">
        <v>151</v>
      </c>
      <c r="D27" s="123">
        <v>1</v>
      </c>
      <c r="E27" s="130">
        <v>23000</v>
      </c>
      <c r="F27" s="124">
        <v>10150</v>
      </c>
      <c r="G27" s="130">
        <v>11000</v>
      </c>
      <c r="H27" s="131">
        <v>13646</v>
      </c>
      <c r="I27" s="125">
        <v>13750.000000000002</v>
      </c>
      <c r="J27" s="132"/>
    </row>
    <row r="28" spans="1:10" x14ac:dyDescent="0.3">
      <c r="A28" s="122" t="s">
        <v>198</v>
      </c>
      <c r="B28" s="123" t="s">
        <v>199</v>
      </c>
      <c r="C28" s="123" t="s">
        <v>151</v>
      </c>
      <c r="D28" s="123">
        <v>1</v>
      </c>
      <c r="E28" s="130">
        <v>23000</v>
      </c>
      <c r="F28" s="124">
        <v>10150</v>
      </c>
      <c r="G28" s="130">
        <v>14000</v>
      </c>
      <c r="H28" s="131">
        <v>19266</v>
      </c>
      <c r="I28" s="125">
        <v>13750.000000000002</v>
      </c>
      <c r="J28" s="132"/>
    </row>
    <row r="29" spans="1:10" x14ac:dyDescent="0.3">
      <c r="A29" s="122" t="s">
        <v>200</v>
      </c>
      <c r="B29" s="123" t="s">
        <v>201</v>
      </c>
      <c r="C29" s="123" t="s">
        <v>202</v>
      </c>
      <c r="D29" s="123">
        <v>1</v>
      </c>
      <c r="E29" s="130">
        <v>33350</v>
      </c>
      <c r="F29" s="124">
        <v>36250</v>
      </c>
      <c r="G29" s="130">
        <v>28000</v>
      </c>
      <c r="H29" s="131">
        <v>44954</v>
      </c>
      <c r="I29" s="125">
        <v>41250</v>
      </c>
      <c r="J29" s="132"/>
    </row>
    <row r="30" spans="1:10" x14ac:dyDescent="0.3">
      <c r="A30" s="122" t="s">
        <v>203</v>
      </c>
      <c r="B30" s="123" t="s">
        <v>204</v>
      </c>
      <c r="C30" s="123" t="s">
        <v>151</v>
      </c>
      <c r="D30" s="123">
        <v>1</v>
      </c>
      <c r="E30" s="130">
        <v>55000</v>
      </c>
      <c r="F30" s="124">
        <v>27550</v>
      </c>
      <c r="G30" s="130">
        <v>25000</v>
      </c>
      <c r="H30" s="131">
        <v>40137</v>
      </c>
      <c r="I30" s="125">
        <v>48180.000000000007</v>
      </c>
      <c r="J30" s="132"/>
    </row>
    <row r="31" spans="1:10" x14ac:dyDescent="0.3">
      <c r="A31" s="122" t="s">
        <v>205</v>
      </c>
      <c r="B31" s="123" t="s">
        <v>206</v>
      </c>
      <c r="C31" s="123" t="s">
        <v>151</v>
      </c>
      <c r="D31" s="123">
        <v>1</v>
      </c>
      <c r="E31" s="130"/>
      <c r="F31" s="124">
        <v>26100</v>
      </c>
      <c r="G31" s="130">
        <v>28000</v>
      </c>
      <c r="H31" s="131">
        <v>48165</v>
      </c>
      <c r="I31" s="125">
        <v>61930.000000000007</v>
      </c>
      <c r="J31" s="132"/>
    </row>
    <row r="32" spans="1:10" x14ac:dyDescent="0.3">
      <c r="A32" s="122" t="s">
        <v>207</v>
      </c>
      <c r="B32" s="123" t="s">
        <v>208</v>
      </c>
      <c r="C32" s="123" t="s">
        <v>151</v>
      </c>
      <c r="D32" s="123">
        <v>1</v>
      </c>
      <c r="E32" s="130"/>
      <c r="F32" s="124">
        <v>116000</v>
      </c>
      <c r="G32" s="130">
        <v>70000</v>
      </c>
      <c r="H32" s="131">
        <v>120412</v>
      </c>
      <c r="I32" s="125">
        <v>110000.00000000001</v>
      </c>
      <c r="J32" s="132"/>
    </row>
    <row r="33" spans="1:10" x14ac:dyDescent="0.3">
      <c r="A33" s="122" t="s">
        <v>209</v>
      </c>
      <c r="B33" s="123" t="s">
        <v>210</v>
      </c>
      <c r="C33" s="123" t="s">
        <v>151</v>
      </c>
      <c r="D33" s="123">
        <v>1</v>
      </c>
      <c r="E33" s="130">
        <v>112750</v>
      </c>
      <c r="F33" s="124">
        <v>130500</v>
      </c>
      <c r="G33" s="130">
        <v>79000</v>
      </c>
      <c r="H33" s="131">
        <v>123623</v>
      </c>
      <c r="I33" s="125">
        <v>130680.00000000001</v>
      </c>
      <c r="J33" s="132"/>
    </row>
    <row r="34" spans="1:10" x14ac:dyDescent="0.3">
      <c r="A34" s="122" t="s">
        <v>211</v>
      </c>
      <c r="B34" s="123" t="s">
        <v>212</v>
      </c>
      <c r="C34" s="123" t="s">
        <v>151</v>
      </c>
      <c r="D34" s="123">
        <v>1</v>
      </c>
      <c r="E34" s="130"/>
      <c r="F34" s="124">
        <v>145000</v>
      </c>
      <c r="G34" s="130">
        <v>83500</v>
      </c>
      <c r="H34" s="131">
        <v>126834</v>
      </c>
      <c r="I34" s="125">
        <v>151250</v>
      </c>
      <c r="J34" s="132"/>
    </row>
    <row r="35" spans="1:10" x14ac:dyDescent="0.3">
      <c r="A35" s="122" t="s">
        <v>213</v>
      </c>
      <c r="B35" s="123" t="s">
        <v>214</v>
      </c>
      <c r="C35" s="123" t="s">
        <v>151</v>
      </c>
      <c r="D35" s="123">
        <v>1</v>
      </c>
      <c r="E35" s="130"/>
      <c r="F35" s="124">
        <v>159500</v>
      </c>
      <c r="G35" s="130">
        <v>92000</v>
      </c>
      <c r="H35" s="131">
        <v>130045</v>
      </c>
      <c r="I35" s="125">
        <v>173030</v>
      </c>
      <c r="J35" s="132"/>
    </row>
    <row r="36" spans="1:10" x14ac:dyDescent="0.3">
      <c r="A36" s="122" t="s">
        <v>215</v>
      </c>
      <c r="B36" s="123" t="s">
        <v>216</v>
      </c>
      <c r="C36" s="123" t="s">
        <v>181</v>
      </c>
      <c r="D36" s="123">
        <v>1</v>
      </c>
      <c r="E36" s="130">
        <v>6000</v>
      </c>
      <c r="F36" s="124">
        <v>10150</v>
      </c>
      <c r="G36" s="130">
        <v>21000</v>
      </c>
      <c r="H36" s="131">
        <v>12844</v>
      </c>
      <c r="I36" s="125">
        <v>20680</v>
      </c>
      <c r="J36" s="132"/>
    </row>
    <row r="37" spans="1:10" x14ac:dyDescent="0.3">
      <c r="A37" s="122" t="s">
        <v>217</v>
      </c>
      <c r="B37" s="123" t="s">
        <v>218</v>
      </c>
      <c r="C37" s="123" t="s">
        <v>181</v>
      </c>
      <c r="D37" s="123">
        <v>1</v>
      </c>
      <c r="E37" s="130">
        <v>16000</v>
      </c>
      <c r="F37" s="124">
        <v>50750</v>
      </c>
      <c r="G37" s="130">
        <v>34000</v>
      </c>
      <c r="H37" s="131">
        <v>25688</v>
      </c>
      <c r="I37" s="125">
        <v>137500</v>
      </c>
      <c r="J37" s="132"/>
    </row>
    <row r="38" spans="1:10" x14ac:dyDescent="0.3">
      <c r="A38" s="122" t="s">
        <v>219</v>
      </c>
      <c r="B38" s="123" t="s">
        <v>220</v>
      </c>
      <c r="C38" s="123" t="s">
        <v>151</v>
      </c>
      <c r="D38" s="123">
        <v>1</v>
      </c>
      <c r="E38" s="130">
        <v>18700</v>
      </c>
      <c r="F38" s="124">
        <v>29000</v>
      </c>
      <c r="G38" s="130">
        <v>28000</v>
      </c>
      <c r="H38" s="131">
        <v>48165</v>
      </c>
      <c r="I38" s="125">
        <v>82500</v>
      </c>
      <c r="J38" s="132"/>
    </row>
    <row r="39" spans="1:10" x14ac:dyDescent="0.3">
      <c r="A39" s="122" t="s">
        <v>221</v>
      </c>
      <c r="B39" s="123" t="s">
        <v>222</v>
      </c>
      <c r="C39" s="123" t="s">
        <v>151</v>
      </c>
      <c r="D39" s="123">
        <v>1</v>
      </c>
      <c r="E39" s="130">
        <v>135000</v>
      </c>
      <c r="F39" s="124">
        <v>130500</v>
      </c>
      <c r="G39" s="130"/>
      <c r="H39" s="131">
        <v>130045</v>
      </c>
      <c r="I39" s="125">
        <v>199430.00000000003</v>
      </c>
      <c r="J39" s="132"/>
    </row>
    <row r="40" spans="1:10" x14ac:dyDescent="0.3">
      <c r="A40" s="122" t="s">
        <v>223</v>
      </c>
      <c r="B40" s="123" t="s">
        <v>224</v>
      </c>
      <c r="C40" s="123" t="s">
        <v>151</v>
      </c>
      <c r="D40" s="123">
        <v>1</v>
      </c>
      <c r="E40" s="130"/>
      <c r="F40" s="124">
        <v>84100</v>
      </c>
      <c r="G40" s="130"/>
      <c r="H40" s="131">
        <v>191321</v>
      </c>
      <c r="I40" s="125">
        <v>247500.00000000003</v>
      </c>
      <c r="J40" s="132"/>
    </row>
    <row r="41" spans="1:10" x14ac:dyDescent="0.3">
      <c r="A41" s="122" t="s">
        <v>225</v>
      </c>
      <c r="B41" s="123" t="s">
        <v>226</v>
      </c>
      <c r="C41" s="123" t="s">
        <v>151</v>
      </c>
      <c r="D41" s="123">
        <v>1</v>
      </c>
      <c r="E41" s="130"/>
      <c r="F41" s="124">
        <v>68150</v>
      </c>
      <c r="G41" s="130"/>
      <c r="H41" s="131">
        <v>128082</v>
      </c>
      <c r="I41" s="125">
        <v>165000</v>
      </c>
      <c r="J41" s="132"/>
    </row>
    <row r="42" spans="1:10" x14ac:dyDescent="0.3">
      <c r="A42" s="122" t="s">
        <v>227</v>
      </c>
      <c r="B42" s="123" t="s">
        <v>228</v>
      </c>
      <c r="C42" s="123" t="s">
        <v>151</v>
      </c>
      <c r="D42" s="123">
        <v>1</v>
      </c>
      <c r="E42" s="130">
        <v>21750</v>
      </c>
      <c r="F42" s="124">
        <v>26100</v>
      </c>
      <c r="G42" s="130">
        <v>16000</v>
      </c>
      <c r="H42" s="131">
        <v>24082</v>
      </c>
      <c r="I42" s="125">
        <v>34430</v>
      </c>
      <c r="J42" s="132"/>
    </row>
    <row r="43" spans="1:10" x14ac:dyDescent="0.3">
      <c r="A43" s="122" t="s">
        <v>229</v>
      </c>
      <c r="B43" s="123" t="s">
        <v>230</v>
      </c>
      <c r="C43" s="123" t="s">
        <v>151</v>
      </c>
      <c r="D43" s="123">
        <v>1</v>
      </c>
      <c r="E43" s="130"/>
      <c r="F43" s="124">
        <v>68150</v>
      </c>
      <c r="G43" s="130"/>
      <c r="H43" s="131">
        <v>101432</v>
      </c>
      <c r="I43" s="125">
        <v>199430.00000000003</v>
      </c>
      <c r="J43" s="132"/>
    </row>
    <row r="44" spans="1:10" x14ac:dyDescent="0.3">
      <c r="A44" s="122" t="s">
        <v>231</v>
      </c>
      <c r="B44" s="123" t="s">
        <v>232</v>
      </c>
      <c r="C44" s="123" t="s">
        <v>181</v>
      </c>
      <c r="D44" s="123">
        <v>1</v>
      </c>
      <c r="E44" s="130">
        <v>16800</v>
      </c>
      <c r="F44" s="124">
        <v>17400</v>
      </c>
      <c r="G44" s="130">
        <v>12000</v>
      </c>
      <c r="H44" s="131">
        <v>8027</v>
      </c>
      <c r="I44" s="125">
        <v>16500</v>
      </c>
      <c r="J44" s="132"/>
    </row>
    <row r="45" spans="1:10" x14ac:dyDescent="0.3">
      <c r="A45" s="122" t="s">
        <v>233</v>
      </c>
      <c r="B45" s="123" t="s">
        <v>234</v>
      </c>
      <c r="C45" s="123" t="s">
        <v>181</v>
      </c>
      <c r="D45" s="123">
        <v>1</v>
      </c>
      <c r="E45" s="130">
        <v>19400</v>
      </c>
      <c r="F45" s="124">
        <v>21750</v>
      </c>
      <c r="G45" s="130">
        <v>14000</v>
      </c>
      <c r="H45" s="131">
        <v>9633</v>
      </c>
      <c r="I45" s="125">
        <v>20680</v>
      </c>
      <c r="J45" s="132"/>
    </row>
    <row r="46" spans="1:10" x14ac:dyDescent="0.3">
      <c r="A46" s="122" t="s">
        <v>235</v>
      </c>
      <c r="B46" s="123" t="s">
        <v>236</v>
      </c>
      <c r="C46" s="123" t="s">
        <v>181</v>
      </c>
      <c r="D46" s="123">
        <v>1</v>
      </c>
      <c r="E46" s="130"/>
      <c r="F46" s="124">
        <v>40600</v>
      </c>
      <c r="G46" s="130"/>
      <c r="H46" s="131">
        <v>18142</v>
      </c>
      <c r="I46" s="125">
        <v>82500</v>
      </c>
      <c r="J46" s="132"/>
    </row>
    <row r="47" spans="1:10" x14ac:dyDescent="0.3">
      <c r="A47" s="122" t="s">
        <v>237</v>
      </c>
      <c r="B47" s="123" t="s">
        <v>238</v>
      </c>
      <c r="C47" s="123" t="s">
        <v>181</v>
      </c>
      <c r="D47" s="123">
        <v>1</v>
      </c>
      <c r="E47" s="130"/>
      <c r="F47" s="124">
        <v>65250</v>
      </c>
      <c r="G47" s="130"/>
      <c r="H47" s="131">
        <v>23913</v>
      </c>
      <c r="I47" s="125">
        <v>116930.00000000001</v>
      </c>
      <c r="J47" s="132"/>
    </row>
    <row r="48" spans="1:10" x14ac:dyDescent="0.3">
      <c r="A48" s="122" t="s">
        <v>239</v>
      </c>
      <c r="B48" s="123" t="s">
        <v>240</v>
      </c>
      <c r="C48" s="123" t="s">
        <v>202</v>
      </c>
      <c r="D48" s="123">
        <v>1</v>
      </c>
      <c r="E48" s="130">
        <v>94500</v>
      </c>
      <c r="F48" s="124">
        <v>65250</v>
      </c>
      <c r="G48" s="130">
        <v>780000</v>
      </c>
      <c r="H48" s="131">
        <v>44125</v>
      </c>
      <c r="I48" s="125">
        <v>68750</v>
      </c>
      <c r="J48" s="132"/>
    </row>
    <row r="49" spans="1:10" x14ac:dyDescent="0.3">
      <c r="A49" s="122" t="s">
        <v>241</v>
      </c>
      <c r="B49" s="123" t="s">
        <v>242</v>
      </c>
      <c r="C49" s="123" t="s">
        <v>181</v>
      </c>
      <c r="D49" s="123">
        <v>1</v>
      </c>
      <c r="E49" s="130">
        <v>28500</v>
      </c>
      <c r="F49" s="124">
        <v>46400</v>
      </c>
      <c r="G49" s="130">
        <v>35000</v>
      </c>
      <c r="H49" s="131">
        <v>50500</v>
      </c>
      <c r="I49" s="125">
        <v>68750</v>
      </c>
      <c r="J49" s="132"/>
    </row>
    <row r="50" spans="1:10" x14ac:dyDescent="0.3">
      <c r="A50" s="122" t="s">
        <v>243</v>
      </c>
      <c r="B50" s="123" t="s">
        <v>244</v>
      </c>
      <c r="C50" s="123" t="s">
        <v>181</v>
      </c>
      <c r="D50" s="123">
        <v>1</v>
      </c>
      <c r="E50" s="130"/>
      <c r="F50" s="124">
        <v>7250</v>
      </c>
      <c r="G50" s="130"/>
      <c r="H50" s="131">
        <v>55100</v>
      </c>
      <c r="I50" s="55">
        <v>0</v>
      </c>
      <c r="J50" s="132"/>
    </row>
    <row r="51" spans="1:10" x14ac:dyDescent="0.3">
      <c r="A51" s="122" t="s">
        <v>245</v>
      </c>
      <c r="B51" s="123" t="s">
        <v>246</v>
      </c>
      <c r="C51" s="123" t="s">
        <v>151</v>
      </c>
      <c r="D51" s="123">
        <v>1</v>
      </c>
      <c r="E51" s="130"/>
      <c r="F51" s="124">
        <v>55100</v>
      </c>
      <c r="G51" s="130"/>
      <c r="H51" s="133">
        <v>81300</v>
      </c>
      <c r="I51" s="55">
        <v>0</v>
      </c>
      <c r="J51" s="132"/>
    </row>
    <row r="52" spans="1:10" x14ac:dyDescent="0.3">
      <c r="A52" s="122" t="s">
        <v>247</v>
      </c>
      <c r="B52" s="123" t="s">
        <v>248</v>
      </c>
      <c r="C52" s="123" t="s">
        <v>151</v>
      </c>
      <c r="D52" s="123">
        <v>1</v>
      </c>
      <c r="E52" s="130">
        <v>14500</v>
      </c>
      <c r="F52" s="124">
        <v>5075</v>
      </c>
      <c r="G52" s="130">
        <v>5000</v>
      </c>
      <c r="H52" s="131">
        <v>17660</v>
      </c>
      <c r="I52" s="125">
        <v>20680</v>
      </c>
      <c r="J52" s="132"/>
    </row>
    <row r="53" spans="1:10" x14ac:dyDescent="0.3">
      <c r="A53" s="122" t="s">
        <v>249</v>
      </c>
      <c r="B53" s="123" t="s">
        <v>250</v>
      </c>
      <c r="C53" s="123" t="s">
        <v>181</v>
      </c>
      <c r="D53" s="123">
        <v>1</v>
      </c>
      <c r="E53" s="130"/>
      <c r="F53" s="124">
        <v>4060</v>
      </c>
      <c r="G53" s="130">
        <v>15000</v>
      </c>
      <c r="H53" s="131">
        <v>10596</v>
      </c>
      <c r="I53" s="125">
        <v>12430.000000000002</v>
      </c>
      <c r="J53" s="132"/>
    </row>
    <row r="54" spans="1:10" x14ac:dyDescent="0.3">
      <c r="A54" s="122" t="s">
        <v>251</v>
      </c>
      <c r="B54" s="123" t="s">
        <v>252</v>
      </c>
      <c r="C54" s="123" t="s">
        <v>151</v>
      </c>
      <c r="D54" s="123">
        <v>1</v>
      </c>
      <c r="E54" s="130"/>
      <c r="F54" s="124">
        <v>5800</v>
      </c>
      <c r="G54" s="130"/>
      <c r="H54" s="131">
        <v>17660</v>
      </c>
      <c r="I54" s="125">
        <v>20680</v>
      </c>
      <c r="J54" s="132"/>
    </row>
    <row r="55" spans="1:10" x14ac:dyDescent="0.3">
      <c r="A55" s="122" t="s">
        <v>253</v>
      </c>
      <c r="B55" s="123" t="s">
        <v>254</v>
      </c>
      <c r="C55" s="123" t="s">
        <v>181</v>
      </c>
      <c r="D55" s="123">
        <v>1</v>
      </c>
      <c r="E55" s="130">
        <v>9000</v>
      </c>
      <c r="F55" s="124">
        <v>5075</v>
      </c>
      <c r="G55" s="130"/>
      <c r="H55" s="131">
        <v>10596</v>
      </c>
      <c r="I55" s="125">
        <v>12430.000000000002</v>
      </c>
      <c r="J55" s="132"/>
    </row>
    <row r="56" spans="1:10" x14ac:dyDescent="0.3">
      <c r="A56" s="122" t="s">
        <v>255</v>
      </c>
      <c r="B56" s="123" t="s">
        <v>256</v>
      </c>
      <c r="C56" s="123" t="s">
        <v>151</v>
      </c>
      <c r="D56" s="123">
        <v>1</v>
      </c>
      <c r="E56" s="130">
        <v>16500</v>
      </c>
      <c r="F56" s="124">
        <v>6090</v>
      </c>
      <c r="G56" s="130">
        <v>6000</v>
      </c>
      <c r="H56" s="131">
        <v>22428</v>
      </c>
      <c r="I56" s="125">
        <v>20680</v>
      </c>
      <c r="J56" s="132"/>
    </row>
    <row r="57" spans="1:10" x14ac:dyDescent="0.3">
      <c r="A57" s="122" t="s">
        <v>257</v>
      </c>
      <c r="B57" s="123" t="s">
        <v>258</v>
      </c>
      <c r="C57" s="123" t="s">
        <v>181</v>
      </c>
      <c r="D57" s="123">
        <v>1</v>
      </c>
      <c r="E57" s="130">
        <v>10500</v>
      </c>
      <c r="F57" s="124">
        <v>3045</v>
      </c>
      <c r="G57" s="130">
        <v>18000</v>
      </c>
      <c r="H57" s="131">
        <v>13456</v>
      </c>
      <c r="I57" s="125">
        <v>12430.000000000002</v>
      </c>
      <c r="J57" s="132"/>
    </row>
    <row r="58" spans="1:10" x14ac:dyDescent="0.3">
      <c r="A58" s="122" t="s">
        <v>259</v>
      </c>
      <c r="B58" s="123" t="s">
        <v>260</v>
      </c>
      <c r="C58" s="123" t="s">
        <v>151</v>
      </c>
      <c r="D58" s="123">
        <v>1</v>
      </c>
      <c r="E58" s="130">
        <v>17400</v>
      </c>
      <c r="F58" s="124">
        <v>10875</v>
      </c>
      <c r="G58" s="130">
        <v>9000</v>
      </c>
      <c r="H58" s="131">
        <v>30053</v>
      </c>
      <c r="I58" s="125">
        <v>20680</v>
      </c>
      <c r="J58" s="132"/>
    </row>
    <row r="59" spans="1:10" x14ac:dyDescent="0.3">
      <c r="A59" s="122" t="s">
        <v>261</v>
      </c>
      <c r="B59" s="123" t="s">
        <v>262</v>
      </c>
      <c r="C59" s="123" t="s">
        <v>181</v>
      </c>
      <c r="D59" s="123">
        <v>1</v>
      </c>
      <c r="E59" s="130">
        <v>15000</v>
      </c>
      <c r="F59" s="124">
        <v>3625</v>
      </c>
      <c r="G59" s="130"/>
      <c r="H59" s="131">
        <v>18031</v>
      </c>
      <c r="I59" s="125">
        <v>12430.000000000002</v>
      </c>
      <c r="J59" s="132"/>
    </row>
    <row r="60" spans="1:10" x14ac:dyDescent="0.3">
      <c r="A60" s="122" t="s">
        <v>263</v>
      </c>
      <c r="B60" s="123" t="s">
        <v>264</v>
      </c>
      <c r="C60" s="123" t="s">
        <v>151</v>
      </c>
      <c r="D60" s="123">
        <v>1</v>
      </c>
      <c r="E60" s="130">
        <v>21500</v>
      </c>
      <c r="F60" s="124">
        <v>10875</v>
      </c>
      <c r="G60" s="130">
        <v>11000</v>
      </c>
      <c r="H60" s="131">
        <v>21142</v>
      </c>
      <c r="I60" s="55">
        <v>0</v>
      </c>
      <c r="J60" s="132"/>
    </row>
    <row r="61" spans="1:10" x14ac:dyDescent="0.3">
      <c r="A61" s="122" t="s">
        <v>265</v>
      </c>
      <c r="B61" s="123" t="s">
        <v>266</v>
      </c>
      <c r="C61" s="123" t="s">
        <v>181</v>
      </c>
      <c r="D61" s="123">
        <v>1</v>
      </c>
      <c r="E61" s="130">
        <v>19000</v>
      </c>
      <c r="F61" s="124">
        <v>5075</v>
      </c>
      <c r="G61" s="130"/>
      <c r="H61" s="131">
        <v>24449</v>
      </c>
      <c r="I61" s="55">
        <v>0</v>
      </c>
      <c r="J61" s="132"/>
    </row>
    <row r="62" spans="1:10" x14ac:dyDescent="0.3">
      <c r="A62" s="122" t="s">
        <v>267</v>
      </c>
      <c r="B62" s="123" t="s">
        <v>268</v>
      </c>
      <c r="C62" s="123" t="s">
        <v>181</v>
      </c>
      <c r="D62" s="123">
        <v>1</v>
      </c>
      <c r="E62" s="130">
        <v>22000</v>
      </c>
      <c r="F62" s="124">
        <v>7975</v>
      </c>
      <c r="G62" s="130"/>
      <c r="H62" s="131">
        <v>18031</v>
      </c>
      <c r="I62" s="55">
        <v>0</v>
      </c>
      <c r="J62" s="132"/>
    </row>
    <row r="63" spans="1:10" x14ac:dyDescent="0.3">
      <c r="A63" s="122" t="s">
        <v>269</v>
      </c>
      <c r="B63" s="123" t="s">
        <v>270</v>
      </c>
      <c r="C63" s="123" t="s">
        <v>172</v>
      </c>
      <c r="D63" s="123">
        <v>1</v>
      </c>
      <c r="E63" s="130">
        <v>35000</v>
      </c>
      <c r="F63" s="124">
        <v>79750</v>
      </c>
      <c r="G63" s="130"/>
      <c r="H63" s="131">
        <v>110000</v>
      </c>
      <c r="I63" s="55">
        <v>0</v>
      </c>
      <c r="J63" s="132"/>
    </row>
    <row r="64" spans="1:10" ht="15" thickBot="1" x14ac:dyDescent="0.35">
      <c r="A64" s="126" t="s">
        <v>271</v>
      </c>
      <c r="B64" s="134" t="s">
        <v>272</v>
      </c>
      <c r="C64" s="127" t="s">
        <v>172</v>
      </c>
      <c r="D64" s="127">
        <v>1</v>
      </c>
      <c r="E64" s="135">
        <v>45000</v>
      </c>
      <c r="F64" s="128">
        <v>65250</v>
      </c>
      <c r="G64" s="135"/>
      <c r="H64" s="136">
        <v>90000</v>
      </c>
      <c r="I64" s="129">
        <v>0</v>
      </c>
      <c r="J64" s="137"/>
    </row>
    <row r="65" spans="1:10" x14ac:dyDescent="0.3">
      <c r="A65" s="13"/>
      <c r="B65" s="13"/>
      <c r="C65" s="210" t="s">
        <v>40</v>
      </c>
      <c r="D65" s="211"/>
      <c r="E65" s="138">
        <f>SUM(E5:E64)</f>
        <v>1654650</v>
      </c>
      <c r="F65" s="139">
        <f>SUM(F5:F64)</f>
        <v>2429910</v>
      </c>
      <c r="G65" s="139">
        <f>SUM(G5:G64)</f>
        <v>2061500</v>
      </c>
      <c r="H65" s="139">
        <f>SUM(H5:H64)</f>
        <v>4390562</v>
      </c>
      <c r="I65" s="139">
        <f t="shared" ref="I65:J65" si="0">SUM(I5:I64)</f>
        <v>3213650</v>
      </c>
      <c r="J65" s="140">
        <f t="shared" si="0"/>
        <v>0</v>
      </c>
    </row>
    <row r="66" spans="1:10" x14ac:dyDescent="0.3">
      <c r="A66" s="13"/>
      <c r="B66" s="13"/>
      <c r="C66" s="212" t="s">
        <v>41</v>
      </c>
      <c r="D66" s="213"/>
      <c r="E66" s="141">
        <f t="shared" ref="E66:H66" si="1">E65*0.19</f>
        <v>314383.5</v>
      </c>
      <c r="F66" s="142">
        <f t="shared" si="1"/>
        <v>461682.9</v>
      </c>
      <c r="G66" s="142">
        <f t="shared" si="1"/>
        <v>391685</v>
      </c>
      <c r="H66" s="142">
        <f t="shared" si="1"/>
        <v>834206.78</v>
      </c>
      <c r="I66" s="142">
        <f t="shared" ref="I66:J66" si="2">I65*0.19</f>
        <v>610593.5</v>
      </c>
      <c r="J66" s="143">
        <f t="shared" si="2"/>
        <v>0</v>
      </c>
    </row>
    <row r="67" spans="1:10" ht="15" thickBot="1" x14ac:dyDescent="0.35">
      <c r="A67" s="13"/>
      <c r="B67" s="13"/>
      <c r="C67" s="214" t="s">
        <v>42</v>
      </c>
      <c r="D67" s="215"/>
      <c r="E67" s="144">
        <f t="shared" ref="E67:H67" si="3">SUM(E65:E66)</f>
        <v>1969033.5</v>
      </c>
      <c r="F67" s="145">
        <f t="shared" si="3"/>
        <v>2891592.9</v>
      </c>
      <c r="G67" s="145">
        <f t="shared" si="3"/>
        <v>2453185</v>
      </c>
      <c r="H67" s="145">
        <f t="shared" si="3"/>
        <v>5224768.78</v>
      </c>
      <c r="I67" s="145">
        <f t="shared" ref="I67:J67" si="4">SUM(I65:I66)</f>
        <v>3824243.5</v>
      </c>
      <c r="J67" s="146">
        <f t="shared" si="4"/>
        <v>0</v>
      </c>
    </row>
  </sheetData>
  <mergeCells count="9">
    <mergeCell ref="C65:D65"/>
    <mergeCell ref="C66:D66"/>
    <mergeCell ref="C67:D67"/>
    <mergeCell ref="E1:J1"/>
    <mergeCell ref="A3:A4"/>
    <mergeCell ref="B3:B4"/>
    <mergeCell ref="C3:C4"/>
    <mergeCell ref="D3:D4"/>
    <mergeCell ref="A1:D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A43A1-62CC-438B-8572-112F733294B5}">
  <dimension ref="A1:L66"/>
  <sheetViews>
    <sheetView topLeftCell="B1" workbookViewId="0">
      <selection activeCell="G10" sqref="G10"/>
    </sheetView>
  </sheetViews>
  <sheetFormatPr baseColWidth="10" defaultRowHeight="14.4" x14ac:dyDescent="0.3"/>
  <cols>
    <col min="1" max="1" width="7.44140625" style="29" customWidth="1"/>
    <col min="2" max="2" width="41.21875" customWidth="1"/>
    <col min="3" max="3" width="7.5546875" style="29" customWidth="1"/>
    <col min="5" max="5" width="15.77734375" customWidth="1"/>
    <col min="6" max="6" width="17.21875" customWidth="1"/>
    <col min="7" max="7" width="14.21875" customWidth="1"/>
    <col min="8" max="8" width="13.21875" customWidth="1"/>
    <col min="9" max="9" width="14.21875" customWidth="1"/>
    <col min="10" max="10" width="13.44140625" customWidth="1"/>
  </cols>
  <sheetData>
    <row r="1" spans="1:12" ht="15" thickBot="1" x14ac:dyDescent="0.35">
      <c r="A1" s="13"/>
      <c r="B1" s="26"/>
      <c r="E1" s="229"/>
      <c r="F1" s="230"/>
      <c r="G1" s="231"/>
      <c r="H1" s="231"/>
      <c r="I1" s="231"/>
      <c r="J1" s="232"/>
    </row>
    <row r="2" spans="1:12" ht="15" thickBot="1" x14ac:dyDescent="0.35">
      <c r="A2" s="13"/>
      <c r="B2" s="26"/>
      <c r="E2" s="14" t="s">
        <v>285</v>
      </c>
      <c r="F2" s="15" t="s">
        <v>278</v>
      </c>
      <c r="G2" s="16" t="s">
        <v>273</v>
      </c>
      <c r="H2" s="16" t="s">
        <v>274</v>
      </c>
      <c r="I2" s="16" t="s">
        <v>273</v>
      </c>
      <c r="J2" s="17" t="s">
        <v>282</v>
      </c>
      <c r="K2" s="16" t="s">
        <v>274</v>
      </c>
      <c r="L2" s="16" t="s">
        <v>273</v>
      </c>
    </row>
    <row r="3" spans="1:12" ht="58.2" thickBot="1" x14ac:dyDescent="0.35">
      <c r="A3" s="18" t="s">
        <v>146</v>
      </c>
      <c r="B3" s="46" t="s">
        <v>147</v>
      </c>
      <c r="C3" s="47" t="s">
        <v>1</v>
      </c>
      <c r="D3" s="48" t="s">
        <v>2</v>
      </c>
      <c r="E3" s="49"/>
      <c r="F3" s="49" t="s">
        <v>148</v>
      </c>
      <c r="G3" s="50" t="s">
        <v>275</v>
      </c>
      <c r="H3" s="50" t="s">
        <v>276</v>
      </c>
      <c r="I3" s="50"/>
      <c r="J3" s="50"/>
      <c r="K3" s="50"/>
      <c r="L3" s="50"/>
    </row>
    <row r="4" spans="1:12" x14ac:dyDescent="0.3">
      <c r="A4" s="23" t="s">
        <v>149</v>
      </c>
      <c r="B4" s="42" t="s">
        <v>150</v>
      </c>
      <c r="C4" s="43" t="s">
        <v>151</v>
      </c>
      <c r="D4" s="42">
        <v>1</v>
      </c>
      <c r="E4" s="44"/>
      <c r="F4" s="44"/>
      <c r="G4" s="44"/>
      <c r="H4" s="44"/>
      <c r="I4" s="44"/>
      <c r="J4" s="45"/>
      <c r="K4" s="42"/>
      <c r="L4" s="42"/>
    </row>
    <row r="5" spans="1:12" x14ac:dyDescent="0.3">
      <c r="A5" s="24" t="s">
        <v>152</v>
      </c>
      <c r="B5" s="19" t="s">
        <v>153</v>
      </c>
      <c r="C5" s="20" t="s">
        <v>151</v>
      </c>
      <c r="D5" s="19">
        <v>1</v>
      </c>
      <c r="E5" s="27"/>
      <c r="F5" s="27"/>
      <c r="G5" s="27"/>
      <c r="H5" s="27"/>
      <c r="I5" s="27"/>
      <c r="J5" s="39"/>
      <c r="K5" s="19"/>
      <c r="L5" s="19"/>
    </row>
    <row r="6" spans="1:12" x14ac:dyDescent="0.3">
      <c r="A6" s="24" t="s">
        <v>154</v>
      </c>
      <c r="B6" s="19" t="s">
        <v>155</v>
      </c>
      <c r="C6" s="20" t="s">
        <v>151</v>
      </c>
      <c r="D6" s="19">
        <v>1</v>
      </c>
      <c r="E6" s="27"/>
      <c r="F6" s="27"/>
      <c r="G6" s="27"/>
      <c r="H6" s="27"/>
      <c r="I6" s="27"/>
      <c r="J6" s="39"/>
      <c r="K6" s="19"/>
      <c r="L6" s="19"/>
    </row>
    <row r="7" spans="1:12" x14ac:dyDescent="0.3">
      <c r="A7" s="24" t="s">
        <v>156</v>
      </c>
      <c r="B7" s="19" t="s">
        <v>157</v>
      </c>
      <c r="C7" s="20" t="s">
        <v>151</v>
      </c>
      <c r="D7" s="19">
        <v>1</v>
      </c>
      <c r="E7" s="27"/>
      <c r="F7" s="27"/>
      <c r="G7" s="27"/>
      <c r="H7" s="27"/>
      <c r="I7" s="27"/>
      <c r="J7" s="39"/>
      <c r="K7" s="19"/>
      <c r="L7" s="19"/>
    </row>
    <row r="8" spans="1:12" x14ac:dyDescent="0.3">
      <c r="A8" s="24" t="s">
        <v>158</v>
      </c>
      <c r="B8" s="19" t="s">
        <v>159</v>
      </c>
      <c r="C8" s="20" t="s">
        <v>151</v>
      </c>
      <c r="D8" s="19">
        <v>1</v>
      </c>
      <c r="E8" s="27"/>
      <c r="F8" s="27"/>
      <c r="G8" s="27"/>
      <c r="H8" s="27"/>
      <c r="I8" s="27"/>
      <c r="J8" s="39"/>
      <c r="K8" s="19"/>
      <c r="L8" s="19"/>
    </row>
    <row r="9" spans="1:12" x14ac:dyDescent="0.3">
      <c r="A9" s="24" t="s">
        <v>160</v>
      </c>
      <c r="B9" s="19" t="s">
        <v>161</v>
      </c>
      <c r="C9" s="20" t="s">
        <v>151</v>
      </c>
      <c r="D9" s="19">
        <v>1</v>
      </c>
      <c r="E9" s="27"/>
      <c r="F9" s="27"/>
      <c r="G9" s="27"/>
      <c r="H9" s="27"/>
      <c r="I9" s="27"/>
      <c r="J9" s="39"/>
      <c r="K9" s="19"/>
      <c r="L9" s="19"/>
    </row>
    <row r="10" spans="1:12" x14ac:dyDescent="0.3">
      <c r="A10" s="24" t="s">
        <v>162</v>
      </c>
      <c r="B10" s="19" t="s">
        <v>163</v>
      </c>
      <c r="C10" s="20" t="s">
        <v>151</v>
      </c>
      <c r="D10" s="19">
        <v>1</v>
      </c>
      <c r="E10" s="27"/>
      <c r="F10" s="27"/>
      <c r="G10" s="27"/>
      <c r="H10" s="27"/>
      <c r="I10" s="27"/>
      <c r="J10" s="39"/>
      <c r="K10" s="19"/>
      <c r="L10" s="19"/>
    </row>
    <row r="11" spans="1:12" x14ac:dyDescent="0.3">
      <c r="A11" s="24" t="s">
        <v>164</v>
      </c>
      <c r="B11" s="19" t="s">
        <v>165</v>
      </c>
      <c r="C11" s="20" t="s">
        <v>151</v>
      </c>
      <c r="D11" s="19">
        <v>1</v>
      </c>
      <c r="E11" s="27"/>
      <c r="F11" s="27"/>
      <c r="G11" s="27"/>
      <c r="H11" s="27"/>
      <c r="I11" s="27"/>
      <c r="J11" s="39"/>
      <c r="K11" s="19"/>
      <c r="L11" s="19"/>
    </row>
    <row r="12" spans="1:12" x14ac:dyDescent="0.3">
      <c r="A12" s="24" t="s">
        <v>166</v>
      </c>
      <c r="B12" s="19" t="s">
        <v>167</v>
      </c>
      <c r="C12" s="20" t="s">
        <v>151</v>
      </c>
      <c r="D12" s="19">
        <v>1</v>
      </c>
      <c r="E12" s="27"/>
      <c r="F12" s="27"/>
      <c r="G12" s="27"/>
      <c r="H12" s="27"/>
      <c r="I12" s="27"/>
      <c r="J12" s="39"/>
      <c r="K12" s="19"/>
      <c r="L12" s="19"/>
    </row>
    <row r="13" spans="1:12" x14ac:dyDescent="0.3">
      <c r="A13" s="24" t="s">
        <v>168</v>
      </c>
      <c r="B13" s="19" t="s">
        <v>169</v>
      </c>
      <c r="C13" s="20" t="s">
        <v>151</v>
      </c>
      <c r="D13" s="19">
        <v>1</v>
      </c>
      <c r="E13" s="27"/>
      <c r="F13" s="27"/>
      <c r="G13" s="27"/>
      <c r="H13" s="27"/>
      <c r="I13" s="27"/>
      <c r="J13" s="39"/>
      <c r="K13" s="19"/>
      <c r="L13" s="19"/>
    </row>
    <row r="14" spans="1:12" x14ac:dyDescent="0.3">
      <c r="A14" s="24" t="s">
        <v>170</v>
      </c>
      <c r="B14" s="19" t="s">
        <v>171</v>
      </c>
      <c r="C14" s="20" t="s">
        <v>172</v>
      </c>
      <c r="D14" s="19">
        <v>1</v>
      </c>
      <c r="E14" s="27"/>
      <c r="F14" s="27"/>
      <c r="G14" s="27"/>
      <c r="H14" s="27"/>
      <c r="I14" s="27"/>
      <c r="J14" s="39"/>
      <c r="K14" s="19"/>
      <c r="L14" s="19"/>
    </row>
    <row r="15" spans="1:12" x14ac:dyDescent="0.3">
      <c r="A15" s="24" t="s">
        <v>173</v>
      </c>
      <c r="B15" s="19" t="s">
        <v>174</v>
      </c>
      <c r="C15" s="20" t="s">
        <v>172</v>
      </c>
      <c r="D15" s="19">
        <v>1</v>
      </c>
      <c r="E15" s="27"/>
      <c r="F15" s="27"/>
      <c r="G15" s="27"/>
      <c r="H15" s="27"/>
      <c r="I15" s="27"/>
      <c r="J15" s="39"/>
      <c r="K15" s="19"/>
      <c r="L15" s="19"/>
    </row>
    <row r="16" spans="1:12" x14ac:dyDescent="0.3">
      <c r="A16" s="24" t="s">
        <v>175</v>
      </c>
      <c r="B16" s="19" t="s">
        <v>176</v>
      </c>
      <c r="C16" s="20" t="s">
        <v>172</v>
      </c>
      <c r="D16" s="19">
        <v>1</v>
      </c>
      <c r="E16" s="27"/>
      <c r="F16" s="27"/>
      <c r="G16" s="27"/>
      <c r="H16" s="27"/>
      <c r="I16" s="27"/>
      <c r="J16" s="39"/>
      <c r="K16" s="19"/>
      <c r="L16" s="19"/>
    </row>
    <row r="17" spans="1:12" x14ac:dyDescent="0.3">
      <c r="A17" s="24" t="s">
        <v>177</v>
      </c>
      <c r="B17" s="19" t="s">
        <v>178</v>
      </c>
      <c r="C17" s="20" t="s">
        <v>172</v>
      </c>
      <c r="D17" s="19">
        <v>1</v>
      </c>
      <c r="E17" s="27"/>
      <c r="F17" s="27"/>
      <c r="G17" s="27"/>
      <c r="H17" s="27"/>
      <c r="I17" s="27"/>
      <c r="J17" s="39"/>
      <c r="K17" s="19"/>
      <c r="L17" s="19"/>
    </row>
    <row r="18" spans="1:12" x14ac:dyDescent="0.3">
      <c r="A18" s="24" t="s">
        <v>179</v>
      </c>
      <c r="B18" s="19" t="s">
        <v>180</v>
      </c>
      <c r="C18" s="20" t="s">
        <v>181</v>
      </c>
      <c r="D18" s="19">
        <v>1</v>
      </c>
      <c r="E18" s="27"/>
      <c r="F18" s="27"/>
      <c r="G18" s="27"/>
      <c r="H18" s="27"/>
      <c r="I18" s="27"/>
      <c r="J18" s="39"/>
      <c r="K18" s="19"/>
      <c r="L18" s="19"/>
    </row>
    <row r="19" spans="1:12" x14ac:dyDescent="0.3">
      <c r="A19" s="24" t="s">
        <v>182</v>
      </c>
      <c r="B19" s="19" t="s">
        <v>183</v>
      </c>
      <c r="C19" s="20" t="s">
        <v>181</v>
      </c>
      <c r="D19" s="19">
        <v>1</v>
      </c>
      <c r="E19" s="27"/>
      <c r="F19" s="27"/>
      <c r="G19" s="27"/>
      <c r="H19" s="27"/>
      <c r="I19" s="27"/>
      <c r="J19" s="39"/>
      <c r="K19" s="19"/>
      <c r="L19" s="19"/>
    </row>
    <row r="20" spans="1:12" x14ac:dyDescent="0.3">
      <c r="A20" s="24" t="s">
        <v>184</v>
      </c>
      <c r="B20" s="19" t="s">
        <v>185</v>
      </c>
      <c r="C20" s="20" t="s">
        <v>172</v>
      </c>
      <c r="D20" s="19">
        <v>1</v>
      </c>
      <c r="E20" s="27"/>
      <c r="F20" s="27"/>
      <c r="G20" s="27"/>
      <c r="H20" s="27"/>
      <c r="I20" s="27"/>
      <c r="J20" s="39"/>
      <c r="K20" s="19"/>
      <c r="L20" s="19"/>
    </row>
    <row r="21" spans="1:12" x14ac:dyDescent="0.3">
      <c r="A21" s="24" t="s">
        <v>186</v>
      </c>
      <c r="B21" s="19" t="s">
        <v>187</v>
      </c>
      <c r="C21" s="20" t="s">
        <v>172</v>
      </c>
      <c r="D21" s="19">
        <v>1</v>
      </c>
      <c r="E21" s="27"/>
      <c r="F21" s="27"/>
      <c r="G21" s="27"/>
      <c r="H21" s="27"/>
      <c r="I21" s="27"/>
      <c r="J21" s="39"/>
      <c r="K21" s="19"/>
      <c r="L21" s="19"/>
    </row>
    <row r="22" spans="1:12" x14ac:dyDescent="0.3">
      <c r="A22" s="24" t="s">
        <v>188</v>
      </c>
      <c r="B22" s="19" t="s">
        <v>189</v>
      </c>
      <c r="C22" s="20" t="s">
        <v>172</v>
      </c>
      <c r="D22" s="19">
        <v>1</v>
      </c>
      <c r="E22" s="27"/>
      <c r="F22" s="27"/>
      <c r="G22" s="27"/>
      <c r="H22" s="27"/>
      <c r="I22" s="27"/>
      <c r="J22" s="39"/>
      <c r="K22" s="19"/>
      <c r="L22" s="19"/>
    </row>
    <row r="23" spans="1:12" x14ac:dyDescent="0.3">
      <c r="A23" s="24" t="s">
        <v>190</v>
      </c>
      <c r="B23" s="19" t="s">
        <v>191</v>
      </c>
      <c r="C23" s="20" t="s">
        <v>151</v>
      </c>
      <c r="D23" s="19">
        <v>1</v>
      </c>
      <c r="E23" s="27"/>
      <c r="F23" s="27"/>
      <c r="G23" s="27"/>
      <c r="H23" s="27"/>
      <c r="I23" s="27"/>
      <c r="J23" s="39"/>
      <c r="K23" s="19"/>
      <c r="L23" s="19"/>
    </row>
    <row r="24" spans="1:12" x14ac:dyDescent="0.3">
      <c r="A24" s="24" t="s">
        <v>192</v>
      </c>
      <c r="B24" s="19" t="s">
        <v>193</v>
      </c>
      <c r="C24" s="20" t="s">
        <v>151</v>
      </c>
      <c r="D24" s="19">
        <v>1</v>
      </c>
      <c r="E24" s="27"/>
      <c r="F24" s="27"/>
      <c r="G24" s="27"/>
      <c r="H24" s="27"/>
      <c r="I24" s="27"/>
      <c r="J24" s="39"/>
      <c r="K24" s="19"/>
      <c r="L24" s="19"/>
    </row>
    <row r="25" spans="1:12" x14ac:dyDescent="0.3">
      <c r="A25" s="24" t="s">
        <v>194</v>
      </c>
      <c r="B25" s="19" t="s">
        <v>195</v>
      </c>
      <c r="C25" s="20" t="s">
        <v>151</v>
      </c>
      <c r="D25" s="19">
        <v>1</v>
      </c>
      <c r="E25" s="27"/>
      <c r="F25" s="27"/>
      <c r="G25" s="27"/>
      <c r="H25" s="27"/>
      <c r="I25" s="27"/>
      <c r="J25" s="39"/>
      <c r="K25" s="19"/>
      <c r="L25" s="19"/>
    </row>
    <row r="26" spans="1:12" x14ac:dyDescent="0.3">
      <c r="A26" s="24" t="s">
        <v>196</v>
      </c>
      <c r="B26" s="19" t="s">
        <v>197</v>
      </c>
      <c r="C26" s="20" t="s">
        <v>151</v>
      </c>
      <c r="D26" s="19">
        <v>1</v>
      </c>
      <c r="E26" s="27"/>
      <c r="F26" s="27"/>
      <c r="G26" s="27"/>
      <c r="H26" s="27"/>
      <c r="I26" s="27"/>
      <c r="J26" s="39"/>
      <c r="K26" s="19"/>
      <c r="L26" s="19"/>
    </row>
    <row r="27" spans="1:12" x14ac:dyDescent="0.3">
      <c r="A27" s="24" t="s">
        <v>198</v>
      </c>
      <c r="B27" s="19" t="s">
        <v>199</v>
      </c>
      <c r="C27" s="20" t="s">
        <v>151</v>
      </c>
      <c r="D27" s="19">
        <v>1</v>
      </c>
      <c r="E27" s="27"/>
      <c r="F27" s="27"/>
      <c r="G27" s="27"/>
      <c r="H27" s="27"/>
      <c r="I27" s="27"/>
      <c r="J27" s="39"/>
      <c r="K27" s="19"/>
      <c r="L27" s="19"/>
    </row>
    <row r="28" spans="1:12" x14ac:dyDescent="0.3">
      <c r="A28" s="24" t="s">
        <v>200</v>
      </c>
      <c r="B28" s="19" t="s">
        <v>201</v>
      </c>
      <c r="C28" s="20" t="s">
        <v>202</v>
      </c>
      <c r="D28" s="19">
        <v>1</v>
      </c>
      <c r="E28" s="27"/>
      <c r="F28" s="27"/>
      <c r="G28" s="27"/>
      <c r="H28" s="27"/>
      <c r="I28" s="27"/>
      <c r="J28" s="39"/>
      <c r="K28" s="19"/>
      <c r="L28" s="19"/>
    </row>
    <row r="29" spans="1:12" x14ac:dyDescent="0.3">
      <c r="A29" s="24" t="s">
        <v>203</v>
      </c>
      <c r="B29" s="19" t="s">
        <v>204</v>
      </c>
      <c r="C29" s="20" t="s">
        <v>151</v>
      </c>
      <c r="D29" s="19">
        <v>1</v>
      </c>
      <c r="E29" s="27"/>
      <c r="F29" s="27"/>
      <c r="G29" s="27"/>
      <c r="H29" s="27"/>
      <c r="I29" s="27"/>
      <c r="J29" s="39"/>
      <c r="K29" s="19"/>
      <c r="L29" s="19"/>
    </row>
    <row r="30" spans="1:12" x14ac:dyDescent="0.3">
      <c r="A30" s="24" t="s">
        <v>205</v>
      </c>
      <c r="B30" s="19" t="s">
        <v>206</v>
      </c>
      <c r="C30" s="20" t="s">
        <v>151</v>
      </c>
      <c r="D30" s="19">
        <v>1</v>
      </c>
      <c r="E30" s="27"/>
      <c r="F30" s="27"/>
      <c r="G30" s="27"/>
      <c r="H30" s="27"/>
      <c r="I30" s="27"/>
      <c r="J30" s="39"/>
      <c r="K30" s="19"/>
      <c r="L30" s="19"/>
    </row>
    <row r="31" spans="1:12" x14ac:dyDescent="0.3">
      <c r="A31" s="24" t="s">
        <v>207</v>
      </c>
      <c r="B31" s="19" t="s">
        <v>208</v>
      </c>
      <c r="C31" s="20" t="s">
        <v>151</v>
      </c>
      <c r="D31" s="19">
        <v>1</v>
      </c>
      <c r="E31" s="27"/>
      <c r="F31" s="27"/>
      <c r="G31" s="27"/>
      <c r="H31" s="27"/>
      <c r="I31" s="27"/>
      <c r="J31" s="39"/>
      <c r="K31" s="19"/>
      <c r="L31" s="19"/>
    </row>
    <row r="32" spans="1:12" x14ac:dyDescent="0.3">
      <c r="A32" s="24" t="s">
        <v>209</v>
      </c>
      <c r="B32" s="19" t="s">
        <v>210</v>
      </c>
      <c r="C32" s="20" t="s">
        <v>151</v>
      </c>
      <c r="D32" s="19">
        <v>1</v>
      </c>
      <c r="E32" s="27"/>
      <c r="F32" s="27"/>
      <c r="G32" s="27"/>
      <c r="H32" s="27"/>
      <c r="I32" s="27"/>
      <c r="J32" s="39"/>
      <c r="K32" s="19"/>
      <c r="L32" s="19"/>
    </row>
    <row r="33" spans="1:12" x14ac:dyDescent="0.3">
      <c r="A33" s="24" t="s">
        <v>211</v>
      </c>
      <c r="B33" s="19" t="s">
        <v>212</v>
      </c>
      <c r="C33" s="20" t="s">
        <v>151</v>
      </c>
      <c r="D33" s="19">
        <v>1</v>
      </c>
      <c r="E33" s="27"/>
      <c r="F33" s="27"/>
      <c r="G33" s="27"/>
      <c r="H33" s="27"/>
      <c r="I33" s="27"/>
      <c r="J33" s="39"/>
      <c r="K33" s="19"/>
      <c r="L33" s="19"/>
    </row>
    <row r="34" spans="1:12" x14ac:dyDescent="0.3">
      <c r="A34" s="24" t="s">
        <v>213</v>
      </c>
      <c r="B34" s="19" t="s">
        <v>214</v>
      </c>
      <c r="C34" s="20" t="s">
        <v>151</v>
      </c>
      <c r="D34" s="19">
        <v>1</v>
      </c>
      <c r="E34" s="27"/>
      <c r="F34" s="27"/>
      <c r="G34" s="27"/>
      <c r="H34" s="27"/>
      <c r="I34" s="27"/>
      <c r="J34" s="39"/>
      <c r="K34" s="19"/>
      <c r="L34" s="19"/>
    </row>
    <row r="35" spans="1:12" x14ac:dyDescent="0.3">
      <c r="A35" s="24" t="s">
        <v>215</v>
      </c>
      <c r="B35" s="19" t="s">
        <v>216</v>
      </c>
      <c r="C35" s="20" t="s">
        <v>181</v>
      </c>
      <c r="D35" s="19">
        <v>1</v>
      </c>
      <c r="E35" s="27"/>
      <c r="F35" s="27"/>
      <c r="G35" s="27"/>
      <c r="H35" s="27"/>
      <c r="I35" s="27"/>
      <c r="J35" s="39"/>
      <c r="K35" s="19"/>
      <c r="L35" s="19"/>
    </row>
    <row r="36" spans="1:12" x14ac:dyDescent="0.3">
      <c r="A36" s="24" t="s">
        <v>217</v>
      </c>
      <c r="B36" s="19" t="s">
        <v>218</v>
      </c>
      <c r="C36" s="20" t="s">
        <v>181</v>
      </c>
      <c r="D36" s="19">
        <v>1</v>
      </c>
      <c r="E36" s="27"/>
      <c r="F36" s="27"/>
      <c r="G36" s="27"/>
      <c r="H36" s="27"/>
      <c r="I36" s="27"/>
      <c r="J36" s="39"/>
      <c r="K36" s="19"/>
      <c r="L36" s="19"/>
    </row>
    <row r="37" spans="1:12" x14ac:dyDescent="0.3">
      <c r="A37" s="24" t="s">
        <v>219</v>
      </c>
      <c r="B37" s="19" t="s">
        <v>220</v>
      </c>
      <c r="C37" s="20" t="s">
        <v>151</v>
      </c>
      <c r="D37" s="19">
        <v>1</v>
      </c>
      <c r="E37" s="27"/>
      <c r="F37" s="27"/>
      <c r="G37" s="27"/>
      <c r="H37" s="27"/>
      <c r="I37" s="27"/>
      <c r="J37" s="39"/>
      <c r="K37" s="19"/>
      <c r="L37" s="19"/>
    </row>
    <row r="38" spans="1:12" x14ac:dyDescent="0.3">
      <c r="A38" s="24" t="s">
        <v>221</v>
      </c>
      <c r="B38" s="19" t="s">
        <v>222</v>
      </c>
      <c r="C38" s="20" t="s">
        <v>151</v>
      </c>
      <c r="D38" s="19">
        <v>1</v>
      </c>
      <c r="E38" s="27"/>
      <c r="F38" s="27"/>
      <c r="G38" s="27"/>
      <c r="H38" s="27"/>
      <c r="I38" s="27"/>
      <c r="J38" s="39"/>
      <c r="K38" s="19"/>
      <c r="L38" s="19"/>
    </row>
    <row r="39" spans="1:12" x14ac:dyDescent="0.3">
      <c r="A39" s="24" t="s">
        <v>223</v>
      </c>
      <c r="B39" s="19" t="s">
        <v>224</v>
      </c>
      <c r="C39" s="20" t="s">
        <v>151</v>
      </c>
      <c r="D39" s="19">
        <v>1</v>
      </c>
      <c r="E39" s="27"/>
      <c r="F39" s="27"/>
      <c r="G39" s="27"/>
      <c r="H39" s="27"/>
      <c r="I39" s="27"/>
      <c r="J39" s="39"/>
      <c r="K39" s="19"/>
      <c r="L39" s="19"/>
    </row>
    <row r="40" spans="1:12" x14ac:dyDescent="0.3">
      <c r="A40" s="24" t="s">
        <v>225</v>
      </c>
      <c r="B40" s="19" t="s">
        <v>226</v>
      </c>
      <c r="C40" s="20" t="s">
        <v>151</v>
      </c>
      <c r="D40" s="19">
        <v>1</v>
      </c>
      <c r="E40" s="27"/>
      <c r="F40" s="27"/>
      <c r="G40" s="27"/>
      <c r="H40" s="27"/>
      <c r="I40" s="27"/>
      <c r="J40" s="39"/>
      <c r="K40" s="19"/>
      <c r="L40" s="19"/>
    </row>
    <row r="41" spans="1:12" x14ac:dyDescent="0.3">
      <c r="A41" s="24" t="s">
        <v>227</v>
      </c>
      <c r="B41" s="19" t="s">
        <v>228</v>
      </c>
      <c r="C41" s="20" t="s">
        <v>151</v>
      </c>
      <c r="D41" s="19">
        <v>1</v>
      </c>
      <c r="E41" s="27"/>
      <c r="F41" s="27"/>
      <c r="G41" s="27"/>
      <c r="H41" s="27"/>
      <c r="I41" s="27"/>
      <c r="J41" s="39"/>
      <c r="K41" s="19"/>
      <c r="L41" s="19"/>
    </row>
    <row r="42" spans="1:12" x14ac:dyDescent="0.3">
      <c r="A42" s="24" t="s">
        <v>229</v>
      </c>
      <c r="B42" s="19" t="s">
        <v>230</v>
      </c>
      <c r="C42" s="20" t="s">
        <v>151</v>
      </c>
      <c r="D42" s="19">
        <v>1</v>
      </c>
      <c r="E42" s="27"/>
      <c r="F42" s="27"/>
      <c r="G42" s="27"/>
      <c r="H42" s="27"/>
      <c r="I42" s="27"/>
      <c r="J42" s="39"/>
      <c r="K42" s="19"/>
      <c r="L42" s="19"/>
    </row>
    <row r="43" spans="1:12" x14ac:dyDescent="0.3">
      <c r="A43" s="24" t="s">
        <v>231</v>
      </c>
      <c r="B43" s="19" t="s">
        <v>232</v>
      </c>
      <c r="C43" s="20" t="s">
        <v>181</v>
      </c>
      <c r="D43" s="19">
        <v>1</v>
      </c>
      <c r="E43" s="27"/>
      <c r="F43" s="27"/>
      <c r="G43" s="27"/>
      <c r="H43" s="27"/>
      <c r="I43" s="27"/>
      <c r="J43" s="39"/>
      <c r="K43" s="19"/>
      <c r="L43" s="19"/>
    </row>
    <row r="44" spans="1:12" x14ac:dyDescent="0.3">
      <c r="A44" s="24" t="s">
        <v>233</v>
      </c>
      <c r="B44" s="19" t="s">
        <v>234</v>
      </c>
      <c r="C44" s="20" t="s">
        <v>181</v>
      </c>
      <c r="D44" s="19">
        <v>1</v>
      </c>
      <c r="E44" s="27"/>
      <c r="F44" s="27"/>
      <c r="G44" s="27"/>
      <c r="H44" s="27"/>
      <c r="I44" s="27"/>
      <c r="J44" s="39"/>
      <c r="K44" s="19"/>
      <c r="L44" s="19"/>
    </row>
    <row r="45" spans="1:12" x14ac:dyDescent="0.3">
      <c r="A45" s="24" t="s">
        <v>235</v>
      </c>
      <c r="B45" s="19" t="s">
        <v>236</v>
      </c>
      <c r="C45" s="20" t="s">
        <v>181</v>
      </c>
      <c r="D45" s="19">
        <v>1</v>
      </c>
      <c r="E45" s="27"/>
      <c r="F45" s="27"/>
      <c r="G45" s="27"/>
      <c r="H45" s="27"/>
      <c r="I45" s="27"/>
      <c r="J45" s="39"/>
      <c r="K45" s="19"/>
      <c r="L45" s="19"/>
    </row>
    <row r="46" spans="1:12" x14ac:dyDescent="0.3">
      <c r="A46" s="24" t="s">
        <v>237</v>
      </c>
      <c r="B46" s="19" t="s">
        <v>238</v>
      </c>
      <c r="C46" s="20" t="s">
        <v>181</v>
      </c>
      <c r="D46" s="19">
        <v>1</v>
      </c>
      <c r="E46" s="27"/>
      <c r="F46" s="27"/>
      <c r="G46" s="27"/>
      <c r="H46" s="27"/>
      <c r="I46" s="27"/>
      <c r="J46" s="39"/>
      <c r="K46" s="19"/>
      <c r="L46" s="19"/>
    </row>
    <row r="47" spans="1:12" x14ac:dyDescent="0.3">
      <c r="A47" s="24" t="s">
        <v>239</v>
      </c>
      <c r="B47" s="19" t="s">
        <v>240</v>
      </c>
      <c r="C47" s="20" t="s">
        <v>202</v>
      </c>
      <c r="D47" s="19">
        <v>1</v>
      </c>
      <c r="E47" s="27"/>
      <c r="F47" s="27"/>
      <c r="G47" s="27"/>
      <c r="H47" s="27"/>
      <c r="I47" s="27"/>
      <c r="J47" s="39"/>
      <c r="K47" s="19"/>
      <c r="L47" s="19"/>
    </row>
    <row r="48" spans="1:12" x14ac:dyDescent="0.3">
      <c r="A48" s="24" t="s">
        <v>241</v>
      </c>
      <c r="B48" s="19" t="s">
        <v>242</v>
      </c>
      <c r="C48" s="20" t="s">
        <v>181</v>
      </c>
      <c r="D48" s="19">
        <v>1</v>
      </c>
      <c r="E48" s="27"/>
      <c r="F48" s="27"/>
      <c r="G48" s="27"/>
      <c r="H48" s="27"/>
      <c r="I48" s="27"/>
      <c r="J48" s="39"/>
      <c r="K48" s="19"/>
      <c r="L48" s="19"/>
    </row>
    <row r="49" spans="1:12" x14ac:dyDescent="0.3">
      <c r="A49" s="24" t="s">
        <v>243</v>
      </c>
      <c r="B49" s="19" t="s">
        <v>244</v>
      </c>
      <c r="C49" s="20" t="s">
        <v>181</v>
      </c>
      <c r="D49" s="19">
        <v>1</v>
      </c>
      <c r="E49" s="27"/>
      <c r="F49" s="27"/>
      <c r="G49" s="27"/>
      <c r="H49" s="27"/>
      <c r="I49" s="27"/>
      <c r="J49" s="39"/>
      <c r="K49" s="19"/>
      <c r="L49" s="19"/>
    </row>
    <row r="50" spans="1:12" x14ac:dyDescent="0.3">
      <c r="A50" s="24" t="s">
        <v>245</v>
      </c>
      <c r="B50" s="19" t="s">
        <v>246</v>
      </c>
      <c r="C50" s="20" t="s">
        <v>151</v>
      </c>
      <c r="D50" s="19">
        <v>1</v>
      </c>
      <c r="E50" s="27"/>
      <c r="F50" s="27"/>
      <c r="G50" s="27"/>
      <c r="H50" s="27"/>
      <c r="I50" s="27"/>
      <c r="J50" s="39"/>
      <c r="K50" s="19"/>
      <c r="L50" s="19"/>
    </row>
    <row r="51" spans="1:12" x14ac:dyDescent="0.3">
      <c r="A51" s="24" t="s">
        <v>247</v>
      </c>
      <c r="B51" s="19" t="s">
        <v>248</v>
      </c>
      <c r="C51" s="20" t="s">
        <v>151</v>
      </c>
      <c r="D51" s="19">
        <v>1</v>
      </c>
      <c r="E51" s="27"/>
      <c r="F51" s="27"/>
      <c r="G51" s="27"/>
      <c r="H51" s="27"/>
      <c r="I51" s="27"/>
      <c r="J51" s="39"/>
      <c r="K51" s="19"/>
      <c r="L51" s="19"/>
    </row>
    <row r="52" spans="1:12" x14ac:dyDescent="0.3">
      <c r="A52" s="24" t="s">
        <v>249</v>
      </c>
      <c r="B52" s="19" t="s">
        <v>250</v>
      </c>
      <c r="C52" s="20" t="s">
        <v>181</v>
      </c>
      <c r="D52" s="19">
        <v>1</v>
      </c>
      <c r="E52" s="27"/>
      <c r="F52" s="27"/>
      <c r="G52" s="27"/>
      <c r="H52" s="27"/>
      <c r="I52" s="27"/>
      <c r="J52" s="39"/>
      <c r="K52" s="19"/>
      <c r="L52" s="19"/>
    </row>
    <row r="53" spans="1:12" x14ac:dyDescent="0.3">
      <c r="A53" s="24" t="s">
        <v>251</v>
      </c>
      <c r="B53" s="19" t="s">
        <v>252</v>
      </c>
      <c r="C53" s="20" t="s">
        <v>151</v>
      </c>
      <c r="D53" s="19">
        <v>1</v>
      </c>
      <c r="E53" s="27"/>
      <c r="F53" s="27"/>
      <c r="G53" s="27"/>
      <c r="H53" s="27"/>
      <c r="I53" s="27"/>
      <c r="J53" s="39"/>
      <c r="K53" s="19"/>
      <c r="L53" s="19"/>
    </row>
    <row r="54" spans="1:12" x14ac:dyDescent="0.3">
      <c r="A54" s="24" t="s">
        <v>253</v>
      </c>
      <c r="B54" s="19" t="s">
        <v>254</v>
      </c>
      <c r="C54" s="20" t="s">
        <v>181</v>
      </c>
      <c r="D54" s="19">
        <v>1</v>
      </c>
      <c r="E54" s="27"/>
      <c r="F54" s="27"/>
      <c r="G54" s="27"/>
      <c r="H54" s="27"/>
      <c r="I54" s="27"/>
      <c r="J54" s="39"/>
      <c r="K54" s="19"/>
      <c r="L54" s="19"/>
    </row>
    <row r="55" spans="1:12" x14ac:dyDescent="0.3">
      <c r="A55" s="24" t="s">
        <v>255</v>
      </c>
      <c r="B55" s="19" t="s">
        <v>256</v>
      </c>
      <c r="C55" s="20" t="s">
        <v>151</v>
      </c>
      <c r="D55" s="19">
        <v>1</v>
      </c>
      <c r="E55" s="27"/>
      <c r="F55" s="27"/>
      <c r="G55" s="27"/>
      <c r="H55" s="27"/>
      <c r="I55" s="27"/>
      <c r="J55" s="39"/>
      <c r="K55" s="19"/>
      <c r="L55" s="19"/>
    </row>
    <row r="56" spans="1:12" x14ac:dyDescent="0.3">
      <c r="A56" s="24" t="s">
        <v>257</v>
      </c>
      <c r="B56" s="19" t="s">
        <v>258</v>
      </c>
      <c r="C56" s="20" t="s">
        <v>181</v>
      </c>
      <c r="D56" s="19">
        <v>1</v>
      </c>
      <c r="E56" s="27"/>
      <c r="F56" s="27"/>
      <c r="G56" s="27"/>
      <c r="H56" s="27"/>
      <c r="I56" s="27"/>
      <c r="J56" s="39"/>
      <c r="K56" s="19"/>
      <c r="L56" s="19"/>
    </row>
    <row r="57" spans="1:12" x14ac:dyDescent="0.3">
      <c r="A57" s="24" t="s">
        <v>259</v>
      </c>
      <c r="B57" s="19" t="s">
        <v>260</v>
      </c>
      <c r="C57" s="20" t="s">
        <v>151</v>
      </c>
      <c r="D57" s="19">
        <v>1</v>
      </c>
      <c r="E57" s="27"/>
      <c r="F57" s="27"/>
      <c r="G57" s="27"/>
      <c r="H57" s="27"/>
      <c r="I57" s="27"/>
      <c r="J57" s="39"/>
      <c r="K57" s="19"/>
      <c r="L57" s="19"/>
    </row>
    <row r="58" spans="1:12" x14ac:dyDescent="0.3">
      <c r="A58" s="24" t="s">
        <v>261</v>
      </c>
      <c r="B58" s="19" t="s">
        <v>262</v>
      </c>
      <c r="C58" s="20" t="s">
        <v>181</v>
      </c>
      <c r="D58" s="19">
        <v>1</v>
      </c>
      <c r="E58" s="27"/>
      <c r="F58" s="27"/>
      <c r="G58" s="27"/>
      <c r="H58" s="27"/>
      <c r="I58" s="27"/>
      <c r="J58" s="39"/>
      <c r="K58" s="19"/>
      <c r="L58" s="19"/>
    </row>
    <row r="59" spans="1:12" x14ac:dyDescent="0.3">
      <c r="A59" s="24" t="s">
        <v>263</v>
      </c>
      <c r="B59" s="19" t="s">
        <v>264</v>
      </c>
      <c r="C59" s="20" t="s">
        <v>151</v>
      </c>
      <c r="D59" s="19">
        <v>1</v>
      </c>
      <c r="E59" s="27"/>
      <c r="F59" s="27"/>
      <c r="G59" s="27"/>
      <c r="H59" s="27"/>
      <c r="I59" s="27"/>
      <c r="J59" s="39"/>
      <c r="K59" s="19"/>
      <c r="L59" s="19"/>
    </row>
    <row r="60" spans="1:12" x14ac:dyDescent="0.3">
      <c r="A60" s="24" t="s">
        <v>265</v>
      </c>
      <c r="B60" s="19" t="s">
        <v>266</v>
      </c>
      <c r="C60" s="20" t="s">
        <v>181</v>
      </c>
      <c r="D60" s="19">
        <v>1</v>
      </c>
      <c r="E60" s="27"/>
      <c r="F60" s="27"/>
      <c r="G60" s="27"/>
      <c r="H60" s="27"/>
      <c r="I60" s="27"/>
      <c r="J60" s="39"/>
      <c r="K60" s="19"/>
      <c r="L60" s="19"/>
    </row>
    <row r="61" spans="1:12" x14ac:dyDescent="0.3">
      <c r="A61" s="24" t="s">
        <v>267</v>
      </c>
      <c r="B61" s="19" t="s">
        <v>268</v>
      </c>
      <c r="C61" s="20" t="s">
        <v>181</v>
      </c>
      <c r="D61" s="19">
        <v>1</v>
      </c>
      <c r="E61" s="27"/>
      <c r="F61" s="27"/>
      <c r="G61" s="27"/>
      <c r="H61" s="27"/>
      <c r="I61" s="27"/>
      <c r="J61" s="39"/>
      <c r="K61" s="19"/>
      <c r="L61" s="19"/>
    </row>
    <row r="62" spans="1:12" x14ac:dyDescent="0.3">
      <c r="A62" s="24" t="s">
        <v>269</v>
      </c>
      <c r="B62" s="19" t="s">
        <v>270</v>
      </c>
      <c r="C62" s="20" t="s">
        <v>172</v>
      </c>
      <c r="D62" s="19">
        <v>1</v>
      </c>
      <c r="E62" s="27"/>
      <c r="F62" s="27"/>
      <c r="G62" s="27"/>
      <c r="H62" s="27"/>
      <c r="I62" s="27"/>
      <c r="J62" s="39"/>
      <c r="K62" s="19"/>
      <c r="L62" s="19"/>
    </row>
    <row r="63" spans="1:12" ht="15" thickBot="1" x14ac:dyDescent="0.35">
      <c r="A63" s="25" t="s">
        <v>271</v>
      </c>
      <c r="B63" s="21" t="s">
        <v>272</v>
      </c>
      <c r="C63" s="22" t="s">
        <v>172</v>
      </c>
      <c r="D63" s="21">
        <v>1</v>
      </c>
      <c r="E63" s="28"/>
      <c r="F63" s="28"/>
      <c r="G63" s="28"/>
      <c r="H63" s="28"/>
      <c r="I63" s="28"/>
      <c r="J63" s="40"/>
      <c r="K63" s="41"/>
      <c r="L63" s="41"/>
    </row>
    <row r="64" spans="1:12" x14ac:dyDescent="0.3">
      <c r="D64" s="8" t="s">
        <v>40</v>
      </c>
      <c r="E64" s="31">
        <f>SUM(E4:E63)</f>
        <v>0</v>
      </c>
      <c r="F64" s="32">
        <f>SUM(F36:F63)</f>
        <v>0</v>
      </c>
      <c r="G64" s="32">
        <f>SUM(G36:G63)</f>
        <v>0</v>
      </c>
      <c r="H64" s="32">
        <f>SUM(H36:H63)</f>
        <v>0</v>
      </c>
      <c r="I64" s="32">
        <f>SUM(I36:I63)</f>
        <v>0</v>
      </c>
      <c r="J64" s="33">
        <f>SUM(J36:J63)</f>
        <v>0</v>
      </c>
      <c r="K64" s="33">
        <f t="shared" ref="K64:L64" si="0">SUM(K36:K63)</f>
        <v>0</v>
      </c>
      <c r="L64" s="33">
        <f t="shared" si="0"/>
        <v>0</v>
      </c>
    </row>
    <row r="65" spans="4:12" x14ac:dyDescent="0.3">
      <c r="D65" s="9" t="s">
        <v>41</v>
      </c>
      <c r="E65" s="34">
        <f t="shared" ref="E65:J65" si="1">E64*0.19</f>
        <v>0</v>
      </c>
      <c r="F65" s="7">
        <f t="shared" si="1"/>
        <v>0</v>
      </c>
      <c r="G65" s="7">
        <f t="shared" si="1"/>
        <v>0</v>
      </c>
      <c r="H65" s="7">
        <f t="shared" si="1"/>
        <v>0</v>
      </c>
      <c r="I65" s="7">
        <f t="shared" si="1"/>
        <v>0</v>
      </c>
      <c r="J65" s="35">
        <f t="shared" si="1"/>
        <v>0</v>
      </c>
      <c r="K65" s="35">
        <f t="shared" ref="K65:L65" si="2">K64*0.19</f>
        <v>0</v>
      </c>
      <c r="L65" s="35">
        <f t="shared" si="2"/>
        <v>0</v>
      </c>
    </row>
    <row r="66" spans="4:12" ht="15" thickBot="1" x14ac:dyDescent="0.35">
      <c r="D66" s="9" t="s">
        <v>42</v>
      </c>
      <c r="E66" s="36">
        <f t="shared" ref="E66:J66" si="3">SUM(E64:E65)</f>
        <v>0</v>
      </c>
      <c r="F66" s="37">
        <f t="shared" si="3"/>
        <v>0</v>
      </c>
      <c r="G66" s="37">
        <f t="shared" si="3"/>
        <v>0</v>
      </c>
      <c r="H66" s="37">
        <f t="shared" si="3"/>
        <v>0</v>
      </c>
      <c r="I66" s="37">
        <f t="shared" si="3"/>
        <v>0</v>
      </c>
      <c r="J66" s="38">
        <f t="shared" si="3"/>
        <v>0</v>
      </c>
      <c r="K66" s="38">
        <f t="shared" ref="K66:L66" si="4">SUM(K64:K65)</f>
        <v>0</v>
      </c>
      <c r="L66" s="38">
        <f t="shared" si="4"/>
        <v>0</v>
      </c>
    </row>
  </sheetData>
  <mergeCells count="3">
    <mergeCell ref="E1:F1"/>
    <mergeCell ref="G1:H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MATERIALES VARIOS</vt:lpstr>
      <vt:lpstr>MATERIAL ELÉCTRICO</vt:lpstr>
      <vt:lpstr>MATERIAL PLOMERÍA</vt:lpstr>
      <vt:lpstr>mdo</vt:lpstr>
      <vt:lpstr>MdeO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Carrascal Prado</dc:creator>
  <cp:lastModifiedBy>ALCOM12370</cp:lastModifiedBy>
  <cp:lastPrinted>2026-01-29T18:48:57Z</cp:lastPrinted>
  <dcterms:created xsi:type="dcterms:W3CDTF">2022-05-23T18:25:31Z</dcterms:created>
  <dcterms:modified xsi:type="dcterms:W3CDTF">2026-02-11T14:39:10Z</dcterms:modified>
</cp:coreProperties>
</file>